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8000b1f9274fd9" /></Relationships>
</file>

<file path=xl/workbook.xml><?xml version="1.0" encoding="utf-8"?>
<x:workbook xmlns:x="http://schemas.openxmlformats.org/spreadsheetml/2006/main">
  <x:sheets>
    <x:sheet xmlns:r="http://schemas.openxmlformats.org/officeDocument/2006/relationships" name="Baslangic_ve_Yontem" sheetId="1" r:id="R88375a712c5f4f37"/>
    <x:sheet xmlns:r="http://schemas.openxmlformats.org/officeDocument/2006/relationships" name="Gercek_Kaynak_Verileri" sheetId="2" r:id="R2c254e3eac7c479b"/>
    <x:sheet xmlns:r="http://schemas.openxmlformats.org/officeDocument/2006/relationships" name="Recete_Parametreleri" sheetId="3" r:id="R2c4cbd1bb6ff4761"/>
    <x:sheet xmlns:r="http://schemas.openxmlformats.org/officeDocument/2006/relationships" name="1000_Simule_Parti" sheetId="4" r:id="R66ef03daeac8467b"/>
    <x:sheet xmlns:r="http://schemas.openxmlformats.org/officeDocument/2006/relationships" name="Degisken_Sozlugu" sheetId="5" r:id="R7e5513f76b9e4dc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
    <x:numFmt numFmtId="202" formatCode="0.0000%"/>
    <x:numFmt numFmtId="203" formatCode="yyyy-mm-dd"/>
    <x:numFmt numFmtId="204" formatCode="0.00"/>
  </x:numFmts>
  <x:fonts count="4">
    <x:font>
      <x:sz val="11"/>
      <x:name val="Carlito"/>
    </x:font>
    <x:font>
      <x:b/>
      <x:sz val="11"/>
      <x:color rgb="FFFFFFFF"/>
      <x:name val="Carlito"/>
    </x:font>
    <x:font>
      <x:b/>
      <x:sz val="15"/>
      <x:color rgb="FFFFFFFF"/>
      <x:name val="Carlito"/>
    </x:font>
    <x:font>
      <x:b/>
      <x:sz val="11"/>
      <x:color rgb="FF17365D"/>
      <x:name val="Carlito"/>
    </x:font>
  </x:fonts>
  <x:fills count="6">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62115445484fd7" /><Relationship Type="http://schemas.openxmlformats.org/officeDocument/2006/relationships/theme" Target="/xl/theme/theme1.xml" Id="Re7ec7c2848b44380" /><Relationship Type="http://schemas.openxmlformats.org/officeDocument/2006/relationships/sharedStrings" Target="/xl/sharedStrings.xml" Id="R7321cb881f7c4355" /><Relationship Type="http://schemas.openxmlformats.org/officeDocument/2006/relationships/worksheet" Target="/xl/worksheets/sheet1.xml" Id="R88375a712c5f4f37" /><Relationship Type="http://schemas.openxmlformats.org/officeDocument/2006/relationships/worksheet" Target="/xl/worksheets/sheet2.xml" Id="R2c254e3eac7c479b" /><Relationship Type="http://schemas.openxmlformats.org/officeDocument/2006/relationships/worksheet" Target="/xl/worksheets/sheet3.xml" Id="R2c4cbd1bb6ff4761" /><Relationship Type="http://schemas.openxmlformats.org/officeDocument/2006/relationships/worksheet" Target="/xl/worksheets/sheet4.xml" Id="R66ef03daeac8467b" /><Relationship Type="http://schemas.openxmlformats.org/officeDocument/2006/relationships/worksheet" Target="/xl/worksheets/sheet5.xml" Id="R7e5513f76b9e4dcb" /></Relationships>
</file>

<file path=xl/tables/table1.xml><?xml version="1.0" encoding="utf-8"?>
<x:table xmlns:x="http://schemas.openxmlformats.org/spreadsheetml/2006/main" id="1" name="ReferenceSources" displayName="ReferenceSources" ref="A1:H21" headerRowCount="1" totalsRowCount="0" totalsRowShown="0">
  <x:tableColumns count="8">
    <x:tableColumn id="1" name="Kaynak_ID"/>
    <x:tableColumn id="2" name="Veri_Adi"/>
    <x:tableColumn id="3" name="Yayimlanan_Deger"/>
    <x:tableColumn id="4" name="Birim"/>
    <x:tableColumn id="5" name="Tarih"/>
    <x:tableColumn id="6" name="Veri_Turu"/>
    <x:tableColumn id="7" name="Aciklama_ve_Kullanim"/>
    <x:tableColumn id="8" name="Kaynak_URL"/>
  </x:tableColumns>
  <x:tableStyleInfo name="TableStyleMedium2" showFirstColumn="0" showLastColumn="0" showRowStripes="1" showColumnStripes="0"/>
</x:table>
</file>

<file path=xl/tables/table2.xml><?xml version="1.0" encoding="utf-8"?>
<x:table xmlns:x="http://schemas.openxmlformats.org/spreadsheetml/2006/main" id="2" name="RecipeParameters" displayName="RecipeParameters" ref="A1:I11" headerRowCount="1" totalsRowCount="0" totalsRowShown="0">
  <x:tableColumns count="9">
    <x:tableColumn id="1" name="Reçete_ID"/>
    <x:tableColumn id="2" name="Kaynak"/>
    <x:tableColumn id="3" name="Bileşen"/>
    <x:tableColumn id="4" name="Kaynakta_yazılan_miktar"/>
    <x:tableColumn id="5" name="Kaynak_bazı"/>
    <x:tableColumn id="6" name="Simülasyonda_kullanılan_oran"/>
    <x:tableColumn id="7" name="Oran_türü"/>
    <x:tableColumn id="8" name="Temizlik_notu"/>
    <x:tableColumn id="9" name="Kaynak_URL"/>
  </x:tableColumns>
  <x:tableStyleInfo name="TableStyleMedium2" showFirstColumn="0" showLastColumn="0" showRowStripes="1" showColumnStripes="0"/>
</x:table>
</file>

<file path=xl/tables/table3.xml><?xml version="1.0" encoding="utf-8"?>
<x:table xmlns:x="http://schemas.openxmlformats.org/spreadsheetml/2006/main" id="3" name="SimulatedBatchData" displayName="SimulatedBatchData" ref="A1:AP1001" headerRowCount="1" totalsRowCount="0" totalsRowShown="0">
  <x:tableColumns count="42">
    <x:tableColumn id="1" name="Parti_ID"/>
    <x:tableColumn id="2" name="Tarih_simulasyon"/>
    <x:tableColumn id="3" name="Bolge"/>
    <x:tableColumn id="4" name="Recete_profili"/>
    <x:tableColumn id="5" name="Isleme_modeli"/>
    <x:tableColumn id="6" name="Veri_sinifi"/>
    <x:tableColumn id="7" name="Et_girdi_kg"/>
    <x:tableColumn id="8" name="Kuyruk_yagi_girdi_kg"/>
    <x:tableColumn id="9" name="Baharat_girdi_kg"/>
    <x:tableColumn id="10" name="Tuz_girdi_kg"/>
    <x:tableColumn id="11" name="Diger_kucuk_girdi_kg"/>
    <x:tableColumn id="12" name="Karisim_girdi_toplam_kg"/>
    <x:tableColumn id="13" name="Kilif_metre"/>
    <x:tableColumn id="14" name="Et_fiyat_TL_kg"/>
    <x:tableColumn id="15" name="Kuyruk_yagi_fiyat_TL_kg"/>
    <x:tableColumn id="16" name="Baharat_fiyat_TL_kg"/>
    <x:tableColumn id="17" name="Tuz_fiyat_TL_kg"/>
    <x:tableColumn id="18" name="Kilif_fiyat_TL_m"/>
    <x:tableColumn id="19" name="Fason_birim_bedel_TL_kg_girdi"/>
    <x:tableColumn id="20" name="Kuruma_kaybi_pct"/>
    <x:tableColumn id="21" name="Ayiklama_fire_pct"/>
    <x:tableColumn id="22" name="Net_sucuk_ciktisi_kg_simule"/>
    <x:tableColumn id="23" name="Et_maliyeti_TL"/>
    <x:tableColumn id="24" name="Yag_maliyeti_TL"/>
    <x:tableColumn id="25" name="Baharat_maliyeti_TL"/>
    <x:tableColumn id="26" name="Tuz_diger_girdi_maliyeti_TL"/>
    <x:tableColumn id="27" name="Kilif_maliyeti_TL"/>
    <x:tableColumn id="28" name="Direkt_malzeme_toplam_TL"/>
    <x:tableColumn id="29" name="Iscilik_saati"/>
    <x:tableColumn id="30" name="Iscilik_maliyeti_TL_saat"/>
    <x:tableColumn id="31" name="Elektrik_kWh"/>
    <x:tableColumn id="32" name="Elektrik_fiyati_TL_kWh"/>
    <x:tableColumn id="33" name="Ambalaj_TL_kg_net_urun"/>
    <x:tableColumn id="34" name="Fason_hizmet_TL"/>
    <x:tableColumn id="35" name="Kurum_ici_isleme_TL"/>
    <x:tableColumn id="36" name="Paketleme_maliyeti_TL"/>
    <x:tableColumn id="37" name="Genel_gider_TL"/>
    <x:tableColumn id="38" name="Toplam_parti_maliyeti_TL"/>
    <x:tableColumn id="39" name="EKP_TL_kg"/>
    <x:tableColumn id="40" name="Et_maliyet_payi_pct"/>
    <x:tableColumn id="41" name="Referans_kodlari"/>
    <x:tableColumn id="42" name="Notlar"/>
  </x:tableColumns>
  <x:tableStyleInfo name="TableStyleMedium2" showFirstColumn="0" showLastColumn="0" showRowStripes="1" showColumnStripes="0"/>
</x:table>
</file>

<file path=xl/tables/table4.xml><?xml version="1.0" encoding="utf-8"?>
<x:table xmlns:x="http://schemas.openxmlformats.org/spreadsheetml/2006/main" id="4" name="VariableDictionary" displayName="VariableDictionary" ref="A1:E13" headerRowCount="1" totalsRowCount="0" totalsRowShown="0">
  <x:tableColumns count="5">
    <x:tableColumn id="1" name="Değişken"/>
    <x:tableColumn id="2" name="Açıklama"/>
    <x:tableColumn id="3" name="Veri tipi"/>
    <x:tableColumn id="4" name="Kaynak / hesaplama"/>
    <x:tableColumn id="5" name="Gerçeklik durumu"/>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e2b1e5f51849bf" /></Relationships>
</file>

<file path=xl/worksheets/_rels/sheet3.xml.rels>&#65279;<?xml version="1.0" encoding="utf-8"?><Relationships xmlns="http://schemas.openxmlformats.org/package/2006/relationships"><Relationship Type="http://schemas.openxmlformats.org/officeDocument/2006/relationships/table" Target="/xl/tables/table2.xml" Id="R271cdd5927a44a7a" /></Relationships>
</file>

<file path=xl/worksheets/_rels/sheet4.xml.rels>&#65279;<?xml version="1.0" encoding="utf-8"?><Relationships xmlns="http://schemas.openxmlformats.org/package/2006/relationships"><Relationship Type="http://schemas.openxmlformats.org/officeDocument/2006/relationships/table" Target="/xl/tables/table3.xml" Id="R999cf694d9be44a1" /></Relationships>
</file>

<file path=xl/worksheets/_rels/sheet5.xml.rels>&#65279;<?xml version="1.0" encoding="utf-8"?><Relationships xmlns="http://schemas.openxmlformats.org/package/2006/relationships"><Relationship Type="http://schemas.openxmlformats.org/officeDocument/2006/relationships/table" Target="/xl/tables/table4.xml" Id="R09144a9d17ac4ee2" /></Relationships>
</file>

<file path=xl/worksheets/sheet1.xml><?xml version="1.0" encoding="utf-8"?>
<x:worksheet xmlns:x="http://schemas.openxmlformats.org/spreadsheetml/2006/main">
  <x:sheetFormatPr defaultRowHeight="15"/>
  <x:cols>
    <x:col min="1" max="1" width="26" hidden="0" customWidth="1"/>
    <x:col min="2" max="2" width="100" hidden="0" customWidth="1"/>
  </x:cols>
  <x:sheetData>
    <x:row r="1" ht="32" customHeight="1">
      <x:c r="A1" s="15" t="str">
        <x:v>SUCUK ÜRETİMİ — GERÇEK VERİ BENCHMARKLI SENTETİK VERİ SETİ</x:v>
      </x:c>
      <x:c r="B1" s="15" t="str"/>
    </x:row>
    <x:row r="2" ht="36" customHeight="1">
      <x:c r="A2" s="23" t="str">
        <x:v>Versiyon</x:v>
      </x:c>
      <x:c r="B2" s="28" t="str">
        <x:v>v1.0 | Veri araştırma tarihi: 23.10.2026</x:v>
      </x:c>
    </x:row>
    <x:row r="3" ht="36" customHeight="1">
      <x:c r="A3" s="23" t="str">
        <x:v>Kayıt sayısı</x:v>
      </x:c>
      <x:c r="B3" s="28" t="str">
        <x:v>1.000 üretim partisi satırı (tamamı sentetik/simüle kayıt; gerçek firma kaydı değildir).</x:v>
      </x:c>
    </x:row>
    <x:row r="4" ht="36" customHeight="1">
      <x:c r="A4" s="23" t="str">
        <x:v>Amaç</x:v>
      </x:c>
      <x:c r="B4" s="28" t="str">
        <x:v>Et, kuyruk yağı, baharat, kılıf, işlem/fason gideri, net sucuk çıktısı simülasyonu ve EKP (TL/kg) analizi için başlangıç veri kümesi.</x:v>
      </x:c>
    </x:row>
    <x:row r="5" ht="36" customHeight="1">
      <x:c r="A5" s="23" t="str">
        <x:v>Dürüstlük notu</x:v>
      </x:c>
      <x:c r="B5" s="28" t="str">
        <x:v>Kamuya açık kaynaklarda aynı gerçek parti için dört alanın tümünü (girdiler, üretim/fason gideri, gerçek net çıktı, EKP) içeren ham fabrika kayıtları bulunamadı. Bu nedenle yeni partiler gerçekmiş gibi sunulmamıştır.</x:v>
      </x:c>
    </x:row>
    <x:row r="6" ht="36" customHeight="1">
      <x:c r="A6" s="23" t="str">
        <x:v>Gerçek kaynak değerleri</x:v>
      </x:c>
      <x:c r="B6" s="28" t="str">
        <x:v>Gercek_Kaynak_Verileri sayfasında gerçek kaynaklardan alınan bölgesel dana fiyatları, çevrim içi fiyat listeleri, işçilik ve enerji referansları, akademik kuruma kaybı bulguları yer alır.</x:v>
      </x:c>
    </x:row>
    <x:row r="7" ht="36" customHeight="1">
      <x:c r="A7" s="23" t="str">
        <x:v>Tarif varsayımları</x:v>
      </x:c>
      <x:c r="B7" s="28" t="str">
        <x:v>Reçete oranları MEB teknik materyali ve KUDAKA Erzurum Sucuğu coğrafi işaret sayfasından türetildi. Her iki kaynak farklı reçete bazları kullanır. KUDAKA'da başlık 100 kg olsa da bileşenler 106,8 kg toplam eder; simülasyonda oranlar normalize edildi.</x:v>
      </x:c>
    </x:row>
    <x:row r="8" ht="36" customHeight="1">
      <x:c r="A8" s="23" t="str">
        <x:v>Fiyat uyarlaması</x:v>
      </x:c>
      <x:c r="B8" s="28" t="str">
        <x:v>UKON fiyatları güncel bölgesel benchmark olarak kullanıldı. Kuyruk yağı ve baharat liste fiyatları perakende/web fiyatıdır; toplu sanayi alım teklifi değildir. Et fiyatının partiye özel değişimi simüle edildi.</x:v>
      </x:c>
    </x:row>
    <x:row r="9" ht="36" customHeight="1">
      <x:c r="A9" s="23" t="str">
        <x:v>Kılıf</x:v>
      </x:c>
      <x:c r="B9" s="28" t="str">
        <x:v>40 m kılıfın 30–35 kg dolum kapasitesi satıcı açıklamasından alındı. Parti bazında metre miktarı bu kapasite aralığından simüle edilir; endüstriyel top alım fiyatı farklı olabilir.</x:v>
      </x:c>
    </x:row>
    <x:row r="10" ht="36" customHeight="1">
      <x:c r="A10" s="23" t="str">
        <x:v>Kuruma/ayıklama fireleri</x:v>
      </x:c>
      <x:c r="B10" s="28" t="str">
        <x:v>Kuruma kaybı akademik deneylerde raporlanan aralıklara dayalı olarak rastgele simüle edilir. Parti bazında gerçek ölçüm değildir. Ayıklama fire oranı model varsayımıdır.</x:v>
      </x:c>
    </x:row>
    <x:row r="11" ht="36" customHeight="1">
      <x:c r="A11" s="23" t="str">
        <x:v>Üretim/fason maliyeti</x:v>
      </x:c>
      <x:c r="B11" s="28" t="str">
        <x:v>Kurum içi senaryoda işçilik, elektrik ve genel tesis gideri formülize edilmiştir. Fason senaryosunda 65–125 TL/kg girdi varsayımsal hizmet bedeli kullanılmıştır; doğrulanmış piyasa teklifi değildir.</x:v>
      </x:c>
    </x:row>
    <x:row r="12" ht="36" customHeight="1">
      <x:c r="A12" s="23" t="str">
        <x:v>EKP tanımı</x:v>
      </x:c>
      <x:c r="B12" s="28" t="str">
        <x:v>EKP (TL/kg net ürün) = Toplam parti maliyeti (hammadde + kılıf + işlem/fason + ambalaj + genel gider) / simüle net sucuk çıktısı.</x:v>
      </x:c>
    </x:row>
    <x:row r="13" ht="36" customHeight="1">
      <x:c r="A13" s="23" t="str">
        <x:v>Et maliyet payı</x:v>
      </x:c>
      <x:c r="B13" s="28" t="str">
        <x:v>2014–2015 tarihli 15 işletmeli araştırma, sucuk için kırmızı et maliyet payını %75,11 olarak raporlar. Model bu oranı zorla dayatmaz; güncel formülde maliyetler girdilerden hesaplanır.</x:v>
      </x:c>
    </x:row>
    <x:row r="14" ht="36" customHeight="1">
      <x:c r="A14" s="23" t="str">
        <x:v>Model eğitim uyarısı</x:v>
      </x:c>
      <x:c r="B14" s="28" t="str">
        <x:v>Bu sentetik kayıtlar kod denemesi, veri hattı testi ve yöntem prototipi için kullanılabilir. Gerçek işletme verisiyle dış doğrulama olmadan doğruluk/performans iddiası oluşturmak için tek başına yeterli değildir.</x:v>
      </x:c>
    </x:row>
    <x:row r="15" ht="36" customHeight="1">
      <x:c r="A15" s="23" t="str">
        <x:v>Gıda güvenliği</x:v>
      </x:c>
      <x:c r="B15" s="28" t="str">
        <x:v>Bu dosya bir üretim reçetesi veya güvenli katkı kullanım talimatı değildir. Ticari uygulamada 2026/15 Türk Gıda Kodeksi Tebliği ve uzman gıda mühendisi doğrulaması esas alınmalıdır.</x:v>
      </x:c>
    </x:row>
    <x:row r="16" ht="36" customHeight="1">
      <x:c r="A16" s="23" t="str">
        <x:v>Başlangıç adımları</x:v>
      </x:c>
      <x:c r="B16" s="28" t="str">
        <x:v>1) Gerçek kaynakları ve varsayımları Gercek_Kaynak_Verileri'nden kontrol et. 2) Sentetik_Simule sayfasında simüle girdileri kullan. 3) Mümkün olduğunda gerçek üretim defteri/fason fatura/parti tartım verileriyle değiştir.</x:v>
      </x:c>
    </x:row>
    <x:row r="17" ht="44" customHeight="1">
      <x:c r="A17" s="23" t="str">
        <x:v>Fiyat referans dönemi</x:v>
      </x:c>
      <x:c r="B17" s="28" t="str">
        <x:v>Parti tarihleri sentetiktir. Fiyat girdileri 22.10.2026 UKON bölge fiyatı ve 23.10.2026 tarihinde erişilen çevrim içi liste fiyatları etrafında kurulmuştur; tarihsel fiyat serisi değildir.</x:v>
      </x:c>
    </x:row>
    <x:row r="18" ht="44" customHeight="1">
      <x:c r="A18" s="23" t="str">
        <x:v>Fiyat varsayımı notu</x:v>
      </x:c>
      <x:c r="B18" s="28" t="str">
        <x:v>Kuyruk yağı için liste fiyatına göre bulk indirim katsayısı simüle edilmiştir. Küçük girdiler, bileşen bazında fiyat bulunmadığı için sucuk baharatı fiyatıyla yaklaşık maliyetlenmiştir. Fason bedeli ve kurum içi %12 tesis payı varsayımdır.</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5" hidden="0" customWidth="1"/>
    <x:col min="3" max="3" width="30" hidden="0" customWidth="1"/>
    <x:col min="4" max="4" width="18" hidden="0" customWidth="1"/>
    <x:col min="5" max="5" width="20" hidden="0" customWidth="1"/>
    <x:col min="6" max="6" width="25" hidden="0" customWidth="1"/>
    <x:col min="7" max="7" width="75" hidden="0" customWidth="1"/>
    <x:col min="8" max="8" width="75" hidden="0" customWidth="1"/>
  </x:cols>
  <x:sheetData>
    <x:row r="1" ht="30" customHeight="1">
      <x:c r="A1" s="6" t="str">
        <x:v>Kaynak_ID</x:v>
      </x:c>
      <x:c r="B1" s="6" t="str">
        <x:v>Veri_Adi</x:v>
      </x:c>
      <x:c r="C1" s="6" t="str">
        <x:v>Yayimlanan_Deger</x:v>
      </x:c>
      <x:c r="D1" s="6" t="str">
        <x:v>Birim</x:v>
      </x:c>
      <x:c r="E1" s="6" t="str">
        <x:v>Tarih</x:v>
      </x:c>
      <x:c r="F1" s="6" t="str">
        <x:v>Veri_Turu</x:v>
      </x:c>
      <x:c r="G1" s="6" t="str">
        <x:v>Aciklama_ve_Kullanim</x:v>
      </x:c>
      <x:c r="H1" s="6" t="str">
        <x:v>Kaynak_URL</x:v>
      </x:c>
    </x:row>
    <x:row r="2" ht="44" customHeight="1">
      <x:c r="A2" s="28" t="str">
        <x:v>R01</x:v>
      </x:c>
      <x:c r="B2" s="28" t="str">
        <x:v>Dana eti - Ege</x:v>
      </x:c>
      <x:c r="C2" s="30" t="n">
        <x:v>589.7</x:v>
      </x:c>
      <x:c r="D2" s="28" t="str">
        <x:v>TL/kg</x:v>
      </x:c>
      <x:c r="E2" s="28" t="str">
        <x:v>22.10.2026</x:v>
      </x:c>
      <x:c r="F2" s="28" t="str">
        <x:v>Gözlemlenmiş kaynak değeri</x:v>
      </x:c>
      <x:c r="G2" s="28" t="str">
        <x:v>UKON bölgesel dana bıçak fiyatı; %2 fire hariç.</x:v>
      </x:c>
      <x:c r="H2" s="28" t="str">
        <x:v>https://ukon.org.tr/fiyatlar</x:v>
      </x:c>
    </x:row>
    <x:row r="3" ht="44" customHeight="1">
      <x:c r="A3" s="28" t="str">
        <x:v>R02</x:v>
      </x:c>
      <x:c r="B3" s="28" t="str">
        <x:v>Dana eti - Akdeniz</x:v>
      </x:c>
      <x:c r="C3" s="30" t="n">
        <x:v>581.2</x:v>
      </x:c>
      <x:c r="D3" s="28" t="str">
        <x:v>TL/kg</x:v>
      </x:c>
      <x:c r="E3" s="28" t="str">
        <x:v>22.10.2026</x:v>
      </x:c>
      <x:c r="F3" s="28" t="str">
        <x:v>Gözlemlenmiş kaynak değeri</x:v>
      </x:c>
      <x:c r="G3" s="28" t="str">
        <x:v>UKON bölgesel dana bıçak fiyatı; %2 fire hariç.</x:v>
      </x:c>
      <x:c r="H3" s="28" t="str">
        <x:v>https://ukon.org.tr/fiyatlar</x:v>
      </x:c>
    </x:row>
    <x:row r="4" ht="44" customHeight="1">
      <x:c r="A4" s="28" t="str">
        <x:v>R03</x:v>
      </x:c>
      <x:c r="B4" s="28" t="str">
        <x:v>Dana eti - Marmara</x:v>
      </x:c>
      <x:c r="C4" s="30" t="n">
        <x:v>597.8</x:v>
      </x:c>
      <x:c r="D4" s="28" t="str">
        <x:v>TL/kg</x:v>
      </x:c>
      <x:c r="E4" s="28" t="str">
        <x:v>22.10.2026</x:v>
      </x:c>
      <x:c r="F4" s="28" t="str">
        <x:v>Gözlemlenmiş kaynak değeri</x:v>
      </x:c>
      <x:c r="G4" s="28" t="str">
        <x:v>UKON bölgesel dana bıçak fiyatı; %2 fire hariç.</x:v>
      </x:c>
      <x:c r="H4" s="28" t="str">
        <x:v>https://ukon.org.tr/fiyatlar</x:v>
      </x:c>
    </x:row>
    <x:row r="5" ht="44" customHeight="1">
      <x:c r="A5" s="28" t="str">
        <x:v>R04</x:v>
      </x:c>
      <x:c r="B5" s="28" t="str">
        <x:v>Dana eti - İç Anadolu</x:v>
      </x:c>
      <x:c r="C5" s="30" t="n">
        <x:v>580.6</x:v>
      </x:c>
      <x:c r="D5" s="28" t="str">
        <x:v>TL/kg</x:v>
      </x:c>
      <x:c r="E5" s="28" t="str">
        <x:v>22.10.2026</x:v>
      </x:c>
      <x:c r="F5" s="28" t="str">
        <x:v>Gözlemlenmiş kaynak değeri</x:v>
      </x:c>
      <x:c r="G5" s="28" t="str">
        <x:v>UKON bölgesel dana bıçak fiyatı; %2 fire hariç.</x:v>
      </x:c>
      <x:c r="H5" s="28" t="str">
        <x:v>https://ukon.org.tr/fiyatlar</x:v>
      </x:c>
    </x:row>
    <x:row r="6" ht="44" customHeight="1">
      <x:c r="A6" s="28" t="str">
        <x:v>R05</x:v>
      </x:c>
      <x:c r="B6" s="28" t="str">
        <x:v>Dana eti - Doğu Anadolu</x:v>
      </x:c>
      <x:c r="C6" s="30" t="n">
        <x:v>583.6</x:v>
      </x:c>
      <x:c r="D6" s="28" t="str">
        <x:v>TL/kg</x:v>
      </x:c>
      <x:c r="E6" s="28" t="str">
        <x:v>22.10.2026</x:v>
      </x:c>
      <x:c r="F6" s="28" t="str">
        <x:v>Gözlemlenmiş kaynak değeri</x:v>
      </x:c>
      <x:c r="G6" s="28" t="str">
        <x:v>UKON bölgesel dana bıçak fiyatı; %2 fire hariç.</x:v>
      </x:c>
      <x:c r="H6" s="28" t="str">
        <x:v>https://ukon.org.tr/fiyatlar</x:v>
      </x:c>
    </x:row>
    <x:row r="7" ht="44" customHeight="1">
      <x:c r="A7" s="28" t="str">
        <x:v>R06</x:v>
      </x:c>
      <x:c r="B7" s="28" t="str">
        <x:v>Dana eti - Güneydoğu Anadolu</x:v>
      </x:c>
      <x:c r="C7" s="30" t="n">
        <x:v>575</x:v>
      </x:c>
      <x:c r="D7" s="28" t="str">
        <x:v>TL/kg</x:v>
      </x:c>
      <x:c r="E7" s="28" t="str">
        <x:v>22.10.2026</x:v>
      </x:c>
      <x:c r="F7" s="28" t="str">
        <x:v>Gözlemlenmiş kaynak değeri</x:v>
      </x:c>
      <x:c r="G7" s="28" t="str">
        <x:v>UKON bölgesel dana bıçak fiyatı; %2 fire hariç.</x:v>
      </x:c>
      <x:c r="H7" s="28" t="str">
        <x:v>https://ukon.org.tr/fiyatlar</x:v>
      </x:c>
    </x:row>
    <x:row r="8" ht="44" customHeight="1">
      <x:c r="A8" s="28" t="str">
        <x:v>R07</x:v>
      </x:c>
      <x:c r="B8" s="28" t="str">
        <x:v>Dana eti - Karadeniz</x:v>
      </x:c>
      <x:c r="C8" s="30" t="n">
        <x:v>595</x:v>
      </x:c>
      <x:c r="D8" s="28" t="str">
        <x:v>TL/kg</x:v>
      </x:c>
      <x:c r="E8" s="28" t="str">
        <x:v>22.10.2026</x:v>
      </x:c>
      <x:c r="F8" s="28" t="str">
        <x:v>Gözlemlenmiş kaynak değeri</x:v>
      </x:c>
      <x:c r="G8" s="28" t="str">
        <x:v>UKON bölgesel dana bıçak fiyatı; %2 fire hariç.</x:v>
      </x:c>
      <x:c r="H8" s="28" t="str">
        <x:v>https://ukon.org.tr/fiyatlar</x:v>
      </x:c>
    </x:row>
    <x:row r="9" ht="44" customHeight="1">
      <x:c r="A9" s="28" t="str">
        <x:v>R08</x:v>
      </x:c>
      <x:c r="B9" s="28" t="str">
        <x:v>Kuzu kuyruk yağı</x:v>
      </x:c>
      <x:c r="C9" s="30" t="n">
        <x:v>464.9</x:v>
      </x:c>
      <x:c r="D9" s="28" t="str">
        <x:v>TL/kg</x:v>
      </x:c>
      <x:c r="E9" s="28" t="str">
        <x:v>Erişim: 23.10.2026</x:v>
      </x:c>
      <x:c r="F9" s="28" t="str">
        <x:v>Gözlemlenmiş çevrim içi liste fiyatı</x:v>
      </x:c>
      <x:c r="G9" s="28" t="str">
        <x:v>Migros Toptan kırmızı et ürün listesi; endüstriyel alım teklifi değildir.</x:v>
      </x:c>
      <x:c r="H9" s="28" t="str">
        <x:v>https://toptan.migros.com.tr/kirmizi-et-cs-2-4</x:v>
      </x:c>
    </x:row>
    <x:row r="10" ht="44" customHeight="1">
      <x:c r="A10" s="28" t="str">
        <x:v>R09</x:v>
      </x:c>
      <x:c r="B10" s="28" t="str">
        <x:v>Sucuk baharatı - alt fiyat</x:v>
      </x:c>
      <x:c r="C10" s="30" t="n">
        <x:v>400</x:v>
      </x:c>
      <x:c r="D10" s="28" t="str">
        <x:v>TL/kg</x:v>
      </x:c>
      <x:c r="E10" s="28" t="str">
        <x:v>Erişim: 23.10.2026</x:v>
      </x:c>
      <x:c r="F10" s="28" t="str">
        <x:v>Gözlemlenmiş çevrim içi liste fiyatı</x:v>
      </x:c>
      <x:c r="G10" s="28" t="str">
        <x:v>Gedemenli 1 kg sucuk baharatı liste fiyatı.</x:v>
      </x:c>
      <x:c r="H10" s="28" t="str">
        <x:v>https://blue0.akakce.com/sucuk-baharati/en-ucuz-gedemenli-1-kg-fiyati%2C623859525.html</x:v>
      </x:c>
    </x:row>
    <x:row r="11" ht="44" customHeight="1">
      <x:c r="A11" s="28" t="str">
        <x:v>R10</x:v>
      </x:c>
      <x:c r="B11" s="28" t="str">
        <x:v>Sucuk baharatı - orta fiyat</x:v>
      </x:c>
      <x:c r="C11" s="30" t="n">
        <x:v>550</x:v>
      </x:c>
      <x:c r="D11" s="28" t="str">
        <x:v>TL/kg</x:v>
      </x:c>
      <x:c r="E11" s="28" t="str">
        <x:v>Erişim: 23.10.2026</x:v>
      </x:c>
      <x:c r="F11" s="28" t="str">
        <x:v>Gözlemlenmiş çevrim içi liste fiyatı</x:v>
      </x:c>
      <x:c r="G11" s="28" t="str">
        <x:v>Balbis 1 kg sucuk baharatı liste fiyatı.</x:v>
      </x:c>
      <x:c r="H11" s="28" t="str">
        <x:v>https://blue0.akakce.com/sucuk-baharati/en-ucuz-balbis-baharat-sucuk-baharati-1-kg-fiyati%2C878779855.html</x:v>
      </x:c>
    </x:row>
    <x:row r="12" ht="44" customHeight="1">
      <x:c r="A12" s="28" t="str">
        <x:v>R11</x:v>
      </x:c>
      <x:c r="B12" s="28" t="str">
        <x:v>Sucuk baharatı - üst gözlenen fiyat</x:v>
      </x:c>
      <x:c r="C12" s="30" t="n">
        <x:v>669.9</x:v>
      </x:c>
      <x:c r="D12" s="28" t="str">
        <x:v>TL/kg</x:v>
      </x:c>
      <x:c r="E12" s="28" t="str">
        <x:v>Erişim: 23.10.2026</x:v>
      </x:c>
      <x:c r="F12" s="28" t="str">
        <x:v>Gözlemlenmiş çevrim içi liste fiyatı</x:v>
      </x:c>
      <x:c r="G12" s="28" t="str">
        <x:v>Bağdat 1 kg sucuk harcı liste fiyatı.</x:v>
      </x:c>
      <x:c r="H12" s="28" t="str">
        <x:v>https://green2.akakce.com/sucuk-baharati/en-ucuz-bagdat-baharat-1000-gr-sucuk-harci-fiyati%2C355166181.html</x:v>
      </x:c>
    </x:row>
    <x:row r="13" ht="44" customHeight="1">
      <x:c r="A13" s="28" t="str">
        <x:v>R12</x:v>
      </x:c>
      <x:c r="B13" s="28" t="str">
        <x:v>Doğal sucuk kılıfı</x:v>
      </x:c>
      <x:c r="C13" s="30" t="n">
        <x:v>1749.9</x:v>
      </x:c>
      <x:c r="D13" s="28" t="str">
        <x:v>TL/40 metre</x:v>
      </x:c>
      <x:c r="E13" s="28" t="str">
        <x:v>Erişim: 23.10.2026</x:v>
      </x:c>
      <x:c r="F13" s="28" t="str">
        <x:v>Gözlemlenmiş çevrim içi liste fiyatı</x:v>
      </x:c>
      <x:c r="G13" s="28" t="str">
        <x:v>Satıcı, 40 m topun 30–35 kg dolum kapasitesinde olduğunu belirtiyor.</x:v>
      </x:c>
      <x:c r="H13" s="28" t="str">
        <x:v>https://www.kilislibaharat.com/sucuk-bagirsagi</x:v>
      </x:c>
    </x:row>
    <x:row r="14" ht="44" customHeight="1">
      <x:c r="A14" s="28" t="str">
        <x:v>R13</x:v>
      </x:c>
      <x:c r="B14" s="28" t="str">
        <x:v>Kuru sofra tuzu</x:v>
      </x:c>
      <x:c r="C14" s="30" t="n">
        <x:v>497</x:v>
      </x:c>
      <x:c r="D14" s="28" t="str">
        <x:v>TL/25 kg</x:v>
      </x:c>
      <x:c r="E14" s="28" t="str">
        <x:v>Erişim: 23.10.2026</x:v>
      </x:c>
      <x:c r="F14" s="28" t="str">
        <x:v>Gözlemlenmiş çevrim içi liste fiyatı</x:v>
      </x:c>
      <x:c r="G14" s="28" t="str">
        <x:v>25 kg çuval fiyatından hesaplanan 19,88 TL/kg; kürleme tuzu değildir.</x:v>
      </x:c>
      <x:c r="H14" s="28" t="str">
        <x:v>https://onual.com/urun/genel-markalar-cankiri-kristal-kaya-sofra-tuzu-cuval-25kg-p-1017153</x:v>
      </x:c>
    </x:row>
    <x:row r="15" ht="44" customHeight="1">
      <x:c r="A15" s="28" t="str">
        <x:v>R14</x:v>
      </x:c>
      <x:c r="B15" s="28" t="str">
        <x:v>Vakum poşeti 20x30 cm</x:v>
      </x:c>
      <x:c r="C15" s="30" t="n">
        <x:v>282</x:v>
      </x:c>
      <x:c r="D15" s="28" t="str">
        <x:v>TL/kg poşet</x:v>
      </x:c>
      <x:c r="E15" s="28" t="str">
        <x:v>Erişim: 23.10.2026</x:v>
      </x:c>
      <x:c r="F15" s="28" t="str">
        <x:v>Gözlemlenmiş çevrim içi liste fiyatı</x:v>
      </x:c>
      <x:c r="G15" s="28" t="str">
        <x:v>Sanayi tipi; 1 kg'da yaklaşık 105 adet. Paketleme için basit proxy.</x:v>
      </x:c>
      <x:c r="H15" s="28" t="str">
        <x:v>https://eambalaj.com.tr/20x30-cm-duz-tip-vakum-poseti-80-mikron/</x:v>
      </x:c>
    </x:row>
    <x:row r="16" ht="44" customHeight="1">
      <x:c r="A16" s="28" t="str">
        <x:v>R15</x:v>
      </x:c>
      <x:c r="B16" s="28" t="str">
        <x:v>İmalat sektörü asgari ücret işveren maliyeti</x:v>
      </x:c>
      <x:c r="C16" s="30" t="n">
        <x:v>39223.13</x:v>
      </x:c>
      <x:c r="D16" s="28" t="str">
        <x:v>TL/ay</x:v>
      </x:c>
      <x:c r="E16" s="28" t="str">
        <x:v>2026</x:v>
      </x:c>
      <x:c r="F16" s="28" t="str">
        <x:v>Resmî yayımlanmış değer</x:v>
      </x:c>
      <x:c r="G16" s="28" t="str">
        <x:v>5 puan SGK indirimi varsayımı ile; standart 225 saat/ay varsayımıyla 174,33 TL/saat.</x:v>
      </x:c>
      <x:c r="H16" s="28" t="str">
        <x:v>https://csgb.gov.tr/tr/poco-pages/asgari-ucret/</x:v>
      </x:c>
    </x:row>
    <x:row r="17" ht="44" customHeight="1">
      <x:c r="A17" s="28" t="str">
        <x:v>R16</x:v>
      </x:c>
      <x:c r="B17" s="28" t="str">
        <x:v>Sanayi elektriği fiyat bileşeni</x:v>
      </x:c>
      <x:c r="C17" s="30" t="n">
        <x:v>4.814756</x:v>
      </x:c>
      <x:c r="D17" s="28" t="str">
        <x:v>TL/kWh</x:v>
      </x:c>
      <x:c r="E17" s="28" t="str">
        <x:v>04.04.2026 tarifesi</x:v>
      </x:c>
      <x:c r="F17" s="28" t="str">
        <x:v>Tarife bileşenlerinden türetilmiş değer</x:v>
      </x:c>
      <x:c r="G17" s="28" t="str">
        <x:v>AG tek terim sanayi için 2,985253 TL/kWh enerji + 1,829503 TL/kWh dağıtım; vergi hariç, basit karşılaştırma değeri.</x:v>
      </x:c>
      <x:c r="H17" s="28" t="str">
        <x:v>https://gesatlasi.com.tr/veri/elektrik-tarifeleri</x:v>
      </x:c>
    </x:row>
    <x:row r="18" ht="44" customHeight="1">
      <x:c r="A18" s="28" t="str">
        <x:v>R17</x:v>
      </x:c>
      <x:c r="B18" s="28" t="str">
        <x:v>Gerçek işletme maliyet analizi</x:v>
      </x:c>
      <x:c r="C18" s="30"/>
      <x:c r="D18" s="28" t="str">
        <x:v>15 işletme</x:v>
      </x:c>
      <x:c r="E18" s="28" t="str">
        <x:v>2014–2015</x:v>
      </x:c>
      <x:c r="F18" s="28" t="str">
        <x:v>Gerçek işletme araştırması</x:v>
      </x:c>
      <x:c r="G18" s="28" t="str">
        <x:v>Sucuk, salam, pastırma ve kavurma için birim maliyet bileşenleri ve regresyon modelleri incelenmiş; sucuk için kırmızı et maliyet payı %75,11 olarak raporlanmış. Mikro seviyedeki bütün ham gözlemler açık özette bulunmuyor.</x:v>
      </x:c>
      <x:c r="H18" s="28" t="str">
        <x:v>https://www.agrifoodscience.com/index.php/TURJAF/article/view/9152</x:v>
      </x:c>
    </x:row>
    <x:row r="19" ht="44" customHeight="1">
      <x:c r="A19" s="28" t="str">
        <x:v>R18</x:v>
      </x:c>
      <x:c r="B19" s="28" t="str">
        <x:v>Fermente sucukta ağırlık kaybı</x:v>
      </x:c>
      <x:c r="C19" s="30" t="n">
        <x:v>15.57</x:v>
      </x:c>
      <x:c r="D19" s="28" t="str">
        <x:v>% alt sınır gözlemi</x:v>
      </x:c>
      <x:c r="E19" s="28" t="str">
        <x:v>Akademik deney</x:v>
      </x:c>
      <x:c r="F19" s="28" t="str">
        <x:v>Gerçek deney sonucu</x:v>
      </x:c>
      <x:c r="G19" s="28" t="str">
        <x:v>Bir çalışmada farklı et karışımlı sucuklarda 6 günlük fermantasyon sonrası %15,57–20,58 arasında ağırlık kaybı ölçülmüş.</x:v>
      </x:c>
      <x:c r="H19" s="28" t="str">
        <x:v>https://www.researchgate.net/publication/227932296_Properties_of_Turkish-style_sucuk_made_with_different_combinations_of_beef_and_hen_meat</x:v>
      </x:c>
    </x:row>
    <x:row r="20" ht="44" customHeight="1">
      <x:c r="A20" s="28" t="str">
        <x:v>R19</x:v>
      </x:c>
      <x:c r="B20" s="28" t="str">
        <x:v>Olgunlaştırma sürecinde ağırlık kaybı</x:v>
      </x:c>
      <x:c r="C20" s="30" t="n">
        <x:v>34.08</x:v>
      </x:c>
      <x:c r="D20" s="28" t="str">
        <x:v>% üst gözlem</x:v>
      </x:c>
      <x:c r="E20" s="28" t="str">
        <x:v>Akademik deney</x:v>
      </x:c>
      <x:c r="F20" s="28" t="str">
        <x:v>Gerçek deney sonucu</x:v>
      </x:c>
      <x:c r="G20" s="28" t="str">
        <x:v>Başka bir çalışmada formülasyona bağlı olarak olgunlaştırma sonunda %27,32–34,08 arasında ağırlık kayıpları raporlanmış; tüm ticari ürünlere genellenmemeli.</x:v>
      </x:c>
      <x:c r="H20" s="28" t="str">
        <x:v>https://pmc.ncbi.nlm.nih.gov/articles/PMC4984706/</x:v>
      </x:c>
    </x:row>
    <x:row r="21" ht="44" customHeight="1">
      <x:c r="A21" s="28" t="str">
        <x:v>R20</x:v>
      </x:c>
      <x:c r="B21" s="28" t="str">
        <x:v>Mevzuat güncellemesi</x:v>
      </x:c>
      <x:c r="C21" s="30"/>
      <x:c r="D21" s="28" t="str">
        <x:v>Türk Gıda Kodeksi 2026/15</x:v>
      </x:c>
      <x:c r="E21" s="28" t="str">
        <x:v>16.09.2026</x:v>
      </x:c>
      <x:c r="F21" s="28" t="str">
        <x:v>Resmî mevzuat kaynağı</x:v>
      </x:c>
      <x:c r="G21" s="28" t="str">
        <x:v>Sucuk ürün özellikleri için güncel tebliği kontrol edin; veri seti üretim talimatı değildir.</x:v>
      </x:c>
      <x:c r="H21" s="28" t="str">
        <x:v>https://www.tarimorman.gov.tr/Sayfalar/GormeEngellilerDetay.aspx?Liste=Haber&amp;OgeId=7280</x:v>
      </x:c>
    </x:row>
  </x:sheetData>
  <x:pageMargins left="0.7" right="0.7" top="0.75" bottom="0.75" header="0.3" footer="0.3"/>
  <x:tableParts count="1">
    <x:tablePart xmlns:r="http://schemas.openxmlformats.org/officeDocument/2006/relationships" r:id="Rcfe2b1e5f51849bf"/>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5" hidden="0" customWidth="1"/>
    <x:col min="3" max="3" width="32" hidden="0" customWidth="1"/>
    <x:col min="4" max="4" width="22" hidden="0" customWidth="1"/>
    <x:col min="5" max="5" width="35" hidden="0" customWidth="1"/>
    <x:col min="6" max="6" width="25" hidden="0" customWidth="1"/>
    <x:col min="7" max="7" width="28" hidden="0" customWidth="1"/>
    <x:col min="8" max="8" width="65" hidden="0" customWidth="1"/>
    <x:col min="9" max="9" width="75" hidden="0" customWidth="1"/>
  </x:cols>
  <x:sheetData>
    <x:row r="1" ht="30" customHeight="1">
      <x:c r="A1" s="6" t="str">
        <x:v>Reçete_ID</x:v>
      </x:c>
      <x:c r="B1" s="6" t="str">
        <x:v>Kaynak</x:v>
      </x:c>
      <x:c r="C1" s="6" t="str">
        <x:v>Bileşen</x:v>
      </x:c>
      <x:c r="D1" s="6" t="str">
        <x:v>Kaynakta_yazılan_miktar</x:v>
      </x:c>
      <x:c r="E1" s="6" t="str">
        <x:v>Kaynak_bazı</x:v>
      </x:c>
      <x:c r="F1" s="6" t="str">
        <x:v>Simülasyonda_kullanılan_oran</x:v>
      </x:c>
      <x:c r="G1" s="6" t="str">
        <x:v>Oran_türü</x:v>
      </x:c>
      <x:c r="H1" s="6" t="str">
        <x:v>Temizlik_notu</x:v>
      </x:c>
      <x:c r="I1" s="6" t="str">
        <x:v>Kaynak_URL</x:v>
      </x:c>
    </x:row>
    <x:row r="2" ht="42" customHeight="1">
      <x:c r="A2" s="28" t="str">
        <x:v>MEB_STANDART</x:v>
      </x:c>
      <x:c r="B2" s="28" t="str">
        <x:v>MEB Et ve Et Ürünleri Teknolojisi (önceki bağlantıda yayımlanan ders materyali)</x:v>
      </x:c>
      <x:c r="C2" s="28" t="str">
        <x:v>Et</x:v>
      </x:c>
      <x:c r="D2" s="32" t="n">
        <x:v>70</x:v>
      </x:c>
      <x:c r="E2" s="28" t="str">
        <x:v>Yaklaşık 100,015 kg bileşen toplamı</x:v>
      </x:c>
      <x:c r="F2" s="34" t="n">
        <x:v>0.6998950157476379</x:v>
      </x:c>
      <x:c r="G2" s="28" t="str">
        <x:v>Normalize edilmiş girdi karışımı</x:v>
      </x:c>
      <x:c r="H2" s="28" t="str">
        <x:v>Miktarlar veri seti oluşturma varsayımıdır; ticari reçete/üretim talimatı değildir.</x:v>
      </x:c>
      <x:c r="I2" s="28" t="str">
        <x:v>https://meslek.meb.gov.tr/upload/dersmateryali/pdf/GD2025ETI111220.pdf</x:v>
      </x:c>
    </x:row>
    <x:row r="3" ht="42" customHeight="1">
      <x:c r="A3" s="28" t="str">
        <x:v>MEB_STANDART</x:v>
      </x:c>
      <x:c r="B3" s="28" t="str">
        <x:v>MEB Et ve Et Ürünleri Teknolojisi</x:v>
      </x:c>
      <x:c r="C3" s="28" t="str">
        <x:v>Kuyruk yağı</x:v>
      </x:c>
      <x:c r="D3" s="32" t="n">
        <x:v>22</x:v>
      </x:c>
      <x:c r="E3" s="28" t="str">
        <x:v>Yaklaşık 100,015 kg bileşen toplamı</x:v>
      </x:c>
      <x:c r="F3" s="34" t="n">
        <x:v>0.2199670049492576</x:v>
      </x:c>
      <x:c r="G3" s="28" t="str">
        <x:v>Normalize edilmiş girdi karışımı</x:v>
      </x:c>
      <x:c r="H3" s="28" t="str">
        <x:v>Miktarlar veri seti oluşturma varsayımıdır; ticari reçete/üretim talimatı değildir.</x:v>
      </x:c>
      <x:c r="I3" s="28" t="str">
        <x:v>https://meslek.meb.gov.tr/upload/dersmateryali/pdf/GD2025ETI111220.pdf</x:v>
      </x:c>
    </x:row>
    <x:row r="4" ht="42" customHeight="1">
      <x:c r="A4" s="28" t="str">
        <x:v>MEB_STANDART</x:v>
      </x:c>
      <x:c r="B4" s="28" t="str">
        <x:v>MEB Et ve Et Ürünleri Teknolojisi</x:v>
      </x:c>
      <x:c r="C4" s="28" t="str">
        <x:v>Baharat/sarımsak toplamı</x:v>
      </x:c>
      <x:c r="D4" s="32" t="n">
        <x:v>4.5</x:v>
      </x:c>
      <x:c r="E4" s="28" t="str">
        <x:v>Yaklaşık 100,015 kg bileşen toplamı</x:v>
      </x:c>
      <x:c r="F4" s="34" t="n">
        <x:v>0.04499325101234815</x:v>
      </x:c>
      <x:c r="G4" s="28" t="str">
        <x:v>Normalize edilmiş girdi karışımı</x:v>
      </x:c>
      <x:c r="H4" s="28" t="str">
        <x:v>0,5 karabiber + 1 kırmızı biber + 0,5 yenibahar + 1 kimyon + 1,5 sarımsak olarak önceki reçete tablosundan toplandı.</x:v>
      </x:c>
      <x:c r="I4" s="28" t="str">
        <x:v>https://meslek.meb.gov.tr/upload/dersmateryali/pdf/GD2025ETI111220.pdf</x:v>
      </x:c>
    </x:row>
    <x:row r="5" ht="42" customHeight="1">
      <x:c r="A5" s="28" t="str">
        <x:v>MEB_STANDART</x:v>
      </x:c>
      <x:c r="B5" s="28" t="str">
        <x:v>MEB Et ve Et Ürünleri Teknolojisi</x:v>
      </x:c>
      <x:c r="C5" s="28" t="str">
        <x:v>Tuz</x:v>
      </x:c>
      <x:c r="D5" s="32" t="n">
        <x:v>2.5</x:v>
      </x:c>
      <x:c r="E5" s="28" t="str">
        <x:v>Yaklaşık 100,015 kg bileşen toplamı</x:v>
      </x:c>
      <x:c r="F5" s="34" t="n">
        <x:v>0.024996250562415636</x:v>
      </x:c>
      <x:c r="G5" s="28" t="str">
        <x:v>Normalize edilmiş girdi karışımı</x:v>
      </x:c>
      <x:c r="H5" s="28" t="str">
        <x:v>Yayımlanmış teknik reçetenin değişkenleri kullanılmıştır; güncel mevzuat ve profesyonel gıda güvenliği yerine geçmez.</x:v>
      </x:c>
      <x:c r="I5" s="28" t="str">
        <x:v>https://meslek.meb.gov.tr/upload/dersmateryali/pdf/GD2025ETI111220.pdf</x:v>
      </x:c>
    </x:row>
    <x:row r="6" ht="42" customHeight="1">
      <x:c r="A6" s="28" t="str">
        <x:v>MEB_STANDART</x:v>
      </x:c>
      <x:c r="B6" s="28" t="str">
        <x:v>MEB Et ve Et Ürünleri Teknolojisi</x:v>
      </x:c>
      <x:c r="C6" s="28" t="str">
        <x:v>Diğer küçük girdiler</x:v>
      </x:c>
      <x:c r="D6" s="32" t="n">
        <x:v>1.015</x:v>
      </x:c>
      <x:c r="E6" s="28" t="str">
        <x:v>Yaklaşık 100,015 kg bileşen toplamı</x:v>
      </x:c>
      <x:c r="F6" s="34" t="n">
        <x:v>0.010148477728340748</x:v>
      </x:c>
      <x:c r="G6" s="28" t="str">
        <x:v>Normalize edilmiş girdi karışımı</x:v>
      </x:c>
      <x:c r="H6" s="28" t="str">
        <x:v>Şeker ve yardımcı katkı kalemleri toplamı; ayrıntılı katkı dozajı bu maliyet modelinin amacı değildir.</x:v>
      </x:c>
      <x:c r="I6" s="28" t="str">
        <x:v>https://meslek.meb.gov.tr/upload/dersmateryali/pdf/GD2025ETI111220.pdf</x:v>
      </x:c>
    </x:row>
    <x:row r="7" ht="42" customHeight="1">
      <x:c r="A7" s="28" t="str">
        <x:v>ERZURUM_CI</x:v>
      </x:c>
      <x:c r="B7" s="28" t="str">
        <x:v>KUDAKA — Erzurum Sucuğu coğrafi işaret üretim metodu</x:v>
      </x:c>
      <x:c r="C7" s="28" t="str">
        <x:v>Et</x:v>
      </x:c>
      <x:c r="D7" s="32" t="n">
        <x:v>85</x:v>
      </x:c>
      <x:c r="E7" s="28" t="str">
        <x:v>Kaynakta 100 kg ürün başlığı altında listelenen bileşenler; toplam 106,8 kg</x:v>
      </x:c>
      <x:c r="F7" s="34" t="n">
        <x:v>0.7958801498127341</x:v>
      </x:c>
      <x:c r="G7" s="28" t="str">
        <x:v>Toplam bileşene normalize edildi</x:v>
      </x:c>
      <x:c r="H7" s="28" t="str">
        <x:v>Kaynakta listelenen miktarlar 106,8 kg eder; model, bileşenleri toplam 106,8 kg'a normalize ederek tutarsızlığı görünür kılar.</x:v>
      </x:c>
      <x:c r="I7" s="28" t="str">
        <x:v>https://kudaka.gov.tr/bolgemiz/erzurum/erzurum-yoresel-urunler</x:v>
      </x:c>
    </x:row>
    <x:row r="8" ht="42" customHeight="1">
      <x:c r="A8" s="28" t="str">
        <x:v>ERZURUM_CI</x:v>
      </x:c>
      <x:c r="B8" s="28" t="str">
        <x:v>KUDAKA — Erzurum Sucuğu coğrafi işaret üretim metodu</x:v>
      </x:c>
      <x:c r="C8" s="28" t="str">
        <x:v>Kuyruk yağı</x:v>
      </x:c>
      <x:c r="D8" s="32" t="n">
        <x:v>15</x:v>
      </x:c>
      <x:c r="E8" s="28" t="str">
        <x:v>Toplam 106,8 kg</x:v>
      </x:c>
      <x:c r="F8" s="34" t="n">
        <x:v>0.1404494382022472</x:v>
      </x:c>
      <x:c r="G8" s="28" t="str">
        <x:v>Toplam bileşene normalize edildi</x:v>
      </x:c>
      <x:c r="H8" s="28" t="str">
        <x:v>Kaynak reçetesi gerçek fabrika parti kaydı değildir.</x:v>
      </x:c>
      <x:c r="I8" s="28" t="str">
        <x:v>https://kudaka.gov.tr/bolgemiz/erzurum/erzurum-yoresel-urunler</x:v>
      </x:c>
    </x:row>
    <x:row r="9" ht="42" customHeight="1">
      <x:c r="A9" s="28" t="str">
        <x:v>ERZURUM_CI</x:v>
      </x:c>
      <x:c r="B9" s="28" t="str">
        <x:v>KUDAKA — Erzurum Sucuğu coğrafi işaret üretim metodu</x:v>
      </x:c>
      <x:c r="C9" s="28" t="str">
        <x:v>Sucuk kombi/baharat</x:v>
      </x:c>
      <x:c r="D9" s="32" t="n">
        <x:v>5</x:v>
      </x:c>
      <x:c r="E9" s="28" t="str">
        <x:v>Toplam 106,8 kg</x:v>
      </x:c>
      <x:c r="F9" s="34" t="n">
        <x:v>0.04681647940074907</x:v>
      </x:c>
      <x:c r="G9" s="28" t="str">
        <x:v>Toplam bileşene normalize edildi</x:v>
      </x:c>
      <x:c r="H9" s="28" t="str">
        <x:v>Kaynak reçetesi gerçek fabrika parti kaydı değildir.</x:v>
      </x:c>
      <x:c r="I9" s="28" t="str">
        <x:v>https://kudaka.gov.tr/bolgemiz/erzurum/erzurum-yoresel-urunler</x:v>
      </x:c>
    </x:row>
    <x:row r="10" ht="42" customHeight="1">
      <x:c r="A10" s="28" t="str">
        <x:v>ERZURUM_CI</x:v>
      </x:c>
      <x:c r="B10" s="28" t="str">
        <x:v>KUDAKA — Erzurum Sucuğu coğrafi işaret üretim metodu</x:v>
      </x:c>
      <x:c r="C10" s="28" t="str">
        <x:v>Kürleme tuzu</x:v>
      </x:c>
      <x:c r="D10" s="32" t="n">
        <x:v>1.7</x:v>
      </x:c>
      <x:c r="E10" s="28" t="str">
        <x:v>Toplam 106,8 kg</x:v>
      </x:c>
      <x:c r="F10" s="34" t="n">
        <x:v>0.015917602996254682</x:v>
      </x:c>
      <x:c r="G10" s="28" t="str">
        <x:v>Toplam bileşene normalize edildi</x:v>
      </x:c>
      <x:c r="H10" s="28" t="str">
        <x:v>Gerçek uygulamada yalnızca yürürlükteki mevzuat ve tedarikçi teknik talimatına göre kullanılmalıdır.</x:v>
      </x:c>
      <x:c r="I10" s="28" t="str">
        <x:v>https://kudaka.gov.tr/bolgemiz/erzurum/erzurum-yoresel-urunler</x:v>
      </x:c>
    </x:row>
    <x:row r="11" ht="42" customHeight="1">
      <x:c r="A11" s="28" t="str">
        <x:v>ERZURUM_CI</x:v>
      </x:c>
      <x:c r="B11" s="28" t="str">
        <x:v>KUDAKA — Erzurum Sucuğu coğrafi işaret üretim metodu</x:v>
      </x:c>
      <x:c r="C11" s="28" t="str">
        <x:v>Baybal/yardımcı karışım</x:v>
      </x:c>
      <x:c r="D11" s="32" t="n">
        <x:v>0.1</x:v>
      </x:c>
      <x:c r="E11" s="28" t="str">
        <x:v>Toplam 106,8 kg</x:v>
      </x:c>
      <x:c r="F11" s="34" t="n">
        <x:v>0.0009363295880149814</x:v>
      </x:c>
      <x:c r="G11" s="28" t="str">
        <x:v>Toplam bileşene normalize edildi</x:v>
      </x:c>
      <x:c r="H11" s="28" t="str">
        <x:v>Kaynak bileşeni maliyet modelinde 'diğer küçük girdiler' olarak ele alınır.</x:v>
      </x:c>
      <x:c r="I11" s="28" t="str">
        <x:v>https://kudaka.gov.tr/bolgemiz/erzurum/erzurum-yoresel-urunler</x:v>
      </x:c>
    </x:row>
  </x:sheetData>
  <x:pageMargins left="0.7" right="0.7" top="0.75" bottom="0.75" header="0.3" footer="0.3"/>
  <x:tableParts count="1">
    <x:tablePart xmlns:r="http://schemas.openxmlformats.org/officeDocument/2006/relationships" r:id="R271cdd5927a44a7a"/>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6" hidden="0" customWidth="1"/>
    <x:col min="3" max="3" width="18" hidden="0" customWidth="1"/>
    <x:col min="4" max="4" width="18" hidden="0" customWidth="1"/>
    <x:col min="5" max="5" width="15" hidden="0" customWidth="1"/>
    <x:col min="6" max="6" width="34" hidden="0" customWidth="1"/>
    <x:col min="7" max="7" width="14" hidden="0" customWidth="1"/>
    <x:col min="8" max="8" width="18" hidden="0" customWidth="1"/>
    <x:col min="9" max="9" width="16" hidden="0" customWidth="1"/>
    <x:col min="10" max="10" width="14" hidden="0" customWidth="1"/>
    <x:col min="11" max="11" width="18" hidden="0" customWidth="1"/>
    <x:col min="12" max="12" width="18" hidden="0" customWidth="1"/>
    <x:col min="13" max="13" width="14" hidden="0" customWidth="1"/>
    <x:col min="14" max="14" width="16" hidden="0" customWidth="1"/>
    <x:col min="15" max="15" width="22" hidden="0" customWidth="1"/>
    <x:col min="16" max="16" width="18" hidden="0" customWidth="1"/>
    <x:col min="17" max="17" width="16" hidden="0" customWidth="1"/>
    <x:col min="18" max="18" width="16" hidden="0" customWidth="1"/>
    <x:col min="19" max="19" width="24" hidden="0" customWidth="1"/>
    <x:col min="20" max="20" width="18" hidden="0" customWidth="1"/>
    <x:col min="21" max="21" width="18" hidden="0" customWidth="1"/>
    <x:col min="22" max="22" width="24" hidden="0" customWidth="1"/>
    <x:col min="23" max="23" width="17" hidden="0" customWidth="1"/>
    <x:col min="24" max="24" width="17" hidden="0" customWidth="1"/>
    <x:col min="25" max="25" width="19" hidden="0" customWidth="1"/>
    <x:col min="26" max="26" width="24" hidden="0" customWidth="1"/>
    <x:col min="27" max="27" width="18" hidden="0" customWidth="1"/>
    <x:col min="28" max="28" width="21" hidden="0" customWidth="1"/>
    <x:col min="29" max="29" width="16" hidden="0" customWidth="1"/>
    <x:col min="30" max="30" width="22" hidden="0" customWidth="1"/>
    <x:col min="31" max="31" width="16" hidden="0" customWidth="1"/>
    <x:col min="32" max="32" width="21" hidden="0" customWidth="1"/>
    <x:col min="33" max="33" width="24" hidden="0" customWidth="1"/>
    <x:col min="34" max="34" width="19" hidden="0" customWidth="1"/>
    <x:col min="35" max="35" width="20" hidden="0" customWidth="1"/>
    <x:col min="36" max="36" width="19" hidden="0" customWidth="1"/>
    <x:col min="37" max="37" width="23" hidden="0" customWidth="1"/>
    <x:col min="38" max="38" width="16" hidden="0" customWidth="1"/>
    <x:col min="39" max="39" width="18" hidden="0" customWidth="1"/>
    <x:col min="40" max="40" width="18" hidden="0" customWidth="1"/>
    <x:col min="41" max="41" width="28" hidden="0" customWidth="1"/>
    <x:col min="42" max="42" width="64" hidden="0" customWidth="1"/>
  </x:cols>
  <x:sheetData>
    <x:row r="1" ht="30" customHeight="1">
      <x:c r="A1" s="6" t="str">
        <x:v>Parti_ID</x:v>
      </x:c>
      <x:c r="B1" s="6" t="str">
        <x:v>Tarih_simulasyon</x:v>
      </x:c>
      <x:c r="C1" s="6" t="str">
        <x:v>Bolge</x:v>
      </x:c>
      <x:c r="D1" s="6" t="str">
        <x:v>Recete_profili</x:v>
      </x:c>
      <x:c r="E1" s="6" t="str">
        <x:v>Isleme_modeli</x:v>
      </x:c>
      <x:c r="F1" s="6" t="str">
        <x:v>Veri_sinifi</x:v>
      </x:c>
      <x:c r="G1" s="6" t="str">
        <x:v>Et_girdi_kg</x:v>
      </x:c>
      <x:c r="H1" s="6" t="str">
        <x:v>Kuyruk_yagi_girdi_kg</x:v>
      </x:c>
      <x:c r="I1" s="6" t="str">
        <x:v>Baharat_girdi_kg</x:v>
      </x:c>
      <x:c r="J1" s="6" t="str">
        <x:v>Tuz_girdi_kg</x:v>
      </x:c>
      <x:c r="K1" s="6" t="str">
        <x:v>Diger_kucuk_girdi_kg</x:v>
      </x:c>
      <x:c r="L1" s="6" t="str">
        <x:v>Karisim_girdi_toplam_kg</x:v>
      </x:c>
      <x:c r="M1" s="6" t="str">
        <x:v>Kilif_metre</x:v>
      </x:c>
      <x:c r="N1" s="6" t="str">
        <x:v>Et_fiyat_TL_kg</x:v>
      </x:c>
      <x:c r="O1" s="6" t="str">
        <x:v>Kuyruk_yagi_fiyat_TL_kg</x:v>
      </x:c>
      <x:c r="P1" s="6" t="str">
        <x:v>Baharat_fiyat_TL_kg</x:v>
      </x:c>
      <x:c r="Q1" s="6" t="str">
        <x:v>Tuz_fiyat_TL_kg</x:v>
      </x:c>
      <x:c r="R1" s="6" t="str">
        <x:v>Kilif_fiyat_TL_m</x:v>
      </x:c>
      <x:c r="S1" s="6" t="str">
        <x:v>Fason_birim_bedel_TL_kg_girdi</x:v>
      </x:c>
      <x:c r="T1" s="6" t="str">
        <x:v>Kuruma_kaybi_pct</x:v>
      </x:c>
      <x:c r="U1" s="6" t="str">
        <x:v>Ayiklama_fire_pct</x:v>
      </x:c>
      <x:c r="V1" s="6" t="str">
        <x:v>Net_sucuk_ciktisi_kg_simule</x:v>
      </x:c>
      <x:c r="W1" s="6" t="str">
        <x:v>Et_maliyeti_TL</x:v>
      </x:c>
      <x:c r="X1" s="6" t="str">
        <x:v>Yag_maliyeti_TL</x:v>
      </x:c>
      <x:c r="Y1" s="6" t="str">
        <x:v>Baharat_maliyeti_TL</x:v>
      </x:c>
      <x:c r="Z1" s="6" t="str">
        <x:v>Tuz_diger_girdi_maliyeti_TL</x:v>
      </x:c>
      <x:c r="AA1" s="6" t="str">
        <x:v>Kilif_maliyeti_TL</x:v>
      </x:c>
      <x:c r="AB1" s="6" t="str">
        <x:v>Direkt_malzeme_toplam_TL</x:v>
      </x:c>
      <x:c r="AC1" s="6" t="str">
        <x:v>Iscilik_saati</x:v>
      </x:c>
      <x:c r="AD1" s="6" t="str">
        <x:v>Iscilik_maliyeti_TL_saat</x:v>
      </x:c>
      <x:c r="AE1" s="6" t="str">
        <x:v>Elektrik_kWh</x:v>
      </x:c>
      <x:c r="AF1" s="6" t="str">
        <x:v>Elektrik_fiyati_TL_kWh</x:v>
      </x:c>
      <x:c r="AG1" s="6" t="str">
        <x:v>Ambalaj_TL_kg_net_urun</x:v>
      </x:c>
      <x:c r="AH1" s="6" t="str">
        <x:v>Fason_hizmet_TL</x:v>
      </x:c>
      <x:c r="AI1" s="6" t="str">
        <x:v>Kurum_ici_isleme_TL</x:v>
      </x:c>
      <x:c r="AJ1" s="6" t="str">
        <x:v>Paketleme_maliyeti_TL</x:v>
      </x:c>
      <x:c r="AK1" s="6" t="str">
        <x:v>Genel_gider_TL</x:v>
      </x:c>
      <x:c r="AL1" s="6" t="str">
        <x:v>Toplam_parti_maliyeti_TL</x:v>
      </x:c>
      <x:c r="AM1" s="6" t="str">
        <x:v>EKP_TL_kg</x:v>
      </x:c>
      <x:c r="AN1" s="6" t="str">
        <x:v>Et_ve_yag_maliyet_payi_pct</x:v>
      </x:c>
      <x:c r="AO1" s="6" t="str">
        <x:v>Referans_kodlari</x:v>
      </x:c>
      <x:c r="AP1" s="6" t="str">
        <x:v>Notlar</x:v>
      </x:c>
    </x:row>
    <x:row r="2" ht="22" customHeight="1">
      <x:c r="A2" t="str">
        <x:v>SUC-0001</x:v>
      </x:c>
      <x:c r="B2" s="36" t="n">
        <x:v>46315</x:v>
      </x:c>
      <x:c r="C2" t="str">
        <x:v>Güneydoğu Anadolu</x:v>
      </x:c>
      <x:c r="D2" t="str">
        <x:v>MEB_STANDART</x:v>
      </x:c>
      <x:c r="E2" t="str">
        <x:v>Fason</x:v>
      </x:c>
      <x:c r="F2" s="42" t="str">
        <x:v>SENTETİK/SİMÜLE — gerçek parti kaydı değildir</x:v>
      </x:c>
      <x:c r="G2" s="38" t="n">
        <x:v>281.007</x:v>
      </x:c>
      <x:c r="H2" s="38" t="n">
        <x:v>86.479</x:v>
      </x:c>
      <x:c r="I2" s="38" t="n">
        <x:v>18.347</x:v>
      </x:c>
      <x:c r="J2" s="38" t="n">
        <x:v>9.71</x:v>
      </x:c>
      <x:c r="K2" s="38" t="n">
        <x:v>4.432</x:v>
      </x:c>
      <x:c r="L2" s="38" t="n">
        <x:f>SUM(G2:K2)</x:f>
        <x:v>399.97499999999997</x:v>
      </x:c>
      <x:c r="M2" s="38" t="n">
        <x:v>534.927</x:v>
      </x:c>
      <x:c r="N2" s="38" t="n">
        <x:v>597.39</x:v>
      </x:c>
      <x:c r="O2" s="38" t="n">
        <x:v>426.83</x:v>
      </x:c>
      <x:c r="P2" s="38" t="n">
        <x:v>400</x:v>
      </x:c>
      <x:c r="Q2" s="38" t="n">
        <x:v>19.88</x:v>
      </x:c>
      <x:c r="R2" s="38" t="n">
        <x:v>43.7475</x:v>
      </x:c>
      <x:c r="S2" s="38" t="n">
        <x:v>123.99</x:v>
      </x:c>
      <x:c r="T2" s="40" t="n">
        <x:v>20.16</x:v>
      </x:c>
      <x:c r="U2" s="40" t="n">
        <x:v>1.69</x:v>
      </x:c>
      <x:c r="V2" s="38" t="n">
        <x:f>L2*(1-T2/100)*(1-U2/100)</x:f>
        <x:v>313.943193324</x:v>
      </x:c>
      <x:c r="W2" s="38" t="n">
        <x:f>G2*N2</x:f>
        <x:v>167870.77173</x:v>
      </x:c>
      <x:c r="X2" s="38" t="n">
        <x:f>H2*O2</x:f>
        <x:v>36911.831569999995</x:v>
      </x:c>
      <x:c r="Y2" s="38" t="n">
        <x:f>I2*P2</x:f>
        <x:v>7338.8</x:v>
      </x:c>
      <x:c r="Z2" s="38" t="n">
        <x:f>J2*Q2+K2*P2</x:f>
        <x:v>1965.8348</x:v>
      </x:c>
      <x:c r="AA2" s="38" t="n">
        <x:f>M2*R2</x:f>
        <x:v>23401.718932500004</x:v>
      </x:c>
      <x:c r="AB2" s="38" t="n">
        <x:f>SUM(W2:AA2)</x:f>
        <x:v>237488.9570325</x:v>
      </x:c>
      <x:c r="AC2" s="38" t="n">
        <x:v>18.42</x:v>
      </x:c>
      <x:c r="AD2" s="38" t="n">
        <x:v>174.33</x:v>
      </x:c>
      <x:c r="AE2" s="38" t="n">
        <x:v>100.02</x:v>
      </x:c>
      <x:c r="AF2" s="38" t="n">
        <x:v>4.8148</x:v>
      </x:c>
      <x:c r="AG2" s="38" t="n">
        <x:v>5.44</x:v>
      </x:c>
      <x:c r="AH2" s="38" t="n">
        <x:f>IF(E2="Fason",L2*S2,0)</x:f>
        <x:v>49592.90024999999</x:v>
      </x:c>
      <x:c r="AI2" s="38" t="n">
        <x:f>IF(E2="Kurum içi",AC2*AD2+AE2*AF2+AB2*12%,0)</x:f>
        <x:v>0</x:v>
      </x:c>
      <x:c r="AJ2" s="38" t="n">
        <x:f>V2*AG2</x:f>
        <x:v>1707.8509716825602</x:v>
      </x:c>
      <x:c r="AK2" s="38" t="n">
        <x:f>AB2*2%</x:f>
        <x:v>4749.77914065</x:v>
      </x:c>
      <x:c r="AL2" s="38" t="n">
        <x:f>AB2+AH2+AI2+AJ2+AK2</x:f>
        <x:v>293539.4873948326</x:v>
      </x:c>
      <x:c r="AM2" s="38" t="n">
        <x:f>AL2/V2</x:f>
        <x:v>935.0082869670307</x:v>
      </x:c>
      <x:c r="AN2" s="40" t="n">
        <x:f>(W2+X2)/AL2*100</x:f>
        <x:v>69.76322167673206</x:v>
      </x:c>
      <x:c r="AO2" s="28" t="str">
        <x:v>R01-R20; ilgili satırdaki bölgesel fiyat ve maliyet varsayımları</x:v>
      </x:c>
      <x:c r="AP2" s="28" t="str">
        <x:v>Girdi miktarları, alım fiyatı değişimi, fason bedeli ve parti sonucu simüle edilmiştir; işletme kaydı değildir.</x:v>
      </x:c>
    </x:row>
    <x:row r="3" ht="22" customHeight="1">
      <x:c r="A3" t="str">
        <x:v>SUC-0002</x:v>
      </x:c>
      <x:c r="B3" s="36" t="n">
        <x:v>46270</x:v>
      </x:c>
      <x:c r="C3" t="str">
        <x:v>İç Anadolu</x:v>
      </x:c>
      <x:c r="D3" t="str">
        <x:v>ERZURUM_CI</x:v>
      </x:c>
      <x:c r="E3" t="str">
        <x:v>Fason</x:v>
      </x:c>
      <x:c r="F3" s="42" t="str">
        <x:v>SENTETİK/SİMÜLE — gerçek parti kaydı değildir</x:v>
      </x:c>
      <x:c r="G3" s="38" t="n">
        <x:v>175.626</x:v>
      </x:c>
      <x:c r="H3" s="38" t="n">
        <x:v>31.485</x:v>
      </x:c>
      <x:c r="I3" s="38" t="n">
        <x:v>10.002</x:v>
      </x:c>
      <x:c r="J3" s="38" t="n">
        <x:v>3.182</x:v>
      </x:c>
      <x:c r="K3" s="38" t="n">
        <x:v>0.251</x:v>
      </x:c>
      <x:c r="L3" s="38" t="n">
        <x:f>SUM(G3:K3)</x:f>
        <x:v>220.546</x:v>
      </x:c>
      <x:c r="M3" s="38" t="n">
        <x:v>294.708</x:v>
      </x:c>
      <x:c r="N3" s="38" t="n">
        <x:v>587.39</x:v>
      </x:c>
      <x:c r="O3" s="38" t="n">
        <x:v>429.16</x:v>
      </x:c>
      <x:c r="P3" s="38" t="n">
        <x:v>400</x:v>
      </x:c>
      <x:c r="Q3" s="38" t="n">
        <x:v>19.88</x:v>
      </x:c>
      <x:c r="R3" s="38" t="n">
        <x:v>43.7475</x:v>
      </x:c>
      <x:c r="S3" s="38" t="n">
        <x:v>97.92</x:v>
      </x:c>
      <x:c r="T3" s="40" t="n">
        <x:v>26.1</x:v>
      </x:c>
      <x:c r="U3" s="40" t="n">
        <x:v>1</x:v>
      </x:c>
      <x:c r="V3" s="38" t="n">
        <x:f>L3*(1-T3/100)*(1-U3/100)</x:f>
        <x:v>161.35365905999998</x:v>
      </x:c>
      <x:c r="W3" s="38" t="n">
        <x:f>G3*N3</x:f>
        <x:v>103160.95614</x:v>
      </x:c>
      <x:c r="X3" s="38" t="n">
        <x:f>H3*O3</x:f>
        <x:v>13512.1026</x:v>
      </x:c>
      <x:c r="Y3" s="38" t="n">
        <x:f>I3*P3</x:f>
        <x:v>4000.8</x:v>
      </x:c>
      <x:c r="Z3" s="38" t="n">
        <x:f>J3*Q3+K3*P3</x:f>
        <x:v>163.65816</x:v>
      </x:c>
      <x:c r="AA3" s="38" t="n">
        <x:f>M3*R3</x:f>
        <x:v>12892.738230000003</x:v>
      </x:c>
      <x:c r="AB3" s="38" t="n">
        <x:f>SUM(W3:AA3)</x:f>
        <x:v>133730.25513</x:v>
      </x:c>
      <x:c r="AC3" s="38" t="n">
        <x:v>8.67</x:v>
      </x:c>
      <x:c r="AD3" s="38" t="n">
        <x:v>174.33</x:v>
      </x:c>
      <x:c r="AE3" s="38" t="n">
        <x:v>105.07</x:v>
      </x:c>
      <x:c r="AF3" s="38" t="n">
        <x:v>4.8148</x:v>
      </x:c>
      <x:c r="AG3" s="38" t="n">
        <x:v>5.77</x:v>
      </x:c>
      <x:c r="AH3" s="38" t="n">
        <x:f>IF(E3="Fason",L3*S3,0)</x:f>
        <x:v>21595.86432</x:v>
      </x:c>
      <x:c r="AI3" s="38" t="n">
        <x:f>IF(E3="Kurum içi",AC3*AD3+AE3*AF3+AB3*12%,0)</x:f>
        <x:v>0</x:v>
      </x:c>
      <x:c r="AJ3" s="38" t="n">
        <x:f>V3*AG3</x:f>
        <x:v>931.0106127761999</x:v>
      </x:c>
      <x:c r="AK3" s="38" t="n">
        <x:f>AB3*2%</x:f>
        <x:v>2674.6051026</x:v>
      </x:c>
      <x:c r="AL3" s="38" t="n">
        <x:f>AB3+AH3+AI3+AJ3+AK3</x:f>
        <x:v>158931.73516537622</x:v>
      </x:c>
      <x:c r="AM3" s="38" t="n">
        <x:f>AL3/V3</x:f>
        <x:v>984.9899660860918</x:v>
      </x:c>
      <x:c r="AN3" s="40" t="n">
        <x:f>(W3+X3)/AL3*100</x:f>
        <x:v>73.41080031536558</x:v>
      </x:c>
      <x:c r="AO3" s="28" t="str">
        <x:v>R01-R20; ilgili satırdaki bölgesel fiyat ve maliyet varsayımları</x:v>
      </x:c>
      <x:c r="AP3" s="28" t="str">
        <x:v>Girdi miktarları, alım fiyatı değişimi, fason bedeli ve parti sonucu simüle edilmiştir; işletme kaydı değildir.</x:v>
      </x:c>
    </x:row>
    <x:row r="4" ht="22" customHeight="1">
      <x:c r="A4" t="str">
        <x:v>SUC-0003</x:v>
      </x:c>
      <x:c r="B4" s="36" t="n">
        <x:v>46288</x:v>
      </x:c>
      <x:c r="C4" t="str">
        <x:v>Akdeniz</x:v>
      </x:c>
      <x:c r="D4" t="str">
        <x:v>ERZURUM_CI</x:v>
      </x:c>
      <x:c r="E4" t="str">
        <x:v>Kurum içi</x:v>
      </x:c>
      <x:c r="F4" s="42" t="str">
        <x:v>SENTETİK/SİMÜLE — gerçek parti kaydı değildir</x:v>
      </x:c>
      <x:c r="G4" s="38" t="n">
        <x:v>240.074</x:v>
      </x:c>
      <x:c r="H4" s="38" t="n">
        <x:v>42.841</x:v>
      </x:c>
      <x:c r="I4" s="38" t="n">
        <x:v>14.764</x:v>
      </x:c>
      <x:c r="J4" s="38" t="n">
        <x:v>4.289</x:v>
      </x:c>
      <x:c r="K4" s="38" t="n">
        <x:v>0.031</x:v>
      </x:c>
      <x:c r="L4" s="38" t="n">
        <x:f>SUM(G4:K4)</x:f>
        <x:v>301.999</x:v>
      </x:c>
      <x:c r="M4" s="38" t="n">
        <x:v>379.254</x:v>
      </x:c>
      <x:c r="N4" s="38" t="n">
        <x:v>594.43</x:v>
      </x:c>
      <x:c r="O4" s="38" t="n">
        <x:v>411.67</x:v>
      </x:c>
      <x:c r="P4" s="38" t="n">
        <x:v>400</x:v>
      </x:c>
      <x:c r="Q4" s="38" t="n">
        <x:v>19.88</x:v>
      </x:c>
      <x:c r="R4" s="38" t="n">
        <x:v>43.7475</x:v>
      </x:c>
      <x:c r="S4" s="38" t="n">
        <x:v>90.06</x:v>
      </x:c>
      <x:c r="T4" s="40" t="n">
        <x:v>16.39</x:v>
      </x:c>
      <x:c r="U4" s="40" t="n">
        <x:v>1.21</x:v>
      </x:c>
      <x:c r="V4" s="38" t="n">
        <x:f>L4*(1-T4/100)*(1-U4/100)</x:f>
        <x:v>249.44609739681</x:v>
      </x:c>
      <x:c r="W4" s="38" t="n">
        <x:f>G4*N4</x:f>
        <x:v>142707.18782</x:v>
      </x:c>
      <x:c r="X4" s="38" t="n">
        <x:f>H4*O4</x:f>
        <x:v>17636.354470000002</x:v>
      </x:c>
      <x:c r="Y4" s="38" t="n">
        <x:f>I4*P4</x:f>
        <x:v>5905.599999999999</x:v>
      </x:c>
      <x:c r="Z4" s="38" t="n">
        <x:f>J4*Q4+K4*P4</x:f>
        <x:v>97.66532</x:v>
      </x:c>
      <x:c r="AA4" s="38" t="n">
        <x:f>M4*R4</x:f>
        <x:v>16591.414365</x:v>
      </x:c>
      <x:c r="AB4" s="38" t="n">
        <x:f>SUM(W4:AA4)</x:f>
        <x:v>182938.221975</x:v>
      </x:c>
      <x:c r="AC4" s="38" t="n">
        <x:v>12.96</x:v>
      </x:c>
      <x:c r="AD4" s="38" t="n">
        <x:v>174.33</x:v>
      </x:c>
      <x:c r="AE4" s="38" t="n">
        <x:v>77.76</x:v>
      </x:c>
      <x:c r="AF4" s="38" t="n">
        <x:v>4.8148</x:v>
      </x:c>
      <x:c r="AG4" s="38" t="n">
        <x:v>5.85</x:v>
      </x:c>
      <x:c r="AH4" s="38" t="n">
        <x:f>IF(E4="Fason",L4*S4,0)</x:f>
        <x:v>0</x:v>
      </x:c>
      <x:c r="AI4" s="38" t="n">
        <x:f>IF(E4="Kurum içi",AC4*AD4+AE4*AF4+AB4*12%,0)</x:f>
        <x:v>24586.302284999998</x:v>
      </x:c>
      <x:c r="AJ4" s="38" t="n">
        <x:f>V4*AG4</x:f>
        <x:v>1459.2596697713384</x:v>
      </x:c>
      <x:c r="AK4" s="38" t="n">
        <x:f>AB4*2%</x:f>
        <x:v>3658.7644394999998</x:v>
      </x:c>
      <x:c r="AL4" s="38" t="n">
        <x:f>AB4+AH4+AI4+AJ4+AK4</x:f>
        <x:v>212642.5483692713</x:v>
      </x:c>
      <x:c r="AM4" s="38" t="n">
        <x:f>AL4/V4</x:f>
        <x:v>852.4589103152297</x:v>
      </x:c>
      <x:c r="AN4" s="40" t="n">
        <x:f>(W4+X4)/AL4*100</x:f>
        <x:v>75.40520160224482</x:v>
      </x:c>
      <x:c r="AO4" s="28" t="str">
        <x:v>R01-R20; ilgili satırdaki bölgesel fiyat ve maliyet varsayımları</x:v>
      </x:c>
      <x:c r="AP4" s="28" t="str">
        <x:v>Girdi miktarları, alım fiyatı değişimi, fason bedeli ve parti sonucu simüle edilmiştir; işletme kaydı değildir.</x:v>
      </x:c>
    </x:row>
    <x:row r="5" ht="22" customHeight="1">
      <x:c r="A5" t="str">
        <x:v>SUC-0004</x:v>
      </x:c>
      <x:c r="B5" s="36" t="n">
        <x:v>46283</x:v>
      </x:c>
      <x:c r="C5" t="str">
        <x:v>Karadeniz</x:v>
      </x:c>
      <x:c r="D5" t="str">
        <x:v>ERZURUM_CI</x:v>
      </x:c>
      <x:c r="E5" t="str">
        <x:v>Fason</x:v>
      </x:c>
      <x:c r="F5" s="42" t="str">
        <x:v>SENTETİK/SİMÜLE — gerçek parti kaydı değildir</x:v>
      </x:c>
      <x:c r="G5" s="38" t="n">
        <x:v>147.385</x:v>
      </x:c>
      <x:c r="H5" s="38" t="n">
        <x:v>25.096</x:v>
      </x:c>
      <x:c r="I5" s="38" t="n">
        <x:v>9.104</x:v>
      </x:c>
      <x:c r="J5" s="38" t="n">
        <x:v>3.326</x:v>
      </x:c>
      <x:c r="K5" s="38" t="n">
        <x:v>0.019</x:v>
      </x:c>
      <x:c r="L5" s="38" t="n">
        <x:f>SUM(G5:K5)</x:f>
        <x:v>184.92999999999998</x:v>
      </x:c>
      <x:c r="M5" s="38" t="n">
        <x:v>250.032</x:v>
      </x:c>
      <x:c r="N5" s="38" t="n">
        <x:v>606.71</x:v>
      </x:c>
      <x:c r="O5" s="38" t="n">
        <x:v>430.22</x:v>
      </x:c>
      <x:c r="P5" s="38" t="n">
        <x:v>550</x:v>
      </x:c>
      <x:c r="Q5" s="38" t="n">
        <x:v>19.88</x:v>
      </x:c>
      <x:c r="R5" s="38" t="n">
        <x:v>43.7475</x:v>
      </x:c>
      <x:c r="S5" s="38" t="n">
        <x:v>101.72</x:v>
      </x:c>
      <x:c r="T5" s="40" t="n">
        <x:v>18</x:v>
      </x:c>
      <x:c r="U5" s="40" t="n">
        <x:v>0.83</x:v>
      </x:c>
      <x:c r="V5" s="38" t="n">
        <x:f>L5*(1-T5/100)*(1-U5/100)</x:f>
        <x:v>150.38396641999998</x:v>
      </x:c>
      <x:c r="W5" s="38" t="n">
        <x:f>G5*N5</x:f>
        <x:v>89419.95335</x:v>
      </x:c>
      <x:c r="X5" s="38" t="n">
        <x:f>H5*O5</x:f>
        <x:v>10796.80112</x:v>
      </x:c>
      <x:c r="Y5" s="38" t="n">
        <x:f>I5*P5</x:f>
        <x:v>5007.2</x:v>
      </x:c>
      <x:c r="Z5" s="38" t="n">
        <x:f>J5*Q5+K5*P5</x:f>
        <x:v>76.57088</x:v>
      </x:c>
      <x:c r="AA5" s="38" t="n">
        <x:f>M5*R5</x:f>
        <x:v>10938.274920000002</x:v>
      </x:c>
      <x:c r="AB5" s="38" t="n">
        <x:f>SUM(W5:AA5)</x:f>
        <x:v>116238.80026999999</x:v>
      </x:c>
      <x:c r="AC5" s="38" t="n">
        <x:v>9.04</x:v>
      </x:c>
      <x:c r="AD5" s="38" t="n">
        <x:v>174.33</x:v>
      </x:c>
      <x:c r="AE5" s="38" t="n">
        <x:v>80.36</x:v>
      </x:c>
      <x:c r="AF5" s="38" t="n">
        <x:v>4.8148</x:v>
      </x:c>
      <x:c r="AG5" s="38" t="n">
        <x:v>5.39</x:v>
      </x:c>
      <x:c r="AH5" s="38" t="n">
        <x:f>IF(E5="Fason",L5*S5,0)</x:f>
        <x:v>18811.079599999997</x:v>
      </x:c>
      <x:c r="AI5" s="38" t="n">
        <x:f>IF(E5="Kurum içi",AC5*AD5+AE5*AF5+AB5*12%,0)</x:f>
        <x:v>0</x:v>
      </x:c>
      <x:c r="AJ5" s="38" t="n">
        <x:f>V5*AG5</x:f>
        <x:v>810.5695790037998</x:v>
      </x:c>
      <x:c r="AK5" s="38" t="n">
        <x:f>AB5*2%</x:f>
        <x:v>2324.7760054</x:v>
      </x:c>
      <x:c r="AL5" s="38" t="n">
        <x:f>AB5+AH5+AI5+AJ5+AK5</x:f>
        <x:v>138185.2254544038</x:v>
      </x:c>
      <x:c r="AM5" s="38" t="n">
        <x:f>AL5/V5</x:f>
        <x:v>918.8827023518788</x:v>
      </x:c>
      <x:c r="AN5" s="40" t="n">
        <x:f>(W5+X5)/AL5*100</x:f>
        <x:v>72.52349456351104</x:v>
      </x:c>
      <x:c r="AO5" s="28" t="str">
        <x:v>R01-R20; ilgili satırdaki bölgesel fiyat ve maliyet varsayımları</x:v>
      </x:c>
      <x:c r="AP5" s="28" t="str">
        <x:v>Girdi miktarları, alım fiyatı değişimi, fason bedeli ve parti sonucu simüle edilmiştir; işletme kaydı değildir.</x:v>
      </x:c>
    </x:row>
    <x:row r="6" ht="22" customHeight="1">
      <x:c r="A6" t="str">
        <x:v>SUC-0005</x:v>
      </x:c>
      <x:c r="B6" s="36" t="n">
        <x:v>46273</x:v>
      </x:c>
      <x:c r="C6" t="str">
        <x:v>Karadeniz</x:v>
      </x:c>
      <x:c r="D6" t="str">
        <x:v>MEB_STANDART</x:v>
      </x:c>
      <x:c r="E6" t="str">
        <x:v>Fason</x:v>
      </x:c>
      <x:c r="F6" s="42" t="str">
        <x:v>SENTETİK/SİMÜLE — gerçek parti kaydı değildir</x:v>
      </x:c>
      <x:c r="G6" s="38" t="n">
        <x:v>60.319</x:v>
      </x:c>
      <x:c r="H6" s="38" t="n">
        <x:v>19.511</x:v>
      </x:c>
      <x:c r="I6" s="38" t="n">
        <x:v>3.73</x:v>
      </x:c>
      <x:c r="J6" s="38" t="n">
        <x:v>1.986</x:v>
      </x:c>
      <x:c r="K6" s="38" t="n">
        <x:v>0.887</x:v>
      </x:c>
      <x:c r="L6" s="38" t="n">
        <x:f>SUM(G6:K6)</x:f>
        <x:v>86.433</x:v>
      </x:c>
      <x:c r="M6" s="38" t="n">
        <x:v>111.122</x:v>
      </x:c>
      <x:c r="N6" s="38" t="n">
        <x:v>598.57</x:v>
      </x:c>
      <x:c r="O6" s="38" t="n">
        <x:v>466.11</x:v>
      </x:c>
      <x:c r="P6" s="38" t="n">
        <x:v>669.9</x:v>
      </x:c>
      <x:c r="Q6" s="38" t="n">
        <x:v>19.88</x:v>
      </x:c>
      <x:c r="R6" s="38" t="n">
        <x:v>43.7475</x:v>
      </x:c>
      <x:c r="S6" s="38" t="n">
        <x:v>80.81</x:v>
      </x:c>
      <x:c r="T6" s="40" t="n">
        <x:v>20.35</x:v>
      </x:c>
      <x:c r="U6" s="40" t="n">
        <x:v>0.58</x:v>
      </x:c>
      <x:c r="V6" s="38" t="n">
        <x:f>L6*(1-T6/100)*(1-U6/100)</x:f>
        <x:v>68.4445899699</x:v>
      </x:c>
      <x:c r="W6" s="38" t="n">
        <x:f>G6*N6</x:f>
        <x:v>36105.14383000001</x:v>
      </x:c>
      <x:c r="X6" s="38" t="n">
        <x:f>H6*O6</x:f>
        <x:v>9094.27221</x:v>
      </x:c>
      <x:c r="Y6" s="38" t="n">
        <x:f>I6*P6</x:f>
        <x:v>2498.727</x:v>
      </x:c>
      <x:c r="Z6" s="38" t="n">
        <x:f>J6*Q6+K6*P6</x:f>
        <x:v>633.6829799999999</x:v>
      </x:c>
      <x:c r="AA6" s="38" t="n">
        <x:f>M6*R6</x:f>
        <x:v>4861.309695</x:v>
      </x:c>
      <x:c r="AB6" s="38" t="n">
        <x:f>SUM(W6:AA6)</x:f>
        <x:v>53193.13571500001</x:v>
      </x:c>
      <x:c r="AC6" s="38" t="n">
        <x:v>4.93</x:v>
      </x:c>
      <x:c r="AD6" s="38" t="n">
        <x:v>174.33</x:v>
      </x:c>
      <x:c r="AE6" s="38" t="n">
        <x:v>28.14</x:v>
      </x:c>
      <x:c r="AF6" s="38" t="n">
        <x:v>4.8148</x:v>
      </x:c>
      <x:c r="AG6" s="38" t="n">
        <x:v>5.71</x:v>
      </x:c>
      <x:c r="AH6" s="38" t="n">
        <x:f>IF(E6="Fason",L6*S6,0)</x:f>
        <x:v>6984.650730000001</x:v>
      </x:c>
      <x:c r="AI6" s="38" t="n">
        <x:f>IF(E6="Kurum içi",AC6*AD6+AE6*AF6+AB6*12%,0)</x:f>
        <x:v>0</x:v>
      </x:c>
      <x:c r="AJ6" s="38" t="n">
        <x:f>V6*AG6</x:f>
        <x:v>390.81860872812894</x:v>
      </x:c>
      <x:c r="AK6" s="38" t="n">
        <x:f>AB6*2%</x:f>
        <x:v>1063.8627143000003</x:v>
      </x:c>
      <x:c r="AL6" s="38" t="n">
        <x:f>AB6+AH6+AI6+AJ6+AK6</x:f>
        <x:v>61632.46776802814</x:v>
      </x:c>
      <x:c r="AM6" s="38" t="n">
        <x:f>AL6/V6</x:f>
        <x:v>900.4724521709073</x:v>
      </x:c>
      <x:c r="AN6" s="40" t="n">
        <x:f>(W6+X6)/AL6*100</x:f>
        <x:v>73.3370213409615</x:v>
      </x:c>
      <x:c r="AO6" s="28" t="str">
        <x:v>R01-R20; ilgili satırdaki bölgesel fiyat ve maliyet varsayımları</x:v>
      </x:c>
      <x:c r="AP6" s="28" t="str">
        <x:v>Girdi miktarları, alım fiyatı değişimi, fason bedeli ve parti sonucu simüle edilmiştir; işletme kaydı değildir.</x:v>
      </x:c>
    </x:row>
    <x:row r="7" ht="22" customHeight="1">
      <x:c r="A7" t="str">
        <x:v>SUC-0006</x:v>
      </x:c>
      <x:c r="B7" s="36" t="n">
        <x:v>46288</x:v>
      </x:c>
      <x:c r="C7" t="str">
        <x:v>Doğu Anadolu</x:v>
      </x:c>
      <x:c r="D7" t="str">
        <x:v>ERZURUM_CI</x:v>
      </x:c>
      <x:c r="E7" t="str">
        <x:v>Fason</x:v>
      </x:c>
      <x:c r="F7" s="42" t="str">
        <x:v>SENTETİK/SİMÜLE — gerçek parti kaydı değildir</x:v>
      </x:c>
      <x:c r="G7" s="38" t="n">
        <x:v>388.203</x:v>
      </x:c>
      <x:c r="H7" s="38" t="n">
        <x:v>71.825</x:v>
      </x:c>
      <x:c r="I7" s="38" t="n">
        <x:v>23.101</x:v>
      </x:c>
      <x:c r="J7" s="38" t="n">
        <x:v>8.052</x:v>
      </x:c>
      <x:c r="K7" s="38" t="n">
        <x:v>0.049</x:v>
      </x:c>
      <x:c r="L7" s="38" t="n">
        <x:f>SUM(G7:K7)</x:f>
        <x:v>491.22999999999996</x:v>
      </x:c>
      <x:c r="M7" s="38" t="n">
        <x:v>611.384</x:v>
      </x:c>
      <x:c r="N7" s="38" t="n">
        <x:v>583.59</x:v>
      </x:c>
      <x:c r="O7" s="38" t="n">
        <x:v>441.49</x:v>
      </x:c>
      <x:c r="P7" s="38" t="n">
        <x:v>669.9</x:v>
      </x:c>
      <x:c r="Q7" s="38" t="n">
        <x:v>19.88</x:v>
      </x:c>
      <x:c r="R7" s="38" t="n">
        <x:v>43.7475</x:v>
      </x:c>
      <x:c r="S7" s="38" t="n">
        <x:v>80.45</x:v>
      </x:c>
      <x:c r="T7" s="40" t="n">
        <x:v>22.77</x:v>
      </x:c>
      <x:c r="U7" s="40" t="n">
        <x:v>1.32</x:v>
      </x:c>
      <x:c r="V7" s="38" t="n">
        <x:f>L7*(1-T7/100)*(1-U7/100)</x:f>
        <x:v>374.36915353719996</x:v>
      </x:c>
      <x:c r="W7" s="38" t="n">
        <x:f>G7*N7</x:f>
        <x:v>226551.38877</x:v>
      </x:c>
      <x:c r="X7" s="38" t="n">
        <x:f>H7*O7</x:f>
        <x:v>31710.01925</x:v>
      </x:c>
      <x:c r="Y7" s="38" t="n">
        <x:f>I7*P7</x:f>
        <x:v>15475.3599</x:v>
      </x:c>
      <x:c r="Z7" s="38" t="n">
        <x:f>J7*Q7+K7*P7</x:f>
        <x:v>192.89885999999998</x:v>
      </x:c>
      <x:c r="AA7" s="38" t="n">
        <x:f>M7*R7</x:f>
        <x:v>26746.52154</x:v>
      </x:c>
      <x:c r="AB7" s="38" t="n">
        <x:f>SUM(W7:AA7)</x:f>
        <x:v>300676.18832</x:v>
      </x:c>
      <x:c r="AC7" s="38" t="n">
        <x:v>27.27</x:v>
      </x:c>
      <x:c r="AD7" s="38" t="n">
        <x:v>174.33</x:v>
      </x:c>
      <x:c r="AE7" s="38" t="n">
        <x:v>112.27</x:v>
      </x:c>
      <x:c r="AF7" s="38" t="n">
        <x:v>4.8148</x:v>
      </x:c>
      <x:c r="AG7" s="38" t="n">
        <x:v>5.51</x:v>
      </x:c>
      <x:c r="AH7" s="38" t="n">
        <x:f>IF(E7="Fason",L7*S7,0)</x:f>
        <x:v>39519.453499999996</x:v>
      </x:c>
      <x:c r="AI7" s="38" t="n">
        <x:f>IF(E7="Kurum içi",AC7*AD7+AE7*AF7+AB7*12%,0)</x:f>
        <x:v>0</x:v>
      </x:c>
      <x:c r="AJ7" s="38" t="n">
        <x:f>V7*AG7</x:f>
        <x:v>2062.7740359899717</x:v>
      </x:c>
      <x:c r="AK7" s="38" t="n">
        <x:f>AB7*2%</x:f>
        <x:v>6013.523766400001</x:v>
      </x:c>
      <x:c r="AL7" s="38" t="n">
        <x:f>AB7+AH7+AI7+AJ7+AK7</x:f>
        <x:v>348271.93962238997</x:v>
      </x:c>
      <x:c r="AM7" s="38" t="n">
        <x:f>AL7/V7</x:f>
        <x:v>930.2901596773336</x:v>
      </x:c>
      <x:c r="AN7" s="40" t="n">
        <x:f>(W7+X7)/AL7*100</x:f>
        <x:v>74.15510083873455</x:v>
      </x:c>
      <x:c r="AO7" s="28" t="str">
        <x:v>R01-R20; ilgili satırdaki bölgesel fiyat ve maliyet varsayımları</x:v>
      </x:c>
      <x:c r="AP7" s="28" t="str">
        <x:v>Girdi miktarları, alım fiyatı değişimi, fason bedeli ve parti sonucu simüle edilmiştir; işletme kaydı değildir.</x:v>
      </x:c>
    </x:row>
    <x:row r="8" ht="22" customHeight="1">
      <x:c r="A8" t="str">
        <x:v>SUC-0007</x:v>
      </x:c>
      <x:c r="B8" s="36" t="n">
        <x:v>46269</x:v>
      </x:c>
      <x:c r="C8" t="str">
        <x:v>Karadeniz</x:v>
      </x:c>
      <x:c r="D8" t="str">
        <x:v>ERZURUM_CI</x:v>
      </x:c>
      <x:c r="E8" t="str">
        <x:v>Fason</x:v>
      </x:c>
      <x:c r="F8" s="42" t="str">
        <x:v>SENTETİK/SİMÜLE — gerçek parti kaydı değildir</x:v>
      </x:c>
      <x:c r="G8" s="38" t="n">
        <x:v>130.202</x:v>
      </x:c>
      <x:c r="H8" s="38" t="n">
        <x:v>22.698</x:v>
      </x:c>
      <x:c r="I8" s="38" t="n">
        <x:v>7.934</x:v>
      </x:c>
      <x:c r="J8" s="38" t="n">
        <x:v>2.593</x:v>
      </x:c>
      <x:c r="K8" s="38" t="n">
        <x:v>0.016</x:v>
      </x:c>
      <x:c r="L8" s="38" t="n">
        <x:f>SUM(G8:K8)</x:f>
        <x:v>163.44299999999998</x:v>
      </x:c>
      <x:c r="M8" s="38" t="n">
        <x:v>222.249</x:v>
      </x:c>
      <x:c r="N8" s="38" t="n">
        <x:v>613.61</x:v>
      </x:c>
      <x:c r="O8" s="38" t="n">
        <x:v>473.73</x:v>
      </x:c>
      <x:c r="P8" s="38" t="n">
        <x:v>669.9</x:v>
      </x:c>
      <x:c r="Q8" s="38" t="n">
        <x:v>19.88</x:v>
      </x:c>
      <x:c r="R8" s="38" t="n">
        <x:v>43.7475</x:v>
      </x:c>
      <x:c r="S8" s="38" t="n">
        <x:v>71.88</x:v>
      </x:c>
      <x:c r="T8" s="40" t="n">
        <x:v>16.64</x:v>
      </x:c>
      <x:c r="U8" s="40" t="n">
        <x:v>0.49</x:v>
      </x:c>
      <x:c r="V8" s="38" t="n">
        <x:f>L8*(1-T8/100)*(1-U8/100)</x:f>
        <x:v>135.57847898447997</x:v>
      </x:c>
      <x:c r="W8" s="38" t="n">
        <x:f>G8*N8</x:f>
        <x:v>79893.24922</x:v>
      </x:c>
      <x:c r="X8" s="38" t="n">
        <x:f>H8*O8</x:f>
        <x:v>10752.72354</x:v>
      </x:c>
      <x:c r="Y8" s="38" t="n">
        <x:f>I8*P8</x:f>
        <x:v>5314.9866</x:v>
      </x:c>
      <x:c r="Z8" s="38" t="n">
        <x:f>J8*Q8+K8*P8</x:f>
        <x:v>62.26724</x:v>
      </x:c>
      <x:c r="AA8" s="38" t="n">
        <x:f>M8*R8</x:f>
        <x:v>9722.838127500001</x:v>
      </x:c>
      <x:c r="AB8" s="38" t="n">
        <x:f>SUM(W8:AA8)</x:f>
        <x:v>105746.06472750001</x:v>
      </x:c>
      <x:c r="AC8" s="38" t="n">
        <x:v>6.67</x:v>
      </x:c>
      <x:c r="AD8" s="38" t="n">
        <x:v>174.33</x:v>
      </x:c>
      <x:c r="AE8" s="38" t="n">
        <x:v>62.51</x:v>
      </x:c>
      <x:c r="AF8" s="38" t="n">
        <x:v>4.8148</x:v>
      </x:c>
      <x:c r="AG8" s="38" t="n">
        <x:v>5.78</x:v>
      </x:c>
      <x:c r="AH8" s="38" t="n">
        <x:f>IF(E8="Fason",L8*S8,0)</x:f>
        <x:v>11748.282839999998</x:v>
      </x:c>
      <x:c r="AI8" s="38" t="n">
        <x:f>IF(E8="Kurum içi",AC8*AD8+AE8*AF8+AB8*12%,0)</x:f>
        <x:v>0</x:v>
      </x:c>
      <x:c r="AJ8" s="38" t="n">
        <x:f>V8*AG8</x:f>
        <x:v>783.6436085302943</x:v>
      </x:c>
      <x:c r="AK8" s="38" t="n">
        <x:f>AB8*2%</x:f>
        <x:v>2114.9212945500003</x:v>
      </x:c>
      <x:c r="AL8" s="38" t="n">
        <x:f>AB8+AH8+AI8+AJ8+AK8</x:f>
        <x:v>120392.91247058031</x:v>
      </x:c>
      <x:c r="AM8" s="38" t="n">
        <x:f>AL8/V8</x:f>
        <x:v>887.9942699782168</x:v>
      </x:c>
      <x:c r="AN8" s="40" t="n">
        <x:f>(W8+X8)/AL8*100</x:f>
        <x:v>75.2917849563201</x:v>
      </x:c>
      <x:c r="AO8" s="28" t="str">
        <x:v>R01-R20; ilgili satırdaki bölgesel fiyat ve maliyet varsayımları</x:v>
      </x:c>
      <x:c r="AP8" s="28" t="str">
        <x:v>Girdi miktarları, alım fiyatı değişimi, fason bedeli ve parti sonucu simüle edilmiştir; işletme kaydı değildir.</x:v>
      </x:c>
    </x:row>
    <x:row r="9" ht="22" customHeight="1">
      <x:c r="A9" t="str">
        <x:v>SUC-0008</x:v>
      </x:c>
      <x:c r="B9" s="36" t="n">
        <x:v>46304</x:v>
      </x:c>
      <x:c r="C9" t="str">
        <x:v>İç Anadolu</x:v>
      </x:c>
      <x:c r="D9" t="str">
        <x:v>ERZURUM_CI</x:v>
      </x:c>
      <x:c r="E9" t="str">
        <x:v>Kurum içi</x:v>
      </x:c>
      <x:c r="F9" s="42" t="str">
        <x:v>SENTETİK/SİMÜLE — gerçek parti kaydı değildir</x:v>
      </x:c>
      <x:c r="G9" s="38" t="n">
        <x:v>107.955</x:v>
      </x:c>
      <x:c r="H9" s="38" t="n">
        <x:v>19.418</x:v>
      </x:c>
      <x:c r="I9" s="38" t="n">
        <x:v>6.695</x:v>
      </x:c>
      <x:c r="J9" s="38" t="n">
        <x:v>2.081</x:v>
      </x:c>
      <x:c r="K9" s="38" t="n">
        <x:v>0.107</x:v>
      </x:c>
      <x:c r="L9" s="38" t="n">
        <x:f>SUM(G9:K9)</x:f>
        <x:v>136.25599999999997</x:v>
      </x:c>
      <x:c r="M9" s="38" t="n">
        <x:v>160.661</x:v>
      </x:c>
      <x:c r="N9" s="38" t="n">
        <x:v>591.36</x:v>
      </x:c>
      <x:c r="O9" s="38" t="n">
        <x:v>474.52</x:v>
      </x:c>
      <x:c r="P9" s="38" t="n">
        <x:v>669.9</x:v>
      </x:c>
      <x:c r="Q9" s="38" t="n">
        <x:v>19.88</x:v>
      </x:c>
      <x:c r="R9" s="38" t="n">
        <x:v>43.7475</x:v>
      </x:c>
      <x:c r="S9" s="38" t="n">
        <x:v>119.61</x:v>
      </x:c>
      <x:c r="T9" s="40" t="n">
        <x:v>20.16</x:v>
      </x:c>
      <x:c r="U9" s="40" t="n">
        <x:v>1.1</x:v>
      </x:c>
      <x:c r="V9" s="38" t="n">
        <x:f>L9*(1-T9/100)*(1-U9/100)</x:f>
        <x:v>107.59013570559998</x:v>
      </x:c>
      <x:c r="W9" s="38" t="n">
        <x:f>G9*N9</x:f>
        <x:v>63840.2688</x:v>
      </x:c>
      <x:c r="X9" s="38" t="n">
        <x:f>H9*O9</x:f>
        <x:v>9214.22936</x:v>
      </x:c>
      <x:c r="Y9" s="38" t="n">
        <x:f>I9*P9</x:f>
        <x:v>4484.9805</x:v>
      </x:c>
      <x:c r="Z9" s="38" t="n">
        <x:f>J9*Q9+K9*P9</x:f>
        <x:v>113.04957999999999</x:v>
      </x:c>
      <x:c r="AA9" s="38" t="n">
        <x:f>M9*R9</x:f>
        <x:v>7028.5170975</x:v>
      </x:c>
      <x:c r="AB9" s="38" t="n">
        <x:f>SUM(W9:AA9)</x:f>
        <x:v>84681.04533750002</x:v>
      </x:c>
      <x:c r="AC9" s="38" t="n">
        <x:v>7.77</x:v>
      </x:c>
      <x:c r="AD9" s="38" t="n">
        <x:v>174.33</x:v>
      </x:c>
      <x:c r="AE9" s="38" t="n">
        <x:v>52.51</x:v>
      </x:c>
      <x:c r="AF9" s="38" t="n">
        <x:v>4.8148</x:v>
      </x:c>
      <x:c r="AG9" s="38" t="n">
        <x:v>5.89</x:v>
      </x:c>
      <x:c r="AH9" s="38" t="n">
        <x:f>IF(E9="Fason",L9*S9,0)</x:f>
        <x:v>0</x:v>
      </x:c>
      <x:c r="AI9" s="38" t="n">
        <x:f>IF(E9="Kurum içi",AC9*AD9+AE9*AF9+AB9*12%,0)</x:f>
        <x:v>11769.094688500001</x:v>
      </x:c>
      <x:c r="AJ9" s="38" t="n">
        <x:f>V9*AG9</x:f>
        <x:v>633.7058993059838</x:v>
      </x:c>
      <x:c r="AK9" s="38" t="n">
        <x:f>AB9*2%</x:f>
        <x:v>1693.6209067500004</x:v>
      </x:c>
      <x:c r="AL9" s="38" t="n">
        <x:f>AB9+AH9+AI9+AJ9+AK9</x:f>
        <x:v>98777.46683205602</x:v>
      </x:c>
      <x:c r="AM9" s="38" t="n">
        <x:f>AL9/V9</x:f>
        <x:v>918.090363807532</x:v>
      </x:c>
      <x:c r="AN9" s="40" t="n">
        <x:f>(W9+X9)/AL9*100</x:f>
        <x:v>73.95866739952861</x:v>
      </x:c>
      <x:c r="AO9" s="28" t="str">
        <x:v>R01-R20; ilgili satırdaki bölgesel fiyat ve maliyet varsayımları</x:v>
      </x:c>
      <x:c r="AP9" s="28" t="str">
        <x:v>Girdi miktarları, alım fiyatı değişimi, fason bedeli ve parti sonucu simüle edilmiştir; işletme kaydı değildir.</x:v>
      </x:c>
    </x:row>
    <x:row r="10" ht="22" customHeight="1">
      <x:c r="A10" t="str">
        <x:v>SUC-0009</x:v>
      </x:c>
      <x:c r="B10" s="36" t="n">
        <x:v>46313</x:v>
      </x:c>
      <x:c r="C10" t="str">
        <x:v>Karadeniz</x:v>
      </x:c>
      <x:c r="D10" t="str">
        <x:v>ERZURUM_CI</x:v>
      </x:c>
      <x:c r="E10" t="str">
        <x:v>Kurum içi</x:v>
      </x:c>
      <x:c r="F10" s="42" t="str">
        <x:v>SENTETİK/SİMÜLE — gerçek parti kaydı değildir</x:v>
      </x:c>
      <x:c r="G10" s="38" t="n">
        <x:v>146.869</x:v>
      </x:c>
      <x:c r="H10" s="38" t="n">
        <x:v>27.693</x:v>
      </x:c>
      <x:c r="I10" s="38" t="n">
        <x:v>9.011</x:v>
      </x:c>
      <x:c r="J10" s="38" t="n">
        <x:v>3.073</x:v>
      </x:c>
      <x:c r="K10" s="38" t="n">
        <x:v>0.312</x:v>
      </x:c>
      <x:c r="L10" s="38" t="n">
        <x:f>SUM(G10:K10)</x:f>
        <x:v>186.95800000000003</x:v>
      </x:c>
      <x:c r="M10" s="38" t="n">
        <x:v>221.5</x:v>
      </x:c>
      <x:c r="N10" s="38" t="n">
        <x:v>593.71</x:v>
      </x:c>
      <x:c r="O10" s="38" t="n">
        <x:v>454.67</x:v>
      </x:c>
      <x:c r="P10" s="38" t="n">
        <x:v>400</x:v>
      </x:c>
      <x:c r="Q10" s="38" t="n">
        <x:v>19.88</x:v>
      </x:c>
      <x:c r="R10" s="38" t="n">
        <x:v>43.7475</x:v>
      </x:c>
      <x:c r="S10" s="38" t="n">
        <x:v>121.08</x:v>
      </x:c>
      <x:c r="T10" s="40" t="n">
        <x:v>16.96</x:v>
      </x:c>
      <x:c r="U10" s="40" t="n">
        <x:v>1.59</x:v>
      </x:c>
      <x:c r="V10" s="38" t="n">
        <x:f>L10*(1-T10/100)*(1-U10/100)</x:f>
        <x:v>152.78144942112004</x:v>
      </x:c>
      <x:c r="W10" s="38" t="n">
        <x:f>G10*N10</x:f>
        <x:v>87197.59399000001</x:v>
      </x:c>
      <x:c r="X10" s="38" t="n">
        <x:f>H10*O10</x:f>
        <x:v>12591.17631</x:v>
      </x:c>
      <x:c r="Y10" s="38" t="n">
        <x:f>I10*P10</x:f>
        <x:v>3604.3999999999996</x:v>
      </x:c>
      <x:c r="Z10" s="38" t="n">
        <x:f>J10*Q10+K10*P10</x:f>
        <x:v>185.89123999999998</x:v>
      </x:c>
      <x:c r="AA10" s="38" t="n">
        <x:f>M10*R10</x:f>
        <x:v>9690.07125</x:v>
      </x:c>
      <x:c r="AB10" s="38" t="n">
        <x:f>SUM(W10:AA10)</x:f>
        <x:v>113269.13279</x:v>
      </x:c>
      <x:c r="AC10" s="38" t="n">
        <x:v>8.66</x:v>
      </x:c>
      <x:c r="AD10" s="38" t="n">
        <x:v>174.33</x:v>
      </x:c>
      <x:c r="AE10" s="38" t="n">
        <x:v>54.57</x:v>
      </x:c>
      <x:c r="AF10" s="38" t="n">
        <x:v>4.8148</x:v>
      </x:c>
      <x:c r="AG10" s="38" t="n">
        <x:v>5.37</x:v>
      </x:c>
      <x:c r="AH10" s="38" t="n">
        <x:f>IF(E10="Fason",L10*S10,0)</x:f>
        <x:v>0</x:v>
      </x:c>
      <x:c r="AI10" s="38" t="n">
        <x:f>IF(E10="Kurum içi",AC10*AD10+AE10*AF10+AB10*12%,0)</x:f>
        <x:v>15364.737370800001</x:v>
      </x:c>
      <x:c r="AJ10" s="38" t="n">
        <x:f>V10*AG10</x:f>
        <x:v>820.4363833914147</x:v>
      </x:c>
      <x:c r="AK10" s="38" t="n">
        <x:f>AB10*2%</x:f>
        <x:v>2265.3826558</x:v>
      </x:c>
      <x:c r="AL10" s="38" t="n">
        <x:f>AB10+AH10+AI10+AJ10+AK10</x:f>
        <x:v>131719.6891999914</x:v>
      </x:c>
      <x:c r="AM10" s="38" t="n">
        <x:f>AL10/V10</x:f>
        <x:v>862.1445188474752</x:v>
      </x:c>
      <x:c r="AN10" s="40" t="n">
        <x:f>(W10+X10)/AL10*100</x:f>
        <x:v>75.75843133708709</x:v>
      </x:c>
      <x:c r="AO10" s="28" t="str">
        <x:v>R01-R20; ilgili satırdaki bölgesel fiyat ve maliyet varsayımları</x:v>
      </x:c>
      <x:c r="AP10" s="28" t="str">
        <x:v>Girdi miktarları, alım fiyatı değişimi, fason bedeli ve parti sonucu simüle edilmiştir; işletme kaydı değildir.</x:v>
      </x:c>
    </x:row>
    <x:row r="11" ht="22" customHeight="1">
      <x:c r="A11" t="str">
        <x:v>SUC-0010</x:v>
      </x:c>
      <x:c r="B11" s="36" t="n">
        <x:v>46290</x:v>
      </x:c>
      <x:c r="C11" t="str">
        <x:v>Doğu Anadolu</x:v>
      </x:c>
      <x:c r="D11" t="str">
        <x:v>ERZURUM_CI</x:v>
      </x:c>
      <x:c r="E11" t="str">
        <x:v>Fason</x:v>
      </x:c>
      <x:c r="F11" s="42" t="str">
        <x:v>SENTETİK/SİMÜLE — gerçek parti kaydı değildir</x:v>
      </x:c>
      <x:c r="G11" s="38" t="n">
        <x:v>390.58</x:v>
      </x:c>
      <x:c r="H11" s="38" t="n">
        <x:v>72.177</x:v>
      </x:c>
      <x:c r="I11" s="38" t="n">
        <x:v>24.01</x:v>
      </x:c>
      <x:c r="J11" s="38" t="n">
        <x:v>7.302</x:v>
      </x:c>
      <x:c r="K11" s="38" t="n">
        <x:v>0.049</x:v>
      </x:c>
      <x:c r="L11" s="38" t="n">
        <x:f>SUM(G11:K11)</x:f>
        <x:v>494.118</x:v>
      </x:c>
      <x:c r="M11" s="38" t="n">
        <x:v>628.142</x:v>
      </x:c>
      <x:c r="N11" s="38" t="n">
        <x:v>603.94</x:v>
      </x:c>
      <x:c r="O11" s="38" t="n">
        <x:v>417.46</x:v>
      </x:c>
      <x:c r="P11" s="38" t="n">
        <x:v>550</x:v>
      </x:c>
      <x:c r="Q11" s="38" t="n">
        <x:v>19.88</x:v>
      </x:c>
      <x:c r="R11" s="38" t="n">
        <x:v>43.7475</x:v>
      </x:c>
      <x:c r="S11" s="38" t="n">
        <x:v>83.55</x:v>
      </x:c>
      <x:c r="T11" s="40" t="n">
        <x:v>17.38</x:v>
      </x:c>
      <x:c r="U11" s="40" t="n">
        <x:v>1.78</x:v>
      </x:c>
      <x:c r="V11" s="38" t="n">
        <x:f>L11*(1-T11/100)*(1-U11/100)</x:f>
        <x:v>400.97361440952</x:v>
      </x:c>
      <x:c r="W11" s="38" t="n">
        <x:f>G11*N11</x:f>
        <x:v>235886.88520000002</x:v>
      </x:c>
      <x:c r="X11" s="38" t="n">
        <x:f>H11*O11</x:f>
        <x:v>30131.010420000002</x:v>
      </x:c>
      <x:c r="Y11" s="38" t="n">
        <x:f>I11*P11</x:f>
        <x:v>13205.5</x:v>
      </x:c>
      <x:c r="Z11" s="38" t="n">
        <x:f>J11*Q11+K11*P11</x:f>
        <x:v>172.11375999999998</x:v>
      </x:c>
      <x:c r="AA11" s="38" t="n">
        <x:f>M11*R11</x:f>
        <x:v>27479.642145000005</x:v>
      </x:c>
      <x:c r="AB11" s="38" t="n">
        <x:f>SUM(W11:AA11)</x:f>
        <x:v>306875.151525</x:v>
      </x:c>
      <x:c r="AC11" s="38" t="n">
        <x:v>18.06</x:v>
      </x:c>
      <x:c r="AD11" s="38" t="n">
        <x:v>174.33</x:v>
      </x:c>
      <x:c r="AE11" s="38" t="n">
        <x:v>121.12</x:v>
      </x:c>
      <x:c r="AF11" s="38" t="n">
        <x:v>4.8148</x:v>
      </x:c>
      <x:c r="AG11" s="38" t="n">
        <x:v>5.32</x:v>
      </x:c>
      <x:c r="AH11" s="38" t="n">
        <x:f>IF(E11="Fason",L11*S11,0)</x:f>
        <x:v>41283.558899999996</x:v>
      </x:c>
      <x:c r="AI11" s="38" t="n">
        <x:f>IF(E11="Kurum içi",AC11*AD11+AE11*AF11+AB11*12%,0)</x:f>
        <x:v>0</x:v>
      </x:c>
      <x:c r="AJ11" s="38" t="n">
        <x:f>V11*AG11</x:f>
        <x:v>2133.1796286586464</x:v>
      </x:c>
      <x:c r="AK11" s="38" t="n">
        <x:f>AB11*2%</x:f>
        <x:v>6137.5030305</x:v>
      </x:c>
      <x:c r="AL11" s="38" t="n">
        <x:f>AB11+AH11+AI11+AJ11+AK11</x:f>
        <x:v>356429.39308415866</x:v>
      </x:c>
      <x:c r="AM11" s="38" t="n">
        <x:f>AL11/V11</x:f>
        <x:v>888.909844127879</x:v>
      </x:c>
      <x:c r="AN11" s="40" t="n">
        <x:f>(W11+X11)/AL11*100</x:f>
        <x:v>74.63410728227707</x:v>
      </x:c>
      <x:c r="AO11" s="28" t="str">
        <x:v>R01-R20; ilgili satırdaki bölgesel fiyat ve maliyet varsayımları</x:v>
      </x:c>
      <x:c r="AP11" s="28" t="str">
        <x:v>Girdi miktarları, alım fiyatı değişimi, fason bedeli ve parti sonucu simüle edilmiştir; işletme kaydı değildir.</x:v>
      </x:c>
    </x:row>
    <x:row r="12" ht="22" customHeight="1">
      <x:c r="A12" t="str">
        <x:v>SUC-0011</x:v>
      </x:c>
      <x:c r="B12" s="36" t="n">
        <x:v>46310</x:v>
      </x:c>
      <x:c r="C12" t="str">
        <x:v>Akdeniz</x:v>
      </x:c>
      <x:c r="D12" t="str">
        <x:v>MEB_STANDART</x:v>
      </x:c>
      <x:c r="E12" t="str">
        <x:v>Fason</x:v>
      </x:c>
      <x:c r="F12" s="42" t="str">
        <x:v>SENTETİK/SİMÜLE — gerçek parti kaydı değildir</x:v>
      </x:c>
      <x:c r="G12" s="38" t="n">
        <x:v>280.317</x:v>
      </x:c>
      <x:c r="H12" s="38" t="n">
        <x:v>92.447</x:v>
      </x:c>
      <x:c r="I12" s="38" t="n">
        <x:v>18.383</x:v>
      </x:c>
      <x:c r="J12" s="38" t="n">
        <x:v>9.416</x:v>
      </x:c>
      <x:c r="K12" s="38" t="n">
        <x:v>3.881</x:v>
      </x:c>
      <x:c r="L12" s="38" t="n">
        <x:f>SUM(G12:K12)</x:f>
        <x:v>404.44399999999996</x:v>
      </x:c>
      <x:c r="M12" s="38" t="n">
        <x:v>475.389</x:v>
      </x:c>
      <x:c r="N12" s="38" t="n">
        <x:v>583.45</x:v>
      </x:c>
      <x:c r="O12" s="38" t="n">
        <x:v>482.13</x:v>
      </x:c>
      <x:c r="P12" s="38" t="n">
        <x:v>400</x:v>
      </x:c>
      <x:c r="Q12" s="38" t="n">
        <x:v>19.88</x:v>
      </x:c>
      <x:c r="R12" s="38" t="n">
        <x:v>43.7475</x:v>
      </x:c>
      <x:c r="S12" s="38" t="n">
        <x:v>90.67</x:v>
      </x:c>
      <x:c r="T12" s="40" t="n">
        <x:v>33.38</x:v>
      </x:c>
      <x:c r="U12" s="40" t="n">
        <x:v>1.11</x:v>
      </x:c>
      <x:c r="V12" s="38" t="n">
        <x:f>L12*(1-T12/100)*(1-U12/100)</x:f>
        <x:v>266.44980221991995</x:v>
      </x:c>
      <x:c r="W12" s="38" t="n">
        <x:f>G12*N12</x:f>
        <x:v>163550.95365</x:v>
      </x:c>
      <x:c r="X12" s="38" t="n">
        <x:f>H12*O12</x:f>
        <x:v>44571.47211</x:v>
      </x:c>
      <x:c r="Y12" s="38" t="n">
        <x:f>I12*P12</x:f>
        <x:v>7353.2</x:v>
      </x:c>
      <x:c r="Z12" s="38" t="n">
        <x:f>J12*Q12+K12*P12</x:f>
        <x:v>1739.59008</x:v>
      </x:c>
      <x:c r="AA12" s="38" t="n">
        <x:f>M12*R12</x:f>
        <x:v>20797.0802775</x:v>
      </x:c>
      <x:c r="AB12" s="38" t="n">
        <x:f>SUM(W12:AA12)</x:f>
        <x:v>238012.29611750002</x:v>
      </x:c>
      <x:c r="AC12" s="38" t="n">
        <x:v>16.65</x:v>
      </x:c>
      <x:c r="AD12" s="38" t="n">
        <x:v>174.33</x:v>
      </x:c>
      <x:c r="AE12" s="38" t="n">
        <x:v>149.09</x:v>
      </x:c>
      <x:c r="AF12" s="38" t="n">
        <x:v>4.8148</x:v>
      </x:c>
      <x:c r="AG12" s="38" t="n">
        <x:v>5.75</x:v>
      </x:c>
      <x:c r="AH12" s="38" t="n">
        <x:f>IF(E12="Fason",L12*S12,0)</x:f>
        <x:v>36670.93748</x:v>
      </x:c>
      <x:c r="AI12" s="38" t="n">
        <x:f>IF(E12="Kurum içi",AC12*AD12+AE12*AF12+AB12*12%,0)</x:f>
        <x:v>0</x:v>
      </x:c>
      <x:c r="AJ12" s="38" t="n">
        <x:f>V12*AG12</x:f>
        <x:v>1532.0863627645397</x:v>
      </x:c>
      <x:c r="AK12" s="38" t="n">
        <x:f>AB12*2%</x:f>
        <x:v>4760.245922350001</x:v>
      </x:c>
      <x:c r="AL12" s="38" t="n">
        <x:f>AB12+AH12+AI12+AJ12+AK12</x:f>
        <x:v>280975.5658826145</x:v>
      </x:c>
      <x:c r="AM12" s="38" t="n">
        <x:f>AL12/V12</x:f>
        <x:v>1054.5159483762927</x:v>
      </x:c>
      <x:c r="AN12" s="40" t="n">
        <x:f>(W12+X12)/AL12*100</x:f>
        <x:v>74.07136101185006</x:v>
      </x:c>
      <x:c r="AO12" s="28" t="str">
        <x:v>R01-R20; ilgili satırdaki bölgesel fiyat ve maliyet varsayımları</x:v>
      </x:c>
      <x:c r="AP12" s="28" t="str">
        <x:v>Girdi miktarları, alım fiyatı değişimi, fason bedeli ve parti sonucu simüle edilmiştir; işletme kaydı değildir.</x:v>
      </x:c>
    </x:row>
    <x:row r="13" ht="22" customHeight="1">
      <x:c r="A13" t="str">
        <x:v>SUC-0012</x:v>
      </x:c>
      <x:c r="B13" s="36" t="n">
        <x:v>46304</x:v>
      </x:c>
      <x:c r="C13" t="str">
        <x:v>Güneydoğu Anadolu</x:v>
      </x:c>
      <x:c r="D13" t="str">
        <x:v>MEB_STANDART</x:v>
      </x:c>
      <x:c r="E13" t="str">
        <x:v>Fason</x:v>
      </x:c>
      <x:c r="F13" s="42" t="str">
        <x:v>SENTETİK/SİMÜLE — gerçek parti kaydı değildir</x:v>
      </x:c>
      <x:c r="G13" s="38" t="n">
        <x:v>147.598</x:v>
      </x:c>
      <x:c r="H13" s="38" t="n">
        <x:v>47</x:v>
      </x:c>
      <x:c r="I13" s="38" t="n">
        <x:v>9.515</x:v>
      </x:c>
      <x:c r="J13" s="38" t="n">
        <x:v>5.248</x:v>
      </x:c>
      <x:c r="K13" s="38" t="n">
        <x:v>2.029</x:v>
      </x:c>
      <x:c r="L13" s="38" t="n">
        <x:f>SUM(G13:K13)</x:f>
        <x:v>211.39</x:v>
      </x:c>
      <x:c r="M13" s="38" t="n">
        <x:v>269.328</x:v>
      </x:c>
      <x:c r="N13" s="38" t="n">
        <x:v>598.97</x:v>
      </x:c>
      <x:c r="O13" s="38" t="n">
        <x:v>440.36</x:v>
      </x:c>
      <x:c r="P13" s="38" t="n">
        <x:v>550</x:v>
      </x:c>
      <x:c r="Q13" s="38" t="n">
        <x:v>19.88</x:v>
      </x:c>
      <x:c r="R13" s="38" t="n">
        <x:v>43.7475</x:v>
      </x:c>
      <x:c r="S13" s="38" t="n">
        <x:v>71.59</x:v>
      </x:c>
      <x:c r="T13" s="40" t="n">
        <x:v>17.78</x:v>
      </x:c>
      <x:c r="U13" s="40" t="n">
        <x:v>1.62</x:v>
      </x:c>
      <x:c r="V13" s="38" t="n">
        <x:f>L13*(1-T13/100)*(1-U13/100)</x:f>
        <x:v>170.9892193004</x:v>
      </x:c>
      <x:c r="W13" s="38" t="n">
        <x:f>G13*N13</x:f>
        <x:v>88406.77406000001</x:v>
      </x:c>
      <x:c r="X13" s="38" t="n">
        <x:f>H13*O13</x:f>
        <x:v>20696.920000000002</x:v>
      </x:c>
      <x:c r="Y13" s="38" t="n">
        <x:f>I13*P13</x:f>
        <x:v>5233.25</x:v>
      </x:c>
      <x:c r="Z13" s="38" t="n">
        <x:f>J13*Q13+K13*P13</x:f>
        <x:v>1220.28024</x:v>
      </x:c>
      <x:c r="AA13" s="38" t="n">
        <x:f>M13*R13</x:f>
        <x:v>11782.426679999999</x:v>
      </x:c>
      <x:c r="AB13" s="38" t="n">
        <x:f>SUM(W13:AA13)</x:f>
        <x:v>127339.65098</x:v>
      </x:c>
      <x:c r="AC13" s="38" t="n">
        <x:v>10.06</x:v>
      </x:c>
      <x:c r="AD13" s="38" t="n">
        <x:v>174.33</x:v>
      </x:c>
      <x:c r="AE13" s="38" t="n">
        <x:v>52.89</x:v>
      </x:c>
      <x:c r="AF13" s="38" t="n">
        <x:v>4.8148</x:v>
      </x:c>
      <x:c r="AG13" s="38" t="n">
        <x:v>5.14</x:v>
      </x:c>
      <x:c r="AH13" s="38" t="n">
        <x:f>IF(E13="Fason",L13*S13,0)</x:f>
        <x:v>15133.4101</x:v>
      </x:c>
      <x:c r="AI13" s="38" t="n">
        <x:f>IF(E13="Kurum içi",AC13*AD13+AE13*AF13+AB13*12%,0)</x:f>
        <x:v>0</x:v>
      </x:c>
      <x:c r="AJ13" s="38" t="n">
        <x:f>V13*AG13</x:f>
        <x:v>878.884587204056</x:v>
      </x:c>
      <x:c r="AK13" s="38" t="n">
        <x:f>AB13*2%</x:f>
        <x:v>2546.7930196</x:v>
      </x:c>
      <x:c r="AL13" s="38" t="n">
        <x:f>AB13+AH13+AI13+AJ13+AK13</x:f>
        <x:v>145898.73868680408</x:v>
      </x:c>
      <x:c r="AM13" s="38" t="n">
        <x:f>AL13/V13</x:f>
        <x:v>853.2627921441289</x:v>
      </x:c>
      <x:c r="AN13" s="40" t="n">
        <x:f>(W13+X13)/AL13*100</x:f>
        <x:v>74.78042308111328</x:v>
      </x:c>
      <x:c r="AO13" s="28" t="str">
        <x:v>R01-R20; ilgili satırdaki bölgesel fiyat ve maliyet varsayımları</x:v>
      </x:c>
      <x:c r="AP13" s="28" t="str">
        <x:v>Girdi miktarları, alım fiyatı değişimi, fason bedeli ve parti sonucu simüle edilmiştir; işletme kaydı değildir.</x:v>
      </x:c>
    </x:row>
    <x:row r="14" ht="22" customHeight="1">
      <x:c r="A14" t="str">
        <x:v>SUC-0013</x:v>
      </x:c>
      <x:c r="B14" s="36" t="n">
        <x:v>46303</x:v>
      </x:c>
      <x:c r="C14" t="str">
        <x:v>Karadeniz</x:v>
      </x:c>
      <x:c r="D14" t="str">
        <x:v>MEB_STANDART</x:v>
      </x:c>
      <x:c r="E14" t="str">
        <x:v>Kurum içi</x:v>
      </x:c>
      <x:c r="F14" s="42" t="str">
        <x:v>SENTETİK/SİMÜLE — gerçek parti kaydı değildir</x:v>
      </x:c>
      <x:c r="G14" s="38" t="n">
        <x:v>50.938</x:v>
      </x:c>
      <x:c r="H14" s="38" t="n">
        <x:v>15.492</x:v>
      </x:c>
      <x:c r="I14" s="38" t="n">
        <x:v>3.169</x:v>
      </x:c>
      <x:c r="J14" s="38" t="n">
        <x:v>1.775</x:v>
      </x:c>
      <x:c r="K14" s="38" t="n">
        <x:v>0.759</x:v>
      </x:c>
      <x:c r="L14" s="38" t="n">
        <x:f>SUM(G14:K14)</x:f>
        <x:v>72.13300000000001</x:v>
      </x:c>
      <x:c r="M14" s="38" t="n">
        <x:v>86.1</x:v>
      </x:c>
      <x:c r="N14" s="38" t="n">
        <x:v>590.12</x:v>
      </x:c>
      <x:c r="O14" s="38" t="n">
        <x:v>419.59</x:v>
      </x:c>
      <x:c r="P14" s="38" t="n">
        <x:v>400</x:v>
      </x:c>
      <x:c r="Q14" s="38" t="n">
        <x:v>19.88</x:v>
      </x:c>
      <x:c r="R14" s="38" t="n">
        <x:v>43.7475</x:v>
      </x:c>
      <x:c r="S14" s="38" t="n">
        <x:v>107.51</x:v>
      </x:c>
      <x:c r="T14" s="40" t="n">
        <x:v>31.6</x:v>
      </x:c>
      <x:c r="U14" s="40" t="n">
        <x:v>0.52</x:v>
      </x:c>
      <x:c r="V14" s="38" t="n">
        <x:f>L14*(1-T14/100)*(1-U14/100)</x:f>
        <x:v>49.082409345600006</x:v>
      </x:c>
      <x:c r="W14" s="38" t="n">
        <x:f>G14*N14</x:f>
        <x:v>30059.532560000003</x:v>
      </x:c>
      <x:c r="X14" s="38" t="n">
        <x:f>H14*O14</x:f>
        <x:v>6500.28828</x:v>
      </x:c>
      <x:c r="Y14" s="38" t="n">
        <x:f>I14*P14</x:f>
        <x:v>1267.6</x:v>
      </x:c>
      <x:c r="Z14" s="38" t="n">
        <x:f>J14*Q14+K14*P14</x:f>
        <x:v>338.887</x:v>
      </x:c>
      <x:c r="AA14" s="38" t="n">
        <x:f>M14*R14</x:f>
        <x:v>3766.65975</x:v>
      </x:c>
      <x:c r="AB14" s="38" t="n">
        <x:f>SUM(W14:AA14)</x:f>
        <x:v>41932.96759</x:v>
      </x:c>
      <x:c r="AC14" s="38" t="n">
        <x:v>4.8</x:v>
      </x:c>
      <x:c r="AD14" s="38" t="n">
        <x:v>174.33</x:v>
      </x:c>
      <x:c r="AE14" s="38" t="n">
        <x:v>17.75</x:v>
      </x:c>
      <x:c r="AF14" s="38" t="n">
        <x:v>4.8148</x:v>
      </x:c>
      <x:c r="AG14" s="38" t="n">
        <x:v>5.77</x:v>
      </x:c>
      <x:c r="AH14" s="38" t="n">
        <x:f>IF(E14="Fason",L14*S14,0)</x:f>
        <x:v>0</x:v>
      </x:c>
      <x:c r="AI14" s="38" t="n">
        <x:f>IF(E14="Kurum içi",AC14*AD14+AE14*AF14+AB14*12%,0)</x:f>
        <x:v>5954.2028107999995</x:v>
      </x:c>
      <x:c r="AJ14" s="38" t="n">
        <x:f>V14*AG14</x:f>
        <x:v>283.205501924112</x:v>
      </x:c>
      <x:c r="AK14" s="38" t="n">
        <x:f>AB14*2%</x:f>
        <x:v>838.6593518</x:v>
      </x:c>
      <x:c r="AL14" s="38" t="n">
        <x:f>AB14+AH14+AI14+AJ14+AK14</x:f>
        <x:v>49009.03525452411</x:v>
      </x:c>
      <x:c r="AM14" s="38" t="n">
        <x:f>AL14/V14</x:f>
        <x:v>998.5050837549711</x:v>
      </x:c>
      <x:c r="AN14" s="40" t="n">
        <x:f>(W14+X14)/AL14*100</x:f>
        <x:v>74.59812389721566</x:v>
      </x:c>
      <x:c r="AO14" s="28" t="str">
        <x:v>R01-R20; ilgili satırdaki bölgesel fiyat ve maliyet varsayımları</x:v>
      </x:c>
      <x:c r="AP14" s="28" t="str">
        <x:v>Girdi miktarları, alım fiyatı değişimi, fason bedeli ve parti sonucu simüle edilmiştir; işletme kaydı değildir.</x:v>
      </x:c>
    </x:row>
    <x:row r="15" ht="22" customHeight="1">
      <x:c r="A15" t="str">
        <x:v>SUC-0014</x:v>
      </x:c>
      <x:c r="B15" s="36" t="n">
        <x:v>46317</x:v>
      </x:c>
      <x:c r="C15" t="str">
        <x:v>İç Anadolu</x:v>
      </x:c>
      <x:c r="D15" t="str">
        <x:v>MEB_STANDART</x:v>
      </x:c>
      <x:c r="E15" t="str">
        <x:v>Fason</x:v>
      </x:c>
      <x:c r="F15" s="42" t="str">
        <x:v>SENTETİK/SİMÜLE — gerçek parti kaydı değildir</x:v>
      </x:c>
      <x:c r="G15" s="38" t="n">
        <x:v>256.606</x:v>
      </x:c>
      <x:c r="H15" s="38" t="n">
        <x:v>79.911</x:v>
      </x:c>
      <x:c r="I15" s="38" t="n">
        <x:v>16.861</x:v>
      </x:c>
      <x:c r="J15" s="38" t="n">
        <x:v>9.38</x:v>
      </x:c>
      <x:c r="K15" s="38" t="n">
        <x:v>4.233</x:v>
      </x:c>
      <x:c r="L15" s="38" t="n">
        <x:f>SUM(G15:K15)</x:f>
        <x:v>366.991</x:v>
      </x:c>
      <x:c r="M15" s="38" t="n">
        <x:v>447.697</x:v>
      </x:c>
      <x:c r="N15" s="38" t="n">
        <x:v>587.65</x:v>
      </x:c>
      <x:c r="O15" s="38" t="n">
        <x:v>427.01</x:v>
      </x:c>
      <x:c r="P15" s="38" t="n">
        <x:v>400</x:v>
      </x:c>
      <x:c r="Q15" s="38" t="n">
        <x:v>19.88</x:v>
      </x:c>
      <x:c r="R15" s="38" t="n">
        <x:v>43.7475</x:v>
      </x:c>
      <x:c r="S15" s="38" t="n">
        <x:v>67.57</x:v>
      </x:c>
      <x:c r="T15" s="40" t="n">
        <x:v>16.27</x:v>
      </x:c>
      <x:c r="U15" s="40" t="n">
        <x:v>1.65</x:v>
      </x:c>
      <x:c r="V15" s="38" t="n">
        <x:f>L15*(1-T15/100)*(1-U15/100)</x:f>
        <x:v>302.21141848905</x:v>
      </x:c>
      <x:c r="W15" s="38" t="n">
        <x:f>G15*N15</x:f>
        <x:v>150794.5159</x:v>
      </x:c>
      <x:c r="X15" s="38" t="n">
        <x:f>H15*O15</x:f>
        <x:v>34122.79611</x:v>
      </x:c>
      <x:c r="Y15" s="38" t="n">
        <x:f>I15*P15</x:f>
        <x:v>6744.400000000001</x:v>
      </x:c>
      <x:c r="Z15" s="38" t="n">
        <x:f>J15*Q15+K15*P15</x:f>
        <x:v>1879.6743999999999</x:v>
      </x:c>
      <x:c r="AA15" s="38" t="n">
        <x:f>M15*R15</x:f>
        <x:v>19585.6245075</x:v>
      </x:c>
      <x:c r="AB15" s="38" t="n">
        <x:f>SUM(W15:AA15)</x:f>
        <x:v>213127.01091749998</x:v>
      </x:c>
      <x:c r="AC15" s="38" t="n">
        <x:v>22.53</x:v>
      </x:c>
      <x:c r="AD15" s="38" t="n">
        <x:v>174.33</x:v>
      </x:c>
      <x:c r="AE15" s="38" t="n">
        <x:v>99.31</x:v>
      </x:c>
      <x:c r="AF15" s="38" t="n">
        <x:v>4.8148</x:v>
      </x:c>
      <x:c r="AG15" s="38" t="n">
        <x:v>5.33</x:v>
      </x:c>
      <x:c r="AH15" s="38" t="n">
        <x:f>IF(E15="Fason",L15*S15,0)</x:f>
        <x:v>24797.581869999998</x:v>
      </x:c>
      <x:c r="AI15" s="38" t="n">
        <x:f>IF(E15="Kurum içi",AC15*AD15+AE15*AF15+AB15*12%,0)</x:f>
        <x:v>0</x:v>
      </x:c>
      <x:c r="AJ15" s="38" t="n">
        <x:f>V15*AG15</x:f>
        <x:v>1610.7868605466365</x:v>
      </x:c>
      <x:c r="AK15" s="38" t="n">
        <x:f>AB15*2%</x:f>
        <x:v>4262.54021835</x:v>
      </x:c>
      <x:c r="AL15" s="38" t="n">
        <x:f>AB15+AH15+AI15+AJ15+AK15</x:f>
        <x:v>243797.91986639664</x:v>
      </x:c>
      <x:c r="AM15" s="38" t="n">
        <x:f>AL15/V15</x:f>
        <x:v>806.7131317714593</x:v>
      </x:c>
      <x:c r="AN15" s="40" t="n">
        <x:f>(W15+X15)/AL15*100</x:f>
        <x:v>75.84860121502935</x:v>
      </x:c>
      <x:c r="AO15" s="28" t="str">
        <x:v>R01-R20; ilgili satırdaki bölgesel fiyat ve maliyet varsayımları</x:v>
      </x:c>
      <x:c r="AP15" s="28" t="str">
        <x:v>Girdi miktarları, alım fiyatı değişimi, fason bedeli ve parti sonucu simüle edilmiştir; işletme kaydı değildir.</x:v>
      </x:c>
    </x:row>
    <x:row r="16" ht="22" customHeight="1">
      <x:c r="A16" t="str">
        <x:v>SUC-0015</x:v>
      </x:c>
      <x:c r="B16" s="36" t="n">
        <x:v>46284</x:v>
      </x:c>
      <x:c r="C16" t="str">
        <x:v>Karadeniz</x:v>
      </x:c>
      <x:c r="D16" t="str">
        <x:v>MEB_STANDART</x:v>
      </x:c>
      <x:c r="E16" t="str">
        <x:v>Fason</x:v>
      </x:c>
      <x:c r="F16" s="42" t="str">
        <x:v>SENTETİK/SİMÜLE — gerçek parti kaydı değildir</x:v>
      </x:c>
      <x:c r="G16" s="38" t="n">
        <x:v>292.038</x:v>
      </x:c>
      <x:c r="H16" s="38" t="n">
        <x:v>93.34</x:v>
      </x:c>
      <x:c r="I16" s="38" t="n">
        <x:v>19.936</x:v>
      </x:c>
      <x:c r="J16" s="38" t="n">
        <x:v>11.099</x:v>
      </x:c>
      <x:c r="K16" s="38" t="n">
        <x:v>4.74</x:v>
      </x:c>
      <x:c r="L16" s="38" t="n">
        <x:f>SUM(G16:K16)</x:f>
        <x:v>421.153</x:v>
      </x:c>
      <x:c r="M16" s="38" t="n">
        <x:v>531.767</x:v>
      </x:c>
      <x:c r="N16" s="38" t="n">
        <x:v>619.26</x:v>
      </x:c>
      <x:c r="O16" s="38" t="n">
        <x:v>456.68</x:v>
      </x:c>
      <x:c r="P16" s="38" t="n">
        <x:v>400</x:v>
      </x:c>
      <x:c r="Q16" s="38" t="n">
        <x:v>19.88</x:v>
      </x:c>
      <x:c r="R16" s="38" t="n">
        <x:v>43.7475</x:v>
      </x:c>
      <x:c r="S16" s="38" t="n">
        <x:v>116.78</x:v>
      </x:c>
      <x:c r="T16" s="40" t="n">
        <x:v>16.54</x:v>
      </x:c>
      <x:c r="U16" s="40" t="n">
        <x:v>0.89</x:v>
      </x:c>
      <x:c r="V16" s="38" t="n">
        <x:f>L16*(1-T16/100)*(1-U16/100)</x:f>
        <x:v>348.36599458518003</x:v>
      </x:c>
      <x:c r="W16" s="38" t="n">
        <x:f>G16*N16</x:f>
        <x:v>180847.45188</x:v>
      </x:c>
      <x:c r="X16" s="38" t="n">
        <x:f>H16*O16</x:f>
        <x:v>42626.5112</x:v>
      </x:c>
      <x:c r="Y16" s="38" t="n">
        <x:f>I16*P16</x:f>
        <x:v>7974.4</x:v>
      </x:c>
      <x:c r="Z16" s="38" t="n">
        <x:f>J16*Q16+K16*P16</x:f>
        <x:v>2116.64812</x:v>
      </x:c>
      <x:c r="AA16" s="38" t="n">
        <x:f>M16*R16</x:f>
        <x:v>23263.476832500004</x:v>
      </x:c>
      <x:c r="AB16" s="38" t="n">
        <x:f>SUM(W16:AA16)</x:f>
        <x:v>256828.48803250003</x:v>
      </x:c>
      <x:c r="AC16" s="38" t="n">
        <x:v>21.15</x:v>
      </x:c>
      <x:c r="AD16" s="38" t="n">
        <x:v>174.33</x:v>
      </x:c>
      <x:c r="AE16" s="38" t="n">
        <x:v>142.87</x:v>
      </x:c>
      <x:c r="AF16" s="38" t="n">
        <x:v>4.8148</x:v>
      </x:c>
      <x:c r="AG16" s="38" t="n">
        <x:v>5.51</x:v>
      </x:c>
      <x:c r="AH16" s="38" t="n">
        <x:f>IF(E16="Fason",L16*S16,0)</x:f>
        <x:v>49182.24734</x:v>
      </x:c>
      <x:c r="AI16" s="38" t="n">
        <x:f>IF(E16="Kurum içi",AC16*AD16+AE16*AF16+AB16*12%,0)</x:f>
        <x:v>0</x:v>
      </x:c>
      <x:c r="AJ16" s="38" t="n">
        <x:f>V16*AG16</x:f>
        <x:v>1919.496630164342</x:v>
      </x:c>
      <x:c r="AK16" s="38" t="n">
        <x:f>AB16*2%</x:f>
        <x:v>5136.569760650001</x:v>
      </x:c>
      <x:c r="AL16" s="38" t="n">
        <x:f>AB16+AH16+AI16+AJ16+AK16</x:f>
        <x:v>313066.80176331435</x:v>
      </x:c>
      <x:c r="AM16" s="38" t="n">
        <x:f>AL16/V16</x:f>
        <x:v>898.6721052842757</x:v>
      </x:c>
      <x:c r="AN16" s="40" t="n">
        <x:f>(W16+X16)/AL16*100</x:f>
        <x:v>71.38219760808475</x:v>
      </x:c>
      <x:c r="AO16" s="28" t="str">
        <x:v>R01-R20; ilgili satırdaki bölgesel fiyat ve maliyet varsayımları</x:v>
      </x:c>
      <x:c r="AP16" s="28" t="str">
        <x:v>Girdi miktarları, alım fiyatı değişimi, fason bedeli ve parti sonucu simüle edilmiştir; işletme kaydı değildir.</x:v>
      </x:c>
    </x:row>
    <x:row r="17" ht="22" customHeight="1">
      <x:c r="A17" t="str">
        <x:v>SUC-0016</x:v>
      </x:c>
      <x:c r="B17" s="36" t="n">
        <x:v>46274</x:v>
      </x:c>
      <x:c r="C17" t="str">
        <x:v>Ege</x:v>
      </x:c>
      <x:c r="D17" t="str">
        <x:v>MEB_STANDART</x:v>
      </x:c>
      <x:c r="E17" t="str">
        <x:v>Kurum içi</x:v>
      </x:c>
      <x:c r="F17" s="42" t="str">
        <x:v>SENTETİK/SİMÜLE — gerçek parti kaydı değildir</x:v>
      </x:c>
      <x:c r="G17" s="38" t="n">
        <x:v>71.8</x:v>
      </x:c>
      <x:c r="H17" s="38" t="n">
        <x:v>22.14</x:v>
      </x:c>
      <x:c r="I17" s="38" t="n">
        <x:v>4.761</x:v>
      </x:c>
      <x:c r="J17" s="38" t="n">
        <x:v>2.425</x:v>
      </x:c>
      <x:c r="K17" s="38" t="n">
        <x:v>1.083</x:v>
      </x:c>
      <x:c r="L17" s="38" t="n">
        <x:f>SUM(G17:K17)</x:f>
        <x:v>102.20899999999999</x:v>
      </x:c>
      <x:c r="M17" s="38" t="n">
        <x:v>123.489</x:v>
      </x:c>
      <x:c r="N17" s="38" t="n">
        <x:v>581.59</x:v>
      </x:c>
      <x:c r="O17" s="38" t="n">
        <x:v>430</x:v>
      </x:c>
      <x:c r="P17" s="38" t="n">
        <x:v>669.9</x:v>
      </x:c>
      <x:c r="Q17" s="38" t="n">
        <x:v>19.88</x:v>
      </x:c>
      <x:c r="R17" s="38" t="n">
        <x:v>43.7475</x:v>
      </x:c>
      <x:c r="S17" s="38" t="n">
        <x:v>80.64</x:v>
      </x:c>
      <x:c r="T17" s="40" t="n">
        <x:v>30.99</x:v>
      </x:c>
      <x:c r="U17" s="40" t="n">
        <x:v>1.76</x:v>
      </x:c>
      <x:c r="V17" s="38" t="n">
        <x:f>L17*(1-T17/100)*(1-U17/100)</x:f>
        <x:v>69.29302491616</x:v>
      </x:c>
      <x:c r="W17" s="38" t="n">
        <x:f>G17*N17</x:f>
        <x:v>41758.162000000004</x:v>
      </x:c>
      <x:c r="X17" s="38" t="n">
        <x:f>H17*O17</x:f>
        <x:v>9520.2</x:v>
      </x:c>
      <x:c r="Y17" s="38" t="n">
        <x:f>I17*P17</x:f>
        <x:v>3189.3939</x:v>
      </x:c>
      <x:c r="Z17" s="38" t="n">
        <x:f>J17*Q17+K17*P17</x:f>
        <x:v>773.7106999999999</x:v>
      </x:c>
      <x:c r="AA17" s="38" t="n">
        <x:f>M17*R17</x:f>
        <x:v>5402.3350275</x:v>
      </x:c>
      <x:c r="AB17" s="38" t="n">
        <x:f>SUM(W17:AA17)</x:f>
        <x:v>60643.80162750001</x:v>
      </x:c>
      <x:c r="AC17" s="38" t="n">
        <x:v>3.83</x:v>
      </x:c>
      <x:c r="AD17" s="38" t="n">
        <x:v>174.33</x:v>
      </x:c>
      <x:c r="AE17" s="38" t="n">
        <x:v>38.75</x:v>
      </x:c>
      <x:c r="AF17" s="38" t="n">
        <x:v>4.8148</x:v>
      </x:c>
      <x:c r="AG17" s="38" t="n">
        <x:v>5.83</x:v>
      </x:c>
      <x:c r="AH17" s="38" t="n">
        <x:f>IF(E17="Fason",L17*S17,0)</x:f>
        <x:v>0</x:v>
      </x:c>
      <x:c r="AI17" s="38" t="n">
        <x:f>IF(E17="Kurum içi",AC17*AD17+AE17*AF17+AB17*12%,0)</x:f>
        <x:v>8131.513595300002</x:v>
      </x:c>
      <x:c r="AJ17" s="38" t="n">
        <x:f>V17*AG17</x:f>
        <x:v>403.97833526121275</x:v>
      </x:c>
      <x:c r="AK17" s="38" t="n">
        <x:f>AB17*2%</x:f>
        <x:v>1212.8760325500002</x:v>
      </x:c>
      <x:c r="AL17" s="38" t="n">
        <x:f>AB17+AH17+AI17+AJ17+AK17</x:f>
        <x:v>70392.16959061123</x:v>
      </x:c>
      <x:c r="AM17" s="38" t="n">
        <x:f>AL17/V17</x:f>
        <x:v>1015.8622700593766</x:v>
      </x:c>
      <x:c r="AN17" s="40" t="n">
        <x:f>(W17+X17)/AL17*100</x:f>
        <x:v>72.84668493417117</x:v>
      </x:c>
      <x:c r="AO17" s="28" t="str">
        <x:v>R01-R20; ilgili satırdaki bölgesel fiyat ve maliyet varsayımları</x:v>
      </x:c>
      <x:c r="AP17" s="28" t="str">
        <x:v>Girdi miktarları, alım fiyatı değişimi, fason bedeli ve parti sonucu simüle edilmiştir; işletme kaydı değildir.</x:v>
      </x:c>
    </x:row>
    <x:row r="18" ht="22" customHeight="1">
      <x:c r="A18" t="str">
        <x:v>SUC-0017</x:v>
      </x:c>
      <x:c r="B18" s="36" t="n">
        <x:v>46314</x:v>
      </x:c>
      <x:c r="C18" t="str">
        <x:v>Marmara</x:v>
      </x:c>
      <x:c r="D18" t="str">
        <x:v>MEB_STANDART</x:v>
      </x:c>
      <x:c r="E18" t="str">
        <x:v>Kurum içi</x:v>
      </x:c>
      <x:c r="F18" s="42" t="str">
        <x:v>SENTETİK/SİMÜLE — gerçek parti kaydı değildir</x:v>
      </x:c>
      <x:c r="G18" s="38" t="n">
        <x:v>174.24</x:v>
      </x:c>
      <x:c r="H18" s="38" t="n">
        <x:v>53.983</x:v>
      </x:c>
      <x:c r="I18" s="38" t="n">
        <x:v>10.786</x:v>
      </x:c>
      <x:c r="J18" s="38" t="n">
        <x:v>6.159</x:v>
      </x:c>
      <x:c r="K18" s="38" t="n">
        <x:v>2.852</x:v>
      </x:c>
      <x:c r="L18" s="38" t="n">
        <x:f>SUM(G18:K18)</x:f>
        <x:v>248.02</x:v>
      </x:c>
      <x:c r="M18" s="38" t="n">
        <x:v>289.802</x:v>
      </x:c>
      <x:c r="N18" s="38" t="n">
        <x:v>612.86</x:v>
      </x:c>
      <x:c r="O18" s="38" t="n">
        <x:v>482.78</x:v>
      </x:c>
      <x:c r="P18" s="38" t="n">
        <x:v>400</x:v>
      </x:c>
      <x:c r="Q18" s="38" t="n">
        <x:v>19.88</x:v>
      </x:c>
      <x:c r="R18" s="38" t="n">
        <x:v>43.7475</x:v>
      </x:c>
      <x:c r="S18" s="38" t="n">
        <x:v>90.35</x:v>
      </x:c>
      <x:c r="T18" s="40" t="n">
        <x:v>17.53</x:v>
      </x:c>
      <x:c r="U18" s="40" t="n">
        <x:v>1.39</x:v>
      </x:c>
      <x:c r="V18" s="38" t="n">
        <x:f>L18*(1-T18/100)*(1-U18/100)</x:f>
        <x:v>201.69895889339998</x:v>
      </x:c>
      <x:c r="W18" s="38" t="n">
        <x:f>G18*N18</x:f>
        <x:v>106784.72640000001</x:v>
      </x:c>
      <x:c r="X18" s="38" t="n">
        <x:f>H18*O18</x:f>
        <x:v>26061.912739999996</x:v>
      </x:c>
      <x:c r="Y18" s="38" t="n">
        <x:f>I18*P18</x:f>
        <x:v>4314.4</x:v>
      </x:c>
      <x:c r="Z18" s="38" t="n">
        <x:f>J18*Q18+K18*P18</x:f>
        <x:v>1263.24092</x:v>
      </x:c>
      <x:c r="AA18" s="38" t="n">
        <x:f>M18*R18</x:f>
        <x:v>12678.112995000001</x:v>
      </x:c>
      <x:c r="AB18" s="38" t="n">
        <x:f>SUM(W18:AA18)</x:f>
        <x:v>151102.39305500002</x:v>
      </x:c>
      <x:c r="AC18" s="38" t="n">
        <x:v>9.63</x:v>
      </x:c>
      <x:c r="AD18" s="38" t="n">
        <x:v>174.33</x:v>
      </x:c>
      <x:c r="AE18" s="38" t="n">
        <x:v>68.01</x:v>
      </x:c>
      <x:c r="AF18" s="38" t="n">
        <x:v>4.8148</x:v>
      </x:c>
      <x:c r="AG18" s="38" t="n">
        <x:v>5.19</x:v>
      </x:c>
      <x:c r="AH18" s="38" t="n">
        <x:f>IF(E18="Fason",L18*S18,0)</x:f>
        <x:v>0</x:v>
      </x:c>
      <x:c r="AI18" s="38" t="n">
        <x:f>IF(E18="Kurum içi",AC18*AD18+AE18*AF18+AB18*12%,0)</x:f>
        <x:v>20138.539614600002</x:v>
      </x:c>
      <x:c r="AJ18" s="38" t="n">
        <x:f>V18*AG18</x:f>
        <x:v>1046.817596656746</x:v>
      </x:c>
      <x:c r="AK18" s="38" t="n">
        <x:f>AB18*2%</x:f>
        <x:v>3022.0478611000003</x:v>
      </x:c>
      <x:c r="AL18" s="38" t="n">
        <x:f>AB18+AH18+AI18+AJ18+AK18</x:f>
        <x:v>175309.79812735677</x:v>
      </x:c>
      <x:c r="AM18" s="38" t="n">
        <x:f>AL18/V18</x:f>
        <x:v>869.165607443764</x:v>
      </x:c>
      <x:c r="AN18" s="40" t="n">
        <x:f>(W18+X18)/AL18*100</x:f>
        <x:v>75.7782169388452</x:v>
      </x:c>
      <x:c r="AO18" s="28" t="str">
        <x:v>R01-R20; ilgili satırdaki bölgesel fiyat ve maliyet varsayımları</x:v>
      </x:c>
      <x:c r="AP18" s="28" t="str">
        <x:v>Girdi miktarları, alım fiyatı değişimi, fason bedeli ve parti sonucu simüle edilmiştir; işletme kaydı değildir.</x:v>
      </x:c>
    </x:row>
    <x:row r="19" ht="22" customHeight="1">
      <x:c r="A19" t="str">
        <x:v>SUC-0018</x:v>
      </x:c>
      <x:c r="B19" s="36" t="n">
        <x:v>46299</x:v>
      </x:c>
      <x:c r="C19" t="str">
        <x:v>Ege</x:v>
      </x:c>
      <x:c r="D19" t="str">
        <x:v>ERZURUM_CI</x:v>
      </x:c>
      <x:c r="E19" t="str">
        <x:v>Kurum içi</x:v>
      </x:c>
      <x:c r="F19" s="42" t="str">
        <x:v>SENTETİK/SİMÜLE — gerçek parti kaydı değildir</x:v>
      </x:c>
      <x:c r="G19" s="38" t="n">
        <x:v>203.644</x:v>
      </x:c>
      <x:c r="H19" s="38" t="n">
        <x:v>38.104</x:v>
      </x:c>
      <x:c r="I19" s="38" t="n">
        <x:v>12.126</x:v>
      </x:c>
      <x:c r="J19" s="38" t="n">
        <x:v>4.363</x:v>
      </x:c>
      <x:c r="K19" s="38" t="n">
        <x:v>0.252</x:v>
      </x:c>
      <x:c r="L19" s="38" t="n">
        <x:f>SUM(G19:K19)</x:f>
        <x:v>258.48900000000003</x:v>
      </x:c>
      <x:c r="M19" s="38" t="n">
        <x:v>308.22</x:v>
      </x:c>
      <x:c r="N19" s="38" t="n">
        <x:v>596.98</x:v>
      </x:c>
      <x:c r="O19" s="38" t="n">
        <x:v>432.78</x:v>
      </x:c>
      <x:c r="P19" s="38" t="n">
        <x:v>400</x:v>
      </x:c>
      <x:c r="Q19" s="38" t="n">
        <x:v>19.88</x:v>
      </x:c>
      <x:c r="R19" s="38" t="n">
        <x:v>43.7475</x:v>
      </x:c>
      <x:c r="S19" s="38" t="n">
        <x:v>70.5</x:v>
      </x:c>
      <x:c r="T19" s="40" t="n">
        <x:v>21.01</x:v>
      </x:c>
      <x:c r="U19" s="40" t="n">
        <x:v>1.41</x:v>
      </x:c>
      <x:c r="V19" s="38" t="n">
        <x:f>L19*(1-T19/100)*(1-U19/100)</x:f>
        <x:v>201.30151659849002</x:v>
      </x:c>
      <x:c r="W19" s="38" t="n">
        <x:f>G19*N19</x:f>
        <x:v>121571.39512</x:v>
      </x:c>
      <x:c r="X19" s="38" t="n">
        <x:f>H19*O19</x:f>
        <x:v>16490.64912</x:v>
      </x:c>
      <x:c r="Y19" s="38" t="n">
        <x:f>I19*P19</x:f>
        <x:v>4850.4</x:v>
      </x:c>
      <x:c r="Z19" s="38" t="n">
        <x:f>J19*Q19+K19*P19</x:f>
        <x:v>187.53644</x:v>
      </x:c>
      <x:c r="AA19" s="38" t="n">
        <x:f>M19*R19</x:f>
        <x:v>13483.854450000003</x:v>
      </x:c>
      <x:c r="AB19" s="38" t="n">
        <x:f>SUM(W19:AA19)</x:f>
        <x:v>156583.83513</x:v>
      </x:c>
      <x:c r="AC19" s="38" t="n">
        <x:v>17.03</x:v>
      </x:c>
      <x:c r="AD19" s="38" t="n">
        <x:v>174.33</x:v>
      </x:c>
      <x:c r="AE19" s="38" t="n">
        <x:v>93.7</x:v>
      </x:c>
      <x:c r="AF19" s="38" t="n">
        <x:v>4.8148</x:v>
      </x:c>
      <x:c r="AG19" s="38" t="n">
        <x:v>5.15</x:v>
      </x:c>
      <x:c r="AH19" s="38" t="n">
        <x:f>IF(E19="Fason",L19*S19,0)</x:f>
        <x:v>0</x:v>
      </x:c>
      <x:c r="AI19" s="38" t="n">
        <x:f>IF(E19="Kurum içi",AC19*AD19+AE19*AF19+AB19*12%,0)</x:f>
        <x:v>22210.046875599997</x:v>
      </x:c>
      <x:c r="AJ19" s="38" t="n">
        <x:f>V19*AG19</x:f>
        <x:v>1036.7028104822236</x:v>
      </x:c>
      <x:c r="AK19" s="38" t="n">
        <x:f>AB19*2%</x:f>
        <x:v>3131.6767025999998</x:v>
      </x:c>
      <x:c r="AL19" s="38" t="n">
        <x:f>AB19+AH19+AI19+AJ19+AK19</x:f>
        <x:v>182962.2615186822</x:v>
      </x:c>
      <x:c r="AM19" s="38" t="n">
        <x:f>AL19/V19</x:f>
        <x:v>908.8965876179326</x:v>
      </x:c>
      <x:c r="AN19" s="40" t="n">
        <x:f>(W19+X19)/AL19*100</x:f>
        <x:v>75.45930133023772</x:v>
      </x:c>
      <x:c r="AO19" s="28" t="str">
        <x:v>R01-R20; ilgili satırdaki bölgesel fiyat ve maliyet varsayımları</x:v>
      </x:c>
      <x:c r="AP19" s="28" t="str">
        <x:v>Girdi miktarları, alım fiyatı değişimi, fason bedeli ve parti sonucu simüle edilmiştir; işletme kaydı değildir.</x:v>
      </x:c>
    </x:row>
    <x:row r="20" ht="22" customHeight="1">
      <x:c r="A20" t="str">
        <x:v>SUC-0019</x:v>
      </x:c>
      <x:c r="B20" s="36" t="n">
        <x:v>46300</x:v>
      </x:c>
      <x:c r="C20" t="str">
        <x:v>Doğu Anadolu</x:v>
      </x:c>
      <x:c r="D20" t="str">
        <x:v>MEB_STANDART</x:v>
      </x:c>
      <x:c r="E20" t="str">
        <x:v>Kurum içi</x:v>
      </x:c>
      <x:c r="F20" s="42" t="str">
        <x:v>SENTETİK/SİMÜLE — gerçek parti kaydı değildir</x:v>
      </x:c>
      <x:c r="G20" s="38" t="n">
        <x:v>323.817</x:v>
      </x:c>
      <x:c r="H20" s="38" t="n">
        <x:v>98.813</x:v>
      </x:c>
      <x:c r="I20" s="38" t="n">
        <x:v>20.703</x:v>
      </x:c>
      <x:c r="J20" s="38" t="n">
        <x:v>11.435</x:v>
      </x:c>
      <x:c r="K20" s="38" t="n">
        <x:v>5.14</x:v>
      </x:c>
      <x:c r="L20" s="38" t="n">
        <x:f>SUM(G20:K20)</x:f>
        <x:v>459.90799999999996</x:v>
      </x:c>
      <x:c r="M20" s="38" t="n">
        <x:v>552.58</x:v>
      </x:c>
      <x:c r="N20" s="38" t="n">
        <x:v>595.62</x:v>
      </x:c>
      <x:c r="O20" s="38" t="n">
        <x:v>426.48</x:v>
      </x:c>
      <x:c r="P20" s="38" t="n">
        <x:v>550</x:v>
      </x:c>
      <x:c r="Q20" s="38" t="n">
        <x:v>19.88</x:v>
      </x:c>
      <x:c r="R20" s="38" t="n">
        <x:v>43.7475</x:v>
      </x:c>
      <x:c r="S20" s="38" t="n">
        <x:v>113.83</x:v>
      </x:c>
      <x:c r="T20" s="40" t="n">
        <x:v>20.36</x:v>
      </x:c>
      <x:c r="U20" s="40" t="n">
        <x:v>0.55</x:v>
      </x:c>
      <x:c r="V20" s="38" t="n">
        <x:f>L20*(1-T20/100)*(1-U20/100)</x:f>
        <x:v>364.2562421784</x:v>
      </x:c>
      <x:c r="W20" s="38" t="n">
        <x:f>G20*N20</x:f>
        <x:v>192871.88154</x:v>
      </x:c>
      <x:c r="X20" s="38" t="n">
        <x:f>H20*O20</x:f>
        <x:v>42141.768240000005</x:v>
      </x:c>
      <x:c r="Y20" s="38" t="n">
        <x:f>I20*P20</x:f>
        <x:v>11386.65</x:v>
      </x:c>
      <x:c r="Z20" s="38" t="n">
        <x:f>J20*Q20+K20*P20</x:f>
        <x:v>3054.3278</x:v>
      </x:c>
      <x:c r="AA20" s="38" t="n">
        <x:f>M20*R20</x:f>
        <x:v>24173.993550000003</x:v>
      </x:c>
      <x:c r="AB20" s="38" t="n">
        <x:f>SUM(W20:AA20)</x:f>
        <x:v>273628.62113</x:v>
      </x:c>
      <x:c r="AC20" s="38" t="n">
        <x:v>24.17</x:v>
      </x:c>
      <x:c r="AD20" s="38" t="n">
        <x:v>174.33</x:v>
      </x:c>
      <x:c r="AE20" s="38" t="n">
        <x:v>129.59</x:v>
      </x:c>
      <x:c r="AF20" s="38" t="n">
        <x:v>4.8148</x:v>
      </x:c>
      <x:c r="AG20" s="38" t="n">
        <x:v>5.34</x:v>
      </x:c>
      <x:c r="AH20" s="38" t="n">
        <x:f>IF(E20="Fason",L20*S20,0)</x:f>
        <x:v>0</x:v>
      </x:c>
      <x:c r="AI20" s="38" t="n">
        <x:f>IF(E20="Kurum içi",AC20*AD20+AE20*AF20+AB20*12%,0)</x:f>
        <x:v>37672.9405676</x:v>
      </x:c>
      <x:c r="AJ20" s="38" t="n">
        <x:f>V20*AG20</x:f>
        <x:v>1945.128333232656</x:v>
      </x:c>
      <x:c r="AK20" s="38" t="n">
        <x:f>AB20*2%</x:f>
        <x:v>5472.5724226</x:v>
      </x:c>
      <x:c r="AL20" s="38" t="n">
        <x:f>AB20+AH20+AI20+AJ20+AK20</x:f>
        <x:v>318719.26245343266</x:v>
      </x:c>
      <x:c r="AM20" s="38" t="n">
        <x:f>AL20/V20</x:f>
        <x:v>874.9864121678802</x:v>
      </x:c>
      <x:c r="AN20" s="40" t="n">
        <x:f>(W20+X20)/AL20*100</x:f>
        <x:v>73.73688303961148</x:v>
      </x:c>
      <x:c r="AO20" s="28" t="str">
        <x:v>R01-R20; ilgili satırdaki bölgesel fiyat ve maliyet varsayımları</x:v>
      </x:c>
      <x:c r="AP20" s="28" t="str">
        <x:v>Girdi miktarları, alım fiyatı değişimi, fason bedeli ve parti sonucu simüle edilmiştir; işletme kaydı değildir.</x:v>
      </x:c>
    </x:row>
    <x:row r="21" ht="22" customHeight="1">
      <x:c r="A21" t="str">
        <x:v>SUC-0020</x:v>
      </x:c>
      <x:c r="B21" s="36" t="n">
        <x:v>46293</x:v>
      </x:c>
      <x:c r="C21" t="str">
        <x:v>Karadeniz</x:v>
      </x:c>
      <x:c r="D21" t="str">
        <x:v>MEB_STANDART</x:v>
      </x:c>
      <x:c r="E21" t="str">
        <x:v>Kurum içi</x:v>
      </x:c>
      <x:c r="F21" s="42" t="str">
        <x:v>SENTETİK/SİMÜLE — gerçek parti kaydı değildir</x:v>
      </x:c>
      <x:c r="G21" s="38" t="n">
        <x:v>204.86</x:v>
      </x:c>
      <x:c r="H21" s="38" t="n">
        <x:v>62.133</x:v>
      </x:c>
      <x:c r="I21" s="38" t="n">
        <x:v>13.171</x:v>
      </x:c>
      <x:c r="J21" s="38" t="n">
        <x:v>6.891</x:v>
      </x:c>
      <x:c r="K21" s="38" t="n">
        <x:v>2.761</x:v>
      </x:c>
      <x:c r="L21" s="38" t="n">
        <x:f>SUM(G21:K21)</x:f>
        <x:v>289.81600000000003</x:v>
      </x:c>
      <x:c r="M21" s="38" t="n">
        <x:v>364.394</x:v>
      </x:c>
      <x:c r="N21" s="38" t="n">
        <x:v>592.05</x:v>
      </x:c>
      <x:c r="O21" s="38" t="n">
        <x:v>453.81</x:v>
      </x:c>
      <x:c r="P21" s="38" t="n">
        <x:v>550</x:v>
      </x:c>
      <x:c r="Q21" s="38" t="n">
        <x:v>19.88</x:v>
      </x:c>
      <x:c r="R21" s="38" t="n">
        <x:v>43.7475</x:v>
      </x:c>
      <x:c r="S21" s="38" t="n">
        <x:v>119.19</x:v>
      </x:c>
      <x:c r="T21" s="40" t="n">
        <x:v>20.32</x:v>
      </x:c>
      <x:c r="U21" s="40" t="n">
        <x:v>0.31</x:v>
      </x:c>
      <x:c r="V21" s="38" t="n">
        <x:f>L21*(1-T21/100)*(1-U21/100)</x:f>
        <x:v>230.20952009472</x:v>
      </x:c>
      <x:c r="W21" s="38" t="n">
        <x:f>G21*N21</x:f>
        <x:v>121287.363</x:v>
      </x:c>
      <x:c r="X21" s="38" t="n">
        <x:f>H21*O21</x:f>
        <x:v>28196.57673</x:v>
      </x:c>
      <x:c r="Y21" s="38" t="n">
        <x:f>I21*P21</x:f>
        <x:v>7244.049999999999</x:v>
      </x:c>
      <x:c r="Z21" s="38" t="n">
        <x:f>J21*Q21+K21*P21</x:f>
        <x:v>1655.54308</x:v>
      </x:c>
      <x:c r="AA21" s="38" t="n">
        <x:f>M21*R21</x:f>
        <x:v>15941.326515</x:v>
      </x:c>
      <x:c r="AB21" s="38" t="n">
        <x:f>SUM(W21:AA21)</x:f>
        <x:v>174324.85932499997</x:v>
      </x:c>
      <x:c r="AC21" s="38" t="n">
        <x:v>14.18</x:v>
      </x:c>
      <x:c r="AD21" s="38" t="n">
        <x:v>174.33</x:v>
      </x:c>
      <x:c r="AE21" s="38" t="n">
        <x:v>69.45</x:v>
      </x:c>
      <x:c r="AF21" s="38" t="n">
        <x:v>4.8148</x:v>
      </x:c>
      <x:c r="AG21" s="38" t="n">
        <x:v>5.42</x:v>
      </x:c>
      <x:c r="AH21" s="38" t="n">
        <x:f>IF(E21="Fason",L21*S21,0)</x:f>
        <x:v>0</x:v>
      </x:c>
      <x:c r="AI21" s="38" t="n">
        <x:f>IF(E21="Kurum içi",AC21*AD21+AE21*AF21+AB21*12%,0)</x:f>
        <x:v>23725.370378999996</x:v>
      </x:c>
      <x:c r="AJ21" s="38" t="n">
        <x:f>V21*AG21</x:f>
        <x:v>1247.7355989133823</x:v>
      </x:c>
      <x:c r="AK21" s="38" t="n">
        <x:f>AB21*2%</x:f>
        <x:v>3486.4971864999993</x:v>
      </x:c>
      <x:c r="AL21" s="38" t="n">
        <x:f>AB21+AH21+AI21+AJ21+AK21</x:f>
        <x:v>202784.46248941336</x:v>
      </x:c>
      <x:c r="AM21" s="38" t="n">
        <x:f>AL21/V21</x:f>
        <x:v>880.8691421882876</x:v>
      </x:c>
      <x:c r="AN21" s="40" t="n">
        <x:f>(W21+X21)/AL21*100</x:f>
        <x:v>73.71567717512086</x:v>
      </x:c>
      <x:c r="AO21" s="28" t="str">
        <x:v>R01-R20; ilgili satırdaki bölgesel fiyat ve maliyet varsayımları</x:v>
      </x:c>
      <x:c r="AP21" s="28" t="str">
        <x:v>Girdi miktarları, alım fiyatı değişimi, fason bedeli ve parti sonucu simüle edilmiştir; işletme kaydı değildir.</x:v>
      </x:c>
    </x:row>
    <x:row r="22" ht="22" customHeight="1">
      <x:c r="A22" t="str">
        <x:v>SUC-0021</x:v>
      </x:c>
      <x:c r="B22" s="36" t="n">
        <x:v>46297</x:v>
      </x:c>
      <x:c r="C22" t="str">
        <x:v>İç Anadolu</x:v>
      </x:c>
      <x:c r="D22" t="str">
        <x:v>ERZURUM_CI</x:v>
      </x:c>
      <x:c r="E22" t="str">
        <x:v>Kurum içi</x:v>
      </x:c>
      <x:c r="F22" s="42" t="str">
        <x:v>SENTETİK/SİMÜLE — gerçek parti kaydı değildir</x:v>
      </x:c>
      <x:c r="G22" s="38" t="n">
        <x:v>188.143</x:v>
      </x:c>
      <x:c r="H22" s="38" t="n">
        <x:v>34.922</x:v>
      </x:c>
      <x:c r="I22" s="38" t="n">
        <x:v>11.525</x:v>
      </x:c>
      <x:c r="J22" s="38" t="n">
        <x:v>3.846</x:v>
      </x:c>
      <x:c r="K22" s="38" t="n">
        <x:v>0.079</x:v>
      </x:c>
      <x:c r="L22" s="38" t="n">
        <x:f>SUM(G22:K22)</x:f>
        <x:v>238.51500000000001</x:v>
      </x:c>
      <x:c r="M22" s="38" t="n">
        <x:v>291.035</x:v>
      </x:c>
      <x:c r="N22" s="38" t="n">
        <x:v>582.47</x:v>
      </x:c>
      <x:c r="O22" s="38" t="n">
        <x:v>416.82</x:v>
      </x:c>
      <x:c r="P22" s="38" t="n">
        <x:v>669.9</x:v>
      </x:c>
      <x:c r="Q22" s="38" t="n">
        <x:v>19.88</x:v>
      </x:c>
      <x:c r="R22" s="38" t="n">
        <x:v>43.7475</x:v>
      </x:c>
      <x:c r="S22" s="38" t="n">
        <x:v>112.12</x:v>
      </x:c>
      <x:c r="T22" s="40" t="n">
        <x:v>20.18</x:v>
      </x:c>
      <x:c r="U22" s="40" t="n">
        <x:v>0.86</x:v>
      </x:c>
      <x:c r="V22" s="38" t="n">
        <x:f>L22*(1-T22/100)*(1-U22/100)</x:f>
        <x:v>188.7453820122</x:v>
      </x:c>
      <x:c r="W22" s="38" t="n">
        <x:f>G22*N22</x:f>
        <x:v>109587.65321</x:v>
      </x:c>
      <x:c r="X22" s="38" t="n">
        <x:f>H22*O22</x:f>
        <x:v>14556.18804</x:v>
      </x:c>
      <x:c r="Y22" s="38" t="n">
        <x:f>I22*P22</x:f>
        <x:v>7720.5975</x:v>
      </x:c>
      <x:c r="Z22" s="38" t="n">
        <x:f>J22*Q22+K22*P22</x:f>
        <x:v>129.38058</x:v>
      </x:c>
      <x:c r="AA22" s="38" t="n">
        <x:f>M22*R22</x:f>
        <x:v>12732.053662500002</x:v>
      </x:c>
      <x:c r="AB22" s="38" t="n">
        <x:f>SUM(W22:AA22)</x:f>
        <x:v>144725.8729925</x:v>
      </x:c>
      <x:c r="AC22" s="38" t="n">
        <x:v>16.37</x:v>
      </x:c>
      <x:c r="AD22" s="38" t="n">
        <x:v>174.33</x:v>
      </x:c>
      <x:c r="AE22" s="38" t="n">
        <x:v>113.02</x:v>
      </x:c>
      <x:c r="AF22" s="38" t="n">
        <x:v>4.8148</x:v>
      </x:c>
      <x:c r="AG22" s="38" t="n">
        <x:v>5.32</x:v>
      </x:c>
      <x:c r="AH22" s="38" t="n">
        <x:f>IF(E22="Fason",L22*S22,0)</x:f>
        <x:v>0</x:v>
      </x:c>
      <x:c r="AI22" s="38" t="n">
        <x:f>IF(E22="Kurum içi",AC22*AD22+AE22*AF22+AB22*12%,0)</x:f>
        <x:v>20765.0555551</x:v>
      </x:c>
      <x:c r="AJ22" s="38" t="n">
        <x:f>V22*AG22</x:f>
        <x:v>1004.125432304904</x:v>
      </x:c>
      <x:c r="AK22" s="38" t="n">
        <x:f>AB22*2%</x:f>
        <x:v>2894.51745985</x:v>
      </x:c>
      <x:c r="AL22" s="38" t="n">
        <x:f>AB22+AH22+AI22+AJ22+AK22</x:f>
        <x:v>169389.5714397549</x:v>
      </x:c>
      <x:c r="AM22" s="38" t="n">
        <x:f>AL22/V22</x:f>
        <x:v>897.4501502177468</x:v>
      </x:c>
      <x:c r="AN22" s="40" t="n">
        <x:f>(W22+X22)/AL22*100</x:f>
        <x:v>73.28895173110052</x:v>
      </x:c>
      <x:c r="AO22" s="28" t="str">
        <x:v>R01-R20; ilgili satırdaki bölgesel fiyat ve maliyet varsayımları</x:v>
      </x:c>
      <x:c r="AP22" s="28" t="str">
        <x:v>Girdi miktarları, alım fiyatı değişimi, fason bedeli ve parti sonucu simüle edilmiştir; işletme kaydı değildir.</x:v>
      </x:c>
    </x:row>
    <x:row r="23" ht="22" customHeight="1">
      <x:c r="A23" t="str">
        <x:v>SUC-0022</x:v>
      </x:c>
      <x:c r="B23" s="36" t="n">
        <x:v>46269</x:v>
      </x:c>
      <x:c r="C23" t="str">
        <x:v>Marmara</x:v>
      </x:c>
      <x:c r="D23" t="str">
        <x:v>ERZURUM_CI</x:v>
      </x:c>
      <x:c r="E23" t="str">
        <x:v>Fason</x:v>
      </x:c>
      <x:c r="F23" s="42" t="str">
        <x:v>SENTETİK/SİMÜLE — gerçek parti kaydı değildir</x:v>
      </x:c>
      <x:c r="G23" s="38" t="n">
        <x:v>273.346</x:v>
      </x:c>
      <x:c r="H23" s="38" t="n">
        <x:v>46.51</x:v>
      </x:c>
      <x:c r="I23" s="38" t="n">
        <x:v>15.294</x:v>
      </x:c>
      <x:c r="J23" s="38" t="n">
        <x:v>5.975</x:v>
      </x:c>
      <x:c r="K23" s="38" t="n">
        <x:v>0.23</x:v>
      </x:c>
      <x:c r="L23" s="38" t="n">
        <x:f>SUM(G23:K23)</x:f>
        <x:v>341.355</x:v>
      </x:c>
      <x:c r="M23" s="38" t="n">
        <x:v>448.542</x:v>
      </x:c>
      <x:c r="N23" s="38" t="n">
        <x:v>598.53</x:v>
      </x:c>
      <x:c r="O23" s="38" t="n">
        <x:v>438.89</x:v>
      </x:c>
      <x:c r="P23" s="38" t="n">
        <x:v>550</x:v>
      </x:c>
      <x:c r="Q23" s="38" t="n">
        <x:v>19.88</x:v>
      </x:c>
      <x:c r="R23" s="38" t="n">
        <x:v>43.7475</x:v>
      </x:c>
      <x:c r="S23" s="38" t="n">
        <x:v>99.81</x:v>
      </x:c>
      <x:c r="T23" s="40" t="n">
        <x:v>26.59</x:v>
      </x:c>
      <x:c r="U23" s="40" t="n">
        <x:v>1.32</x:v>
      </x:c>
      <x:c r="V23" s="38" t="n">
        <x:f>L23*(1-T23/100)*(1-U23/100)</x:f>
        <x:v>247.2809345874</x:v>
      </x:c>
      <x:c r="W23" s="38" t="n">
        <x:f>G23*N23</x:f>
        <x:v>163605.78138</x:v>
      </x:c>
      <x:c r="X23" s="38" t="n">
        <x:f>H23*O23</x:f>
        <x:v>20412.7739</x:v>
      </x:c>
      <x:c r="Y23" s="38" t="n">
        <x:f>I23*P23</x:f>
        <x:v>8411.7</x:v>
      </x:c>
      <x:c r="Z23" s="38" t="n">
        <x:f>J23*Q23+K23*P23</x:f>
        <x:v>245.283</x:v>
      </x:c>
      <x:c r="AA23" s="38" t="n">
        <x:f>M23*R23</x:f>
        <x:v>19622.591145</x:v>
      </x:c>
      <x:c r="AB23" s="38" t="n">
        <x:f>SUM(W23:AA23)</x:f>
        <x:v>212298.129425</x:v>
      </x:c>
      <x:c r="AC23" s="38" t="n">
        <x:v>22.13</x:v>
      </x:c>
      <x:c r="AD23" s="38" t="n">
        <x:v>174.33</x:v>
      </x:c>
      <x:c r="AE23" s="38" t="n">
        <x:v>143.17</x:v>
      </x:c>
      <x:c r="AF23" s="38" t="n">
        <x:v>4.8148</x:v>
      </x:c>
      <x:c r="AG23" s="38" t="n">
        <x:v>5.58</x:v>
      </x:c>
      <x:c r="AH23" s="38" t="n">
        <x:f>IF(E23="Fason",L23*S23,0)</x:f>
        <x:v>34070.642550000004</x:v>
      </x:c>
      <x:c r="AI23" s="38" t="n">
        <x:f>IF(E23="Kurum içi",AC23*AD23+AE23*AF23+AB23*12%,0)</x:f>
        <x:v>0</x:v>
      </x:c>
      <x:c r="AJ23" s="38" t="n">
        <x:f>V23*AG23</x:f>
        <x:v>1379.827614997692</x:v>
      </x:c>
      <x:c r="AK23" s="38" t="n">
        <x:f>AB23*2%</x:f>
        <x:v>4245.9625885</x:v>
      </x:c>
      <x:c r="AL23" s="38" t="n">
        <x:f>AB23+AH23+AI23+AJ23+AK23</x:f>
        <x:v>251994.56217849767</x:v>
      </x:c>
      <x:c r="AM23" s="38" t="n">
        <x:f>AL23/V23</x:f>
        <x:v>1019.0618318349636</x:v>
      </x:c>
      <x:c r="AN23" s="40" t="n">
        <x:f>(W23+X23)/AL23*100</x:f>
        <x:v>73.02481199957498</x:v>
      </x:c>
      <x:c r="AO23" s="28" t="str">
        <x:v>R01-R20; ilgili satırdaki bölgesel fiyat ve maliyet varsayımları</x:v>
      </x:c>
      <x:c r="AP23" s="28" t="str">
        <x:v>Girdi miktarları, alım fiyatı değişimi, fason bedeli ve parti sonucu simüle edilmiştir; işletme kaydı değildir.</x:v>
      </x:c>
    </x:row>
    <x:row r="24" ht="22" customHeight="1">
      <x:c r="A24" t="str">
        <x:v>SUC-0023</x:v>
      </x:c>
      <x:c r="B24" s="36" t="n">
        <x:v>46275</x:v>
      </x:c>
      <x:c r="C24" t="str">
        <x:v>Ege</x:v>
      </x:c>
      <x:c r="D24" t="str">
        <x:v>MEB_STANDART</x:v>
      </x:c>
      <x:c r="E24" t="str">
        <x:v>Kurum içi</x:v>
      </x:c>
      <x:c r="F24" s="42" t="str">
        <x:v>SENTETİK/SİMÜLE — gerçek parti kaydı değildir</x:v>
      </x:c>
      <x:c r="G24" s="38" t="n">
        <x:v>115.577</x:v>
      </x:c>
      <x:c r="H24" s="38" t="n">
        <x:v>36.71</x:v>
      </x:c>
      <x:c r="I24" s="38" t="n">
        <x:v>7.644</x:v>
      </x:c>
      <x:c r="J24" s="38" t="n">
        <x:v>3.827</x:v>
      </x:c>
      <x:c r="K24" s="38" t="n">
        <x:v>1.544</x:v>
      </x:c>
      <x:c r="L24" s="38" t="n">
        <x:f>SUM(G24:K24)</x:f>
        <x:v>165.30200000000002</x:v>
      </x:c>
      <x:c r="M24" s="38" t="n">
        <x:v>211.137</x:v>
      </x:c>
      <x:c r="N24" s="38" t="n">
        <x:v>599.45</x:v>
      </x:c>
      <x:c r="O24" s="38" t="n">
        <x:v>426.78</x:v>
      </x:c>
      <x:c r="P24" s="38" t="n">
        <x:v>550</x:v>
      </x:c>
      <x:c r="Q24" s="38" t="n">
        <x:v>19.88</x:v>
      </x:c>
      <x:c r="R24" s="38" t="n">
        <x:v>43.7475</x:v>
      </x:c>
      <x:c r="S24" s="38" t="n">
        <x:v>96.67</x:v>
      </x:c>
      <x:c r="T24" s="40" t="n">
        <x:v>17.99</x:v>
      </x:c>
      <x:c r="U24" s="40" t="n">
        <x:v>0.37</x:v>
      </x:c>
      <x:c r="V24" s="38" t="n">
        <x:f>L24*(1-T24/100)*(1-U24/100)</x:f>
        <x:v>135.06258277026004</x:v>
      </x:c>
      <x:c r="W24" s="38" t="n">
        <x:f>G24*N24</x:f>
        <x:v>69282.63265</x:v>
      </x:c>
      <x:c r="X24" s="38" t="n">
        <x:f>H24*O24</x:f>
        <x:v>15667.093799999999</x:v>
      </x:c>
      <x:c r="Y24" s="38" t="n">
        <x:f>I24*P24</x:f>
        <x:v>4204.2</x:v>
      </x:c>
      <x:c r="Z24" s="38" t="n">
        <x:f>J24*Q24+K24*P24</x:f>
        <x:v>925.2807600000001</x:v>
      </x:c>
      <x:c r="AA24" s="38" t="n">
        <x:f>M24*R24</x:f>
        <x:v>9236.7159075</x:v>
      </x:c>
      <x:c r="AB24" s="38" t="n">
        <x:f>SUM(W24:AA24)</x:f>
        <x:v>99315.92311749999</x:v>
      </x:c>
      <x:c r="AC24" s="38" t="n">
        <x:v>6.15</x:v>
      </x:c>
      <x:c r="AD24" s="38" t="n">
        <x:v>174.33</x:v>
      </x:c>
      <x:c r="AE24" s="38" t="n">
        <x:v>43.74</x:v>
      </x:c>
      <x:c r="AF24" s="38" t="n">
        <x:v>4.8148</x:v>
      </x:c>
      <x:c r="AG24" s="38" t="n">
        <x:v>5.33</x:v>
      </x:c>
      <x:c r="AH24" s="38" t="n">
        <x:f>IF(E24="Fason",L24*S24,0)</x:f>
        <x:v>0</x:v>
      </x:c>
      <x:c r="AI24" s="38" t="n">
        <x:f>IF(E24="Kurum içi",AC24*AD24+AE24*AF24+AB24*12%,0)</x:f>
        <x:v>13200.639626099999</x:v>
      </x:c>
      <x:c r="AJ24" s="38" t="n">
        <x:f>V24*AG24</x:f>
        <x:v>719.8835661654861</x:v>
      </x:c>
      <x:c r="AK24" s="38" t="n">
        <x:f>AB24*2%</x:f>
        <x:v>1986.31846235</x:v>
      </x:c>
      <x:c r="AL24" s="38" t="n">
        <x:f>AB24+AH24+AI24+AJ24+AK24</x:f>
        <x:v>115222.76477211548</x:v>
      </x:c>
      <x:c r="AM24" s="38" t="n">
        <x:f>AL24/V24</x:f>
        <x:v>853.1064815198162</x:v>
      </x:c>
      <x:c r="AN24" s="40" t="n">
        <x:f>(W24+X24)/AL24*100</x:f>
        <x:v>73.72651282757475</x:v>
      </x:c>
      <x:c r="AO24" s="28" t="str">
        <x:v>R01-R20; ilgili satırdaki bölgesel fiyat ve maliyet varsayımları</x:v>
      </x:c>
      <x:c r="AP24" s="28" t="str">
        <x:v>Girdi miktarları, alım fiyatı değişimi, fason bedeli ve parti sonucu simüle edilmiştir; işletme kaydı değildir.</x:v>
      </x:c>
    </x:row>
    <x:row r="25" ht="22" customHeight="1">
      <x:c r="A25" t="str">
        <x:v>SUC-0024</x:v>
      </x:c>
      <x:c r="B25" s="36" t="n">
        <x:v>46295</x:v>
      </x:c>
      <x:c r="C25" t="str">
        <x:v>Marmara</x:v>
      </x:c>
      <x:c r="D25" t="str">
        <x:v>MEB_STANDART</x:v>
      </x:c>
      <x:c r="E25" t="str">
        <x:v>Fason</x:v>
      </x:c>
      <x:c r="F25" s="42" t="str">
        <x:v>SENTETİK/SİMÜLE — gerçek parti kaydı değildir</x:v>
      </x:c>
      <x:c r="G25" s="38" t="n">
        <x:v>45.288</x:v>
      </x:c>
      <x:c r="H25" s="38" t="n">
        <x:v>14.358</x:v>
      </x:c>
      <x:c r="I25" s="38" t="n">
        <x:v>3.057</x:v>
      </x:c>
      <x:c r="J25" s="38" t="n">
        <x:v>1.704</x:v>
      </x:c>
      <x:c r="K25" s="38" t="n">
        <x:v>0.633</x:v>
      </x:c>
      <x:c r="L25" s="38" t="n">
        <x:f>SUM(G25:K25)</x:f>
        <x:v>65.03999999999999</x:v>
      </x:c>
      <x:c r="M25" s="38" t="n">
        <x:v>84.786</x:v>
      </x:c>
      <x:c r="N25" s="38" t="n">
        <x:v>589.19</x:v>
      </x:c>
      <x:c r="O25" s="38" t="n">
        <x:v>433.28</x:v>
      </x:c>
      <x:c r="P25" s="38" t="n">
        <x:v>400</x:v>
      </x:c>
      <x:c r="Q25" s="38" t="n">
        <x:v>19.88</x:v>
      </x:c>
      <x:c r="R25" s="38" t="n">
        <x:v>43.7475</x:v>
      </x:c>
      <x:c r="S25" s="38" t="n">
        <x:v>88.09</x:v>
      </x:c>
      <x:c r="T25" s="40" t="n">
        <x:v>27.26</x:v>
      </x:c>
      <x:c r="U25" s="40" t="n">
        <x:v>0.6</x:v>
      </x:c>
      <x:c r="V25" s="38" t="n">
        <x:f>L25*(1-T25/100)*(1-U25/100)</x:f>
        <x:v>47.02623542399999</x:v>
      </x:c>
      <x:c r="W25" s="38" t="n">
        <x:f>G25*N25</x:f>
        <x:v>26683.23672</x:v>
      </x:c>
      <x:c r="X25" s="38" t="n">
        <x:f>H25*O25</x:f>
        <x:v>6221.03424</x:v>
      </x:c>
      <x:c r="Y25" s="38" t="n">
        <x:f>I25*P25</x:f>
        <x:v>1222.8</x:v>
      </x:c>
      <x:c r="Z25" s="38" t="n">
        <x:f>J25*Q25+K25*P25</x:f>
        <x:v>287.07552</x:v>
      </x:c>
      <x:c r="AA25" s="38" t="n">
        <x:f>M25*R25</x:f>
        <x:v>3709.1755350000003</x:v>
      </x:c>
      <x:c r="AB25" s="38" t="n">
        <x:f>SUM(W25:AA25)</x:f>
        <x:v>38123.322015000005</x:v>
      </x:c>
      <x:c r="AC25" s="38" t="n">
        <x:v>3.95</x:v>
      </x:c>
      <x:c r="AD25" s="38" t="n">
        <x:v>174.33</x:v>
      </x:c>
      <x:c r="AE25" s="38" t="n">
        <x:v>26.61</x:v>
      </x:c>
      <x:c r="AF25" s="38" t="n">
        <x:v>4.8148</x:v>
      </x:c>
      <x:c r="AG25" s="38" t="n">
        <x:v>5.78</x:v>
      </x:c>
      <x:c r="AH25" s="38" t="n">
        <x:f>IF(E25="Fason",L25*S25,0)</x:f>
        <x:v>5729.3736</x:v>
      </x:c>
      <x:c r="AI25" s="38" t="n">
        <x:f>IF(E25="Kurum içi",AC25*AD25+AE25*AF25+AB25*12%,0)</x:f>
        <x:v>0</x:v>
      </x:c>
      <x:c r="AJ25" s="38" t="n">
        <x:f>V25*AG25</x:f>
        <x:v>271.81164075071996</x:v>
      </x:c>
      <x:c r="AK25" s="38" t="n">
        <x:f>AB25*2%</x:f>
        <x:v>762.4664403000002</x:v>
      </x:c>
      <x:c r="AL25" s="38" t="n">
        <x:f>AB25+AH25+AI25+AJ25+AK25</x:f>
        <x:v>44886.97369605072</x:v>
      </x:c>
      <x:c r="AM25" s="38" t="n">
        <x:f>AL25/V25</x:f>
        <x:v>954.50918601795</x:v>
      </x:c>
      <x:c r="AN25" s="40" t="n">
        <x:f>(W25+X25)/AL25*100</x:f>
        <x:v>73.30472128241297</x:v>
      </x:c>
      <x:c r="AO25" s="28" t="str">
        <x:v>R01-R20; ilgili satırdaki bölgesel fiyat ve maliyet varsayımları</x:v>
      </x:c>
      <x:c r="AP25" s="28" t="str">
        <x:v>Girdi miktarları, alım fiyatı değişimi, fason bedeli ve parti sonucu simüle edilmiştir; işletme kaydı değildir.</x:v>
      </x:c>
    </x:row>
    <x:row r="26" ht="22" customHeight="1">
      <x:c r="A26" t="str">
        <x:v>SUC-0025</x:v>
      </x:c>
      <x:c r="B26" s="36" t="n">
        <x:v>46312</x:v>
      </x:c>
      <x:c r="C26" t="str">
        <x:v>Akdeniz</x:v>
      </x:c>
      <x:c r="D26" t="str">
        <x:v>MEB_STANDART</x:v>
      </x:c>
      <x:c r="E26" t="str">
        <x:v>Kurum içi</x:v>
      </x:c>
      <x:c r="F26" s="42" t="str">
        <x:v>SENTETİK/SİMÜLE — gerçek parti kaydı değildir</x:v>
      </x:c>
      <x:c r="G26" s="38" t="n">
        <x:v>154.786</x:v>
      </x:c>
      <x:c r="H26" s="38" t="n">
        <x:v>47.937</x:v>
      </x:c>
      <x:c r="I26" s="38" t="n">
        <x:v>10.22</x:v>
      </x:c>
      <x:c r="J26" s="38" t="n">
        <x:v>5.41</x:v>
      </x:c>
      <x:c r="K26" s="38" t="n">
        <x:v>2.178</x:v>
      </x:c>
      <x:c r="L26" s="38" t="n">
        <x:f>SUM(G26:K26)</x:f>
        <x:v>220.531</x:v>
      </x:c>
      <x:c r="M26" s="38" t="n">
        <x:v>295.107</x:v>
      </x:c>
      <x:c r="N26" s="38" t="n">
        <x:v>572.75</x:v>
      </x:c>
      <x:c r="O26" s="38" t="n">
        <x:v>475.74</x:v>
      </x:c>
      <x:c r="P26" s="38" t="n">
        <x:v>400</x:v>
      </x:c>
      <x:c r="Q26" s="38" t="n">
        <x:v>19.88</x:v>
      </x:c>
      <x:c r="R26" s="38" t="n">
        <x:v>43.7475</x:v>
      </x:c>
      <x:c r="S26" s="38" t="n">
        <x:v>81.05</x:v>
      </x:c>
      <x:c r="T26" s="40" t="n">
        <x:v>21.92</x:v>
      </x:c>
      <x:c r="U26" s="40" t="n">
        <x:v>1.79</x:v>
      </x:c>
      <x:c r="V26" s="38" t="n">
        <x:f>L26*(1-T26/100)*(1-U26/100)</x:f>
        <x:v>169.10839297407998</x:v>
      </x:c>
      <x:c r="W26" s="38" t="n">
        <x:f>G26*N26</x:f>
        <x:v>88653.6815</x:v>
      </x:c>
      <x:c r="X26" s="38" t="n">
        <x:f>H26*O26</x:f>
        <x:v>22805.54838</x:v>
      </x:c>
      <x:c r="Y26" s="38" t="n">
        <x:f>I26*P26</x:f>
        <x:v>4088.0000000000005</x:v>
      </x:c>
      <x:c r="Z26" s="38" t="n">
        <x:f>J26*Q26+K26*P26</x:f>
        <x:v>978.7507999999999</x:v>
      </x:c>
      <x:c r="AA26" s="38" t="n">
        <x:f>M26*R26</x:f>
        <x:v>12910.193482500003</x:v>
      </x:c>
      <x:c r="AB26" s="38" t="n">
        <x:f>SUM(W26:AA26)</x:f>
        <x:v>129436.1741625</x:v>
      </x:c>
      <x:c r="AC26" s="38" t="n">
        <x:v>8.33</x:v>
      </x:c>
      <x:c r="AD26" s="38" t="n">
        <x:v>174.33</x:v>
      </x:c>
      <x:c r="AE26" s="38" t="n">
        <x:v>61.49</x:v>
      </x:c>
      <x:c r="AF26" s="38" t="n">
        <x:v>4.8148</x:v>
      </x:c>
      <x:c r="AG26" s="38" t="n">
        <x:v>5.73</x:v>
      </x:c>
      <x:c r="AH26" s="38" t="n">
        <x:f>IF(E26="Fason",L26*S26,0)</x:f>
        <x:v>0</x:v>
      </x:c>
      <x:c r="AI26" s="38" t="n">
        <x:f>IF(E26="Kurum içi",AC26*AD26+AE26*AF26+AB26*12%,0)</x:f>
        <x:v>17280.5718515</x:v>
      </x:c>
      <x:c r="AJ26" s="38" t="n">
        <x:f>V26*AG26</x:f>
        <x:v>968.9910917414784</x:v>
      </x:c>
      <x:c r="AK26" s="38" t="n">
        <x:f>AB26*2%</x:f>
        <x:v>2588.72348325</x:v>
      </x:c>
      <x:c r="AL26" s="38" t="n">
        <x:f>AB26+AH26+AI26+AJ26+AK26</x:f>
        <x:v>150274.4605889915</x:v>
      </x:c>
      <x:c r="AM26" s="38" t="n">
        <x:f>AL26/V26</x:f>
        <x:v>888.6280446886202</x:v>
      </x:c>
      <x:c r="AN26" s="40" t="n">
        <x:f>(W26+X26)/AL26*100</x:f>
        <x:v>74.17044083415266</x:v>
      </x:c>
      <x:c r="AO26" s="28" t="str">
        <x:v>R01-R20; ilgili satırdaki bölgesel fiyat ve maliyet varsayımları</x:v>
      </x:c>
      <x:c r="AP26" s="28" t="str">
        <x:v>Girdi miktarları, alım fiyatı değişimi, fason bedeli ve parti sonucu simüle edilmiştir; işletme kaydı değildir.</x:v>
      </x:c>
    </x:row>
    <x:row r="27" ht="22" customHeight="1">
      <x:c r="A27" t="str">
        <x:v>SUC-0026</x:v>
      </x:c>
      <x:c r="B27" s="36" t="n">
        <x:v>46308</x:v>
      </x:c>
      <x:c r="C27" t="str">
        <x:v>Güneydoğu Anadolu</x:v>
      </x:c>
      <x:c r="D27" t="str">
        <x:v>ERZURUM_CI</x:v>
      </x:c>
      <x:c r="E27" t="str">
        <x:v>Kurum içi</x:v>
      </x:c>
      <x:c r="F27" s="42" t="str">
        <x:v>SENTETİK/SİMÜLE — gerçek parti kaydı değildir</x:v>
      </x:c>
      <x:c r="G27" s="38" t="n">
        <x:v>196.549</x:v>
      </x:c>
      <x:c r="H27" s="38" t="n">
        <x:v>33.879</x:v>
      </x:c>
      <x:c r="I27" s="38" t="n">
        <x:v>12.051</x:v>
      </x:c>
      <x:c r="J27" s="38" t="n">
        <x:v>3.924</x:v>
      </x:c>
      <x:c r="K27" s="38" t="n">
        <x:v>0.097</x:v>
      </x:c>
      <x:c r="L27" s="38" t="n">
        <x:f>SUM(G27:K27)</x:f>
        <x:v>246.5</x:v>
      </x:c>
      <x:c r="M27" s="38" t="n">
        <x:v>308.884</x:v>
      </x:c>
      <x:c r="N27" s="38" t="n">
        <x:v>570.49</x:v>
      </x:c>
      <x:c r="O27" s="38" t="n">
        <x:v>481.52</x:v>
      </x:c>
      <x:c r="P27" s="38" t="n">
        <x:v>400</x:v>
      </x:c>
      <x:c r="Q27" s="38" t="n">
        <x:v>19.88</x:v>
      </x:c>
      <x:c r="R27" s="38" t="n">
        <x:v>43.7475</x:v>
      </x:c>
      <x:c r="S27" s="38" t="n">
        <x:v>98.06</x:v>
      </x:c>
      <x:c r="T27" s="40" t="n">
        <x:v>20.86</x:v>
      </x:c>
      <x:c r="U27" s="40" t="n">
        <x:v>1.72</x:v>
      </x:c>
      <x:c r="V27" s="38" t="n">
        <x:f>L27*(1-T27/100)*(1-U27/100)</x:f>
        <x:v>191.72472227999998</x:v>
      </x:c>
      <x:c r="W27" s="38" t="n">
        <x:f>G27*N27</x:f>
        <x:v>112129.23901</x:v>
      </x:c>
      <x:c r="X27" s="38" t="n">
        <x:f>H27*O27</x:f>
        <x:v>16313.416079999999</x:v>
      </x:c>
      <x:c r="Y27" s="38" t="n">
        <x:f>I27*P27</x:f>
        <x:v>4820.4</x:v>
      </x:c>
      <x:c r="Z27" s="38" t="n">
        <x:f>J27*Q27+K27*P27</x:f>
        <x:v>116.80912000000001</x:v>
      </x:c>
      <x:c r="AA27" s="38" t="n">
        <x:f>M27*R27</x:f>
        <x:v>13512.902790000002</x:v>
      </x:c>
      <x:c r="AB27" s="38" t="n">
        <x:f>SUM(W27:AA27)</x:f>
        <x:v>146892.767</x:v>
      </x:c>
      <x:c r="AC27" s="38" t="n">
        <x:v>11.66</x:v>
      </x:c>
      <x:c r="AD27" s="38" t="n">
        <x:v>174.33</x:v>
      </x:c>
      <x:c r="AE27" s="38" t="n">
        <x:v>79.64</x:v>
      </x:c>
      <x:c r="AF27" s="38" t="n">
        <x:v>4.8148</x:v>
      </x:c>
      <x:c r="AG27" s="38" t="n">
        <x:v>5.11</x:v>
      </x:c>
      <x:c r="AH27" s="38" t="n">
        <x:f>IF(E27="Fason",L27*S27,0)</x:f>
        <x:v>0</x:v>
      </x:c>
      <x:c r="AI27" s="38" t="n">
        <x:f>IF(E27="Kurum içi",AC27*AD27+AE27*AF27+AB27*12%,0)</x:f>
        <x:v>20043.270511999996</x:v>
      </x:c>
      <x:c r="AJ27" s="38" t="n">
        <x:f>V27*AG27</x:f>
        <x:v>979.7133308507999</x:v>
      </x:c>
      <x:c r="AK27" s="38" t="n">
        <x:f>AB27*2%</x:f>
        <x:v>2937.85534</x:v>
      </x:c>
      <x:c r="AL27" s="38" t="n">
        <x:f>AB27+AH27+AI27+AJ27+AK27</x:f>
        <x:v>170853.60618285078</x:v>
      </x:c>
      <x:c r="AM27" s="38" t="n">
        <x:f>AL27/V27</x:f>
        <x:v>891.1401938730236</x:v>
      </x:c>
      <x:c r="AN27" s="40" t="n">
        <x:f>(W27+X27)/AL27*100</x:f>
        <x:v>75.17702316013056</x:v>
      </x:c>
      <x:c r="AO27" s="28" t="str">
        <x:v>R01-R20; ilgili satırdaki bölgesel fiyat ve maliyet varsayımları</x:v>
      </x:c>
      <x:c r="AP27" s="28" t="str">
        <x:v>Girdi miktarları, alım fiyatı değişimi, fason bedeli ve parti sonucu simüle edilmiştir; işletme kaydı değildir.</x:v>
      </x:c>
    </x:row>
    <x:row r="28" ht="22" customHeight="1">
      <x:c r="A28" t="str">
        <x:v>SUC-0027</x:v>
      </x:c>
      <x:c r="B28" s="36" t="n">
        <x:v>46309</x:v>
      </x:c>
      <x:c r="C28" t="str">
        <x:v>Ege</x:v>
      </x:c>
      <x:c r="D28" t="str">
        <x:v>ERZURUM_CI</x:v>
      </x:c>
      <x:c r="E28" t="str">
        <x:v>Kurum içi</x:v>
      </x:c>
      <x:c r="F28" s="42" t="str">
        <x:v>SENTETİK/SİMÜLE — gerçek parti kaydı değildir</x:v>
      </x:c>
      <x:c r="G28" s="38" t="n">
        <x:v>127.511</x:v>
      </x:c>
      <x:c r="H28" s="38" t="n">
        <x:v>22.447</x:v>
      </x:c>
      <x:c r="I28" s="38" t="n">
        <x:v>7.197</x:v>
      </x:c>
      <x:c r="J28" s="38" t="n">
        <x:v>2.534</x:v>
      </x:c>
      <x:c r="K28" s="38" t="n">
        <x:v>0.287</x:v>
      </x:c>
      <x:c r="L28" s="38" t="n">
        <x:f>SUM(G28:K28)</x:f>
        <x:v>159.976</x:v>
      </x:c>
      <x:c r="M28" s="38" t="n">
        <x:v>186.817</x:v>
      </x:c>
      <x:c r="N28" s="38" t="n">
        <x:v>605.26</x:v>
      </x:c>
      <x:c r="O28" s="38" t="n">
        <x:v>468.08</x:v>
      </x:c>
      <x:c r="P28" s="38" t="n">
        <x:v>550</x:v>
      </x:c>
      <x:c r="Q28" s="38" t="n">
        <x:v>19.88</x:v>
      </x:c>
      <x:c r="R28" s="38" t="n">
        <x:v>43.7475</x:v>
      </x:c>
      <x:c r="S28" s="38" t="n">
        <x:v>98.18</x:v>
      </x:c>
      <x:c r="T28" s="40" t="n">
        <x:v>31.09</x:v>
      </x:c>
      <x:c r="U28" s="40" t="n">
        <x:v>1.07</x:v>
      </x:c>
      <x:c r="V28" s="38" t="n">
        <x:f>L28*(1-T28/100)*(1-U28/100)</x:f>
        <x:v>109.05989936088001</x:v>
      </x:c>
      <x:c r="W28" s="38" t="n">
        <x:f>G28*N28</x:f>
        <x:v>77177.30786</x:v>
      </x:c>
      <x:c r="X28" s="38" t="n">
        <x:f>H28*O28</x:f>
        <x:v>10506.991759999999</x:v>
      </x:c>
      <x:c r="Y28" s="38" t="n">
        <x:f>I28*P28</x:f>
        <x:v>3958.35</x:v>
      </x:c>
      <x:c r="Z28" s="38" t="n">
        <x:f>J28*Q28+K28*P28</x:f>
        <x:v>208.22591999999997</x:v>
      </x:c>
      <x:c r="AA28" s="38" t="n">
        <x:f>M28*R28</x:f>
        <x:v>8172.776707500001</x:v>
      </x:c>
      <x:c r="AB28" s="38" t="n">
        <x:f>SUM(W28:AA28)</x:f>
        <x:v>100023.65224750001</x:v>
      </x:c>
      <x:c r="AC28" s="38" t="n">
        <x:v>5.74</x:v>
      </x:c>
      <x:c r="AD28" s="38" t="n">
        <x:v>174.33</x:v>
      </x:c>
      <x:c r="AE28" s="38" t="n">
        <x:v>57.54</x:v>
      </x:c>
      <x:c r="AF28" s="38" t="n">
        <x:v>4.8148</x:v>
      </x:c>
      <x:c r="AG28" s="38" t="n">
        <x:v>5.1</x:v>
      </x:c>
      <x:c r="AH28" s="38" t="n">
        <x:f>IF(E28="Fason",L28*S28,0)</x:f>
        <x:v>0</x:v>
      </x:c>
      <x:c r="AI28" s="38" t="n">
        <x:f>IF(E28="Kurum içi",AC28*AD28+AE28*AF28+AB28*12%,0)</x:f>
        <x:v>13280.5360617</x:v>
      </x:c>
      <x:c r="AJ28" s="38" t="n">
        <x:f>V28*AG28</x:f>
        <x:v>556.205486740488</x:v>
      </x:c>
      <x:c r="AK28" s="38" t="n">
        <x:f>AB28*2%</x:f>
        <x:v>2000.4730449500003</x:v>
      </x:c>
      <x:c r="AL28" s="38" t="n">
        <x:f>AB28+AH28+AI28+AJ28+AK28</x:f>
        <x:v>115860.8668408905</x:v>
      </x:c>
      <x:c r="AM28" s="38" t="n">
        <x:f>AL28/V28</x:f>
        <x:v>1062.3599280749934</x:v>
      </x:c>
      <x:c r="AN28" s="40" t="n">
        <x:f>(W28+X28)/AL28*100</x:f>
        <x:v>75.68068668122012</x:v>
      </x:c>
      <x:c r="AO28" s="28" t="str">
        <x:v>R01-R20; ilgili satırdaki bölgesel fiyat ve maliyet varsayımları</x:v>
      </x:c>
      <x:c r="AP28" s="28" t="str">
        <x:v>Girdi miktarları, alım fiyatı değişimi, fason bedeli ve parti sonucu simüle edilmiştir; işletme kaydı değildir.</x:v>
      </x:c>
    </x:row>
    <x:row r="29" ht="22" customHeight="1">
      <x:c r="A29" t="str">
        <x:v>SUC-0028</x:v>
      </x:c>
      <x:c r="B29" s="36" t="n">
        <x:v>46282</x:v>
      </x:c>
      <x:c r="C29" t="str">
        <x:v>Güneydoğu Anadolu</x:v>
      </x:c>
      <x:c r="D29" t="str">
        <x:v>MEB_STANDART</x:v>
      </x:c>
      <x:c r="E29" t="str">
        <x:v>Fason</x:v>
      </x:c>
      <x:c r="F29" s="42" t="str">
        <x:v>SENTETİK/SİMÜLE — gerçek parti kaydı değildir</x:v>
      </x:c>
      <x:c r="G29" s="38" t="n">
        <x:v>133.842</x:v>
      </x:c>
      <x:c r="H29" s="38" t="n">
        <x:v>41.405</x:v>
      </x:c>
      <x:c r="I29" s="38" t="n">
        <x:v>8.623</x:v>
      </x:c>
      <x:c r="J29" s="38" t="n">
        <x:v>5.141</x:v>
      </x:c>
      <x:c r="K29" s="38" t="n">
        <x:v>2.181</x:v>
      </x:c>
      <x:c r="L29" s="38" t="n">
        <x:f>SUM(G29:K29)</x:f>
        <x:v>191.192</x:v>
      </x:c>
      <x:c r="M29" s="38" t="n">
        <x:v>231.941</x:v>
      </x:c>
      <x:c r="N29" s="38" t="n">
        <x:v>578.74</x:v>
      </x:c>
      <x:c r="O29" s="38" t="n">
        <x:v>477.98</x:v>
      </x:c>
      <x:c r="P29" s="38" t="n">
        <x:v>400</x:v>
      </x:c>
      <x:c r="Q29" s="38" t="n">
        <x:v>19.88</x:v>
      </x:c>
      <x:c r="R29" s="38" t="n">
        <x:v>43.7475</x:v>
      </x:c>
      <x:c r="S29" s="38" t="n">
        <x:v>102.46</x:v>
      </x:c>
      <x:c r="T29" s="40" t="n">
        <x:v>18.35</x:v>
      </x:c>
      <x:c r="U29" s="40" t="n">
        <x:v>1.59</x:v>
      </x:c>
      <x:c r="V29" s="38" t="n">
        <x:f>L29*(1-T29/100)*(1-U29/100)</x:f>
        <x:v>153.62614653880001</x:v>
      </x:c>
      <x:c r="W29" s="38" t="n">
        <x:f>G29*N29</x:f>
        <x:v>77459.71908000001</x:v>
      </x:c>
      <x:c r="X29" s="38" t="n">
        <x:f>H29*O29</x:f>
        <x:v>19790.7619</x:v>
      </x:c>
      <x:c r="Y29" s="38" t="n">
        <x:f>I29*P29</x:f>
        <x:v>3449.2</x:v>
      </x:c>
      <x:c r="Z29" s="38" t="n">
        <x:f>J29*Q29+K29*P29</x:f>
        <x:v>974.60308</x:v>
      </x:c>
      <x:c r="AA29" s="38" t="n">
        <x:f>M29*R29</x:f>
        <x:v>10146.8388975</x:v>
      </x:c>
      <x:c r="AB29" s="38" t="n">
        <x:f>SUM(W29:AA29)</x:f>
        <x:v>111821.1229575</x:v>
      </x:c>
      <x:c r="AC29" s="38" t="n">
        <x:v>7.94</x:v>
      </x:c>
      <x:c r="AD29" s="38" t="n">
        <x:v>174.33</x:v>
      </x:c>
      <x:c r="AE29" s="38" t="n">
        <x:v>64.83</x:v>
      </x:c>
      <x:c r="AF29" s="38" t="n">
        <x:v>4.8148</x:v>
      </x:c>
      <x:c r="AG29" s="38" t="n">
        <x:v>5.54</x:v>
      </x:c>
      <x:c r="AH29" s="38" t="n">
        <x:f>IF(E29="Fason",L29*S29,0)</x:f>
        <x:v>19589.53232</x:v>
      </x:c>
      <x:c r="AI29" s="38" t="n">
        <x:f>IF(E29="Kurum içi",AC29*AD29+AE29*AF29+AB29*12%,0)</x:f>
        <x:v>0</x:v>
      </x:c>
      <x:c r="AJ29" s="38" t="n">
        <x:f>V29*AG29</x:f>
        <x:v>851.088851824952</x:v>
      </x:c>
      <x:c r="AK29" s="38" t="n">
        <x:f>AB29*2%</x:f>
        <x:v>2236.42245915</x:v>
      </x:c>
      <x:c r="AL29" s="38" t="n">
        <x:f>AB29+AH29+AI29+AJ29+AK29</x:f>
        <x:v>134498.16658847494</x:v>
      </x:c>
      <x:c r="AM29" s="38" t="n">
        <x:f>AL29/V29</x:f>
        <x:v>875.4900752164991</x:v>
      </x:c>
      <x:c r="AN29" s="40" t="n">
        <x:f>(W29+X29)/AL29*100</x:f>
        <x:v>72.30617594777931</x:v>
      </x:c>
      <x:c r="AO29" s="28" t="str">
        <x:v>R01-R20; ilgili satırdaki bölgesel fiyat ve maliyet varsayımları</x:v>
      </x:c>
      <x:c r="AP29" s="28" t="str">
        <x:v>Girdi miktarları, alım fiyatı değişimi, fason bedeli ve parti sonucu simüle edilmiştir; işletme kaydı değildir.</x:v>
      </x:c>
    </x:row>
    <x:row r="30" ht="22" customHeight="1">
      <x:c r="A30" t="str">
        <x:v>SUC-0029</x:v>
      </x:c>
      <x:c r="B30" s="36" t="n">
        <x:v>46270</x:v>
      </x:c>
      <x:c r="C30" t="str">
        <x:v>Karadeniz</x:v>
      </x:c>
      <x:c r="D30" t="str">
        <x:v>ERZURUM_CI</x:v>
      </x:c>
      <x:c r="E30" t="str">
        <x:v>Kurum içi</x:v>
      </x:c>
      <x:c r="F30" s="42" t="str">
        <x:v>SENTETİK/SİMÜLE — gerçek parti kaydı değildir</x:v>
      </x:c>
      <x:c r="G30" s="38" t="n">
        <x:v>303.615</x:v>
      </x:c>
      <x:c r="H30" s="38" t="n">
        <x:v>57.471</x:v>
      </x:c>
      <x:c r="I30" s="38" t="n">
        <x:v>17.089</x:v>
      </x:c>
      <x:c r="J30" s="38" t="n">
        <x:v>5.446</x:v>
      </x:c>
      <x:c r="K30" s="38" t="n">
        <x:v>0.038</x:v>
      </x:c>
      <x:c r="L30" s="38" t="n">
        <x:f>SUM(G30:K30)</x:f>
        <x:v>383.65900000000005</x:v>
      </x:c>
      <x:c r="M30" s="38" t="n">
        <x:v>472.547</x:v>
      </x:c>
      <x:c r="N30" s="38" t="n">
        <x:v>603.48</x:v>
      </x:c>
      <x:c r="O30" s="38" t="n">
        <x:v>435.27</x:v>
      </x:c>
      <x:c r="P30" s="38" t="n">
        <x:v>550</x:v>
      </x:c>
      <x:c r="Q30" s="38" t="n">
        <x:v>19.88</x:v>
      </x:c>
      <x:c r="R30" s="38" t="n">
        <x:v>43.7475</x:v>
      </x:c>
      <x:c r="S30" s="38" t="n">
        <x:v>92.33</x:v>
      </x:c>
      <x:c r="T30" s="40" t="n">
        <x:v>28.28</x:v>
      </x:c>
      <x:c r="U30" s="40" t="n">
        <x:v>1.48</x:v>
      </x:c>
      <x:c r="V30" s="38" t="n">
        <x:f>L30*(1-T30/100)*(1-U30/100)</x:f>
        <x:v>271.08786332496004</x:v>
      </x:c>
      <x:c r="W30" s="38" t="n">
        <x:f>G30*N30</x:f>
        <x:v>183225.5802</x:v>
      </x:c>
      <x:c r="X30" s="38" t="n">
        <x:f>H30*O30</x:f>
        <x:v>25015.402169999998</x:v>
      </x:c>
      <x:c r="Y30" s="38" t="n">
        <x:f>I30*P30</x:f>
        <x:v>9398.949999999999</x:v>
      </x:c>
      <x:c r="Z30" s="38" t="n">
        <x:f>J30*Q30+K30*P30</x:f>
        <x:v>129.16647999999998</x:v>
      </x:c>
      <x:c r="AA30" s="38" t="n">
        <x:f>M30*R30</x:f>
        <x:v>20672.749882500004</x:v>
      </x:c>
      <x:c r="AB30" s="38" t="n">
        <x:f>SUM(W30:AA30)</x:f>
        <x:v>238441.84873250002</x:v>
      </x:c>
      <x:c r="AC30" s="38" t="n">
        <x:v>21.55</x:v>
      </x:c>
      <x:c r="AD30" s="38" t="n">
        <x:v>174.33</x:v>
      </x:c>
      <x:c r="AE30" s="38" t="n">
        <x:v>92.01</x:v>
      </x:c>
      <x:c r="AF30" s="38" t="n">
        <x:v>4.8148</x:v>
      </x:c>
      <x:c r="AG30" s="38" t="n">
        <x:v>5.27</x:v>
      </x:c>
      <x:c r="AH30" s="38" t="n">
        <x:f>IF(E30="Fason",L30*S30,0)</x:f>
        <x:v>0</x:v>
      </x:c>
      <x:c r="AI30" s="38" t="n">
        <x:f>IF(E30="Kurum içi",AC30*AD30+AE30*AF30+AB30*12%,0)</x:f>
        <x:v>32812.843095899996</x:v>
      </x:c>
      <x:c r="AJ30" s="38" t="n">
        <x:f>V30*AG30</x:f>
        <x:v>1428.6330397225393</x:v>
      </x:c>
      <x:c r="AK30" s="38" t="n">
        <x:f>AB30*2%</x:f>
        <x:v>4768.83697465</x:v>
      </x:c>
      <x:c r="AL30" s="38" t="n">
        <x:f>AB30+AH30+AI30+AJ30+AK30</x:f>
        <x:v>277452.16184277256</x:v>
      </x:c>
      <x:c r="AM30" s="38" t="n">
        <x:f>AL30/V30</x:f>
        <x:v>1023.4768847256856</x:v>
      </x:c>
      <x:c r="AN30" s="40" t="n">
        <x:f>(W30+X30)/AL30*100</x:f>
        <x:v>75.0547341159326</x:v>
      </x:c>
      <x:c r="AO30" s="28" t="str">
        <x:v>R01-R20; ilgili satırdaki bölgesel fiyat ve maliyet varsayımları</x:v>
      </x:c>
      <x:c r="AP30" s="28" t="str">
        <x:v>Girdi miktarları, alım fiyatı değişimi, fason bedeli ve parti sonucu simüle edilmiştir; işletme kaydı değildir.</x:v>
      </x:c>
    </x:row>
    <x:row r="31" ht="22" customHeight="1">
      <x:c r="A31" t="str">
        <x:v>SUC-0030</x:v>
      </x:c>
      <x:c r="B31" s="36" t="n">
        <x:v>46311</x:v>
      </x:c>
      <x:c r="C31" t="str">
        <x:v>Güneydoğu Anadolu</x:v>
      </x:c>
      <x:c r="D31" t="str">
        <x:v>MEB_STANDART</x:v>
      </x:c>
      <x:c r="E31" t="str">
        <x:v>Kurum içi</x:v>
      </x:c>
      <x:c r="F31" s="42" t="str">
        <x:v>SENTETİK/SİMÜLE — gerçek parti kaydı değildir</x:v>
      </x:c>
      <x:c r="G31" s="38" t="n">
        <x:v>282.638</x:v>
      </x:c>
      <x:c r="H31" s="38" t="n">
        <x:v>91.197</x:v>
      </x:c>
      <x:c r="I31" s="38" t="n">
        <x:v>18.739</x:v>
      </x:c>
      <x:c r="J31" s="38" t="n">
        <x:v>10.998</x:v>
      </x:c>
      <x:c r="K31" s="38" t="n">
        <x:v>4.512</x:v>
      </x:c>
      <x:c r="L31" s="38" t="n">
        <x:f>SUM(G31:K31)</x:f>
        <x:v>408.08399999999995</x:v>
      </x:c>
      <x:c r="M31" s="38" t="n">
        <x:v>548.083</x:v>
      </x:c>
      <x:c r="N31" s="38" t="n">
        <x:v>587.98</x:v>
      </x:c>
      <x:c r="O31" s="38" t="n">
        <x:v>468.03</x:v>
      </x:c>
      <x:c r="P31" s="38" t="n">
        <x:v>669.9</x:v>
      </x:c>
      <x:c r="Q31" s="38" t="n">
        <x:v>19.88</x:v>
      </x:c>
      <x:c r="R31" s="38" t="n">
        <x:v>43.7475</x:v>
      </x:c>
      <x:c r="S31" s="38" t="n">
        <x:v>90.93</x:v>
      </x:c>
      <x:c r="T31" s="40" t="n">
        <x:v>25</x:v>
      </x:c>
      <x:c r="U31" s="40" t="n">
        <x:v>1.05</x:v>
      </x:c>
      <x:c r="V31" s="38" t="n">
        <x:f>L31*(1-T31/100)*(1-U31/100)</x:f>
        <x:v>302.8493385</x:v>
      </x:c>
      <x:c r="W31" s="38" t="n">
        <x:f>G31*N31</x:f>
        <x:v>166185.49124</x:v>
      </x:c>
      <x:c r="X31" s="38" t="n">
        <x:f>H31*O31</x:f>
        <x:v>42682.93191</x:v>
      </x:c>
      <x:c r="Y31" s="38" t="n">
        <x:f>I31*P31</x:f>
        <x:v>12553.2561</x:v>
      </x:c>
      <x:c r="Z31" s="38" t="n">
        <x:f>J31*Q31+K31*P31</x:f>
        <x:v>3241.2290399999997</x:v>
      </x:c>
      <x:c r="AA31" s="38" t="n">
        <x:f>M31*R31</x:f>
        <x:v>23977.2610425</x:v>
      </x:c>
      <x:c r="AB31" s="38" t="n">
        <x:f>SUM(W31:AA31)</x:f>
        <x:v>248640.1693325</x:v>
      </x:c>
      <x:c r="AC31" s="38" t="n">
        <x:v>14.79</x:v>
      </x:c>
      <x:c r="AD31" s="38" t="n">
        <x:v>174.33</x:v>
      </x:c>
      <x:c r="AE31" s="38" t="n">
        <x:v>137.22</x:v>
      </x:c>
      <x:c r="AF31" s="38" t="n">
        <x:v>4.8148</x:v>
      </x:c>
      <x:c r="AG31" s="38" t="n">
        <x:v>5.54</x:v>
      </x:c>
      <x:c r="AH31" s="38" t="n">
        <x:f>IF(E31="Fason",L31*S31,0)</x:f>
        <x:v>0</x:v>
      </x:c>
      <x:c r="AI31" s="38" t="n">
        <x:f>IF(E31="Kurum içi",AC31*AD31+AE31*AF31+AB31*12%,0)</x:f>
        <x:v>33075.8478759</x:v>
      </x:c>
      <x:c r="AJ31" s="38" t="n">
        <x:f>V31*AG31</x:f>
        <x:v>1677.78533529</x:v>
      </x:c>
      <x:c r="AK31" s="38" t="n">
        <x:f>AB31*2%</x:f>
        <x:v>4972.80338665</x:v>
      </x:c>
      <x:c r="AL31" s="38" t="n">
        <x:f>AB31+AH31+AI31+AJ31+AK31</x:f>
        <x:v>288366.60593034</x:v>
      </x:c>
      <x:c r="AM31" s="38" t="n">
        <x:f>AL31/V31</x:f>
        <x:v>952.1784242904662</x:v>
      </x:c>
      <x:c r="AN31" s="40" t="n">
        <x:f>(W31+X31)/AL31*100</x:f>
        <x:v>72.43155721035735</x:v>
      </x:c>
      <x:c r="AO31" s="28" t="str">
        <x:v>R01-R20; ilgili satırdaki bölgesel fiyat ve maliyet varsayımları</x:v>
      </x:c>
      <x:c r="AP31" s="28" t="str">
        <x:v>Girdi miktarları, alım fiyatı değişimi, fason bedeli ve parti sonucu simüle edilmiştir; işletme kaydı değildir.</x:v>
      </x:c>
    </x:row>
    <x:row r="32" ht="22" customHeight="1">
      <x:c r="A32" t="str">
        <x:v>SUC-0031</x:v>
      </x:c>
      <x:c r="B32" s="36" t="n">
        <x:v>46288</x:v>
      </x:c>
      <x:c r="C32" t="str">
        <x:v>Doğu Anadolu</x:v>
      </x:c>
      <x:c r="D32" t="str">
        <x:v>MEB_STANDART</x:v>
      </x:c>
      <x:c r="E32" t="str">
        <x:v>Kurum içi</x:v>
      </x:c>
      <x:c r="F32" s="42" t="str">
        <x:v>SENTETİK/SİMÜLE — gerçek parti kaydı değildir</x:v>
      </x:c>
      <x:c r="G32" s="38" t="n">
        <x:v>118.769</x:v>
      </x:c>
      <x:c r="H32" s="38" t="n">
        <x:v>37.973</x:v>
      </x:c>
      <x:c r="I32" s="38" t="n">
        <x:v>7.909</x:v>
      </x:c>
      <x:c r="J32" s="38" t="n">
        <x:v>3.925</x:v>
      </x:c>
      <x:c r="K32" s="38" t="n">
        <x:v>1.783</x:v>
      </x:c>
      <x:c r="L32" s="38" t="n">
        <x:f>SUM(G32:K32)</x:f>
        <x:v>170.359</x:v>
      </x:c>
      <x:c r="M32" s="38" t="n">
        <x:v>204.369</x:v>
      </x:c>
      <x:c r="N32" s="38" t="n">
        <x:v>593.59</x:v>
      </x:c>
      <x:c r="O32" s="38" t="n">
        <x:v>447.37</x:v>
      </x:c>
      <x:c r="P32" s="38" t="n">
        <x:v>669.9</x:v>
      </x:c>
      <x:c r="Q32" s="38" t="n">
        <x:v>19.88</x:v>
      </x:c>
      <x:c r="R32" s="38" t="n">
        <x:v>43.7475</x:v>
      </x:c>
      <x:c r="S32" s="38" t="n">
        <x:v>109.04</x:v>
      </x:c>
      <x:c r="T32" s="40" t="n">
        <x:v>22.57</x:v>
      </x:c>
      <x:c r="U32" s="40" t="n">
        <x:v>1.39</x:v>
      </x:c>
      <x:c r="V32" s="38" t="n">
        <x:f>L32*(1-T32/100)*(1-U32/100)</x:f>
        <x:v>130.07543896557002</x:v>
      </x:c>
      <x:c r="W32" s="38" t="n">
        <x:f>G32*N32</x:f>
        <x:v>70500.09071</x:v>
      </x:c>
      <x:c r="X32" s="38" t="n">
        <x:f>H32*O32</x:f>
        <x:v>16987.98101</x:v>
      </x:c>
      <x:c r="Y32" s="38" t="n">
        <x:f>I32*P32</x:f>
        <x:v>5298.2391</x:v>
      </x:c>
      <x:c r="Z32" s="38" t="n">
        <x:f>J32*Q32+K32*P32</x:f>
        <x:v>1272.4606999999999</x:v>
      </x:c>
      <x:c r="AA32" s="38" t="n">
        <x:f>M32*R32</x:f>
        <x:v>8940.6328275</x:v>
      </x:c>
      <x:c r="AB32" s="38" t="n">
        <x:f>SUM(W32:AA32)</x:f>
        <x:v>102999.4043475</x:v>
      </x:c>
      <x:c r="AC32" s="38" t="n">
        <x:v>8.69</x:v>
      </x:c>
      <x:c r="AD32" s="38" t="n">
        <x:v>174.33</x:v>
      </x:c>
      <x:c r="AE32" s="38" t="n">
        <x:v>58.61</x:v>
      </x:c>
      <x:c r="AF32" s="38" t="n">
        <x:v>4.8148</x:v>
      </x:c>
      <x:c r="AG32" s="38" t="n">
        <x:v>5.73</x:v>
      </x:c>
      <x:c r="AH32" s="38" t="n">
        <x:f>IF(E32="Fason",L32*S32,0)</x:f>
        <x:v>0</x:v>
      </x:c>
      <x:c r="AI32" s="38" t="n">
        <x:f>IF(E32="Kurum içi",AC32*AD32+AE32*AF32+AB32*12%,0)</x:f>
        <x:v>14157.051649699999</x:v>
      </x:c>
      <x:c r="AJ32" s="38" t="n">
        <x:f>V32*AG32</x:f>
        <x:v>745.3322652727162</x:v>
      </x:c>
      <x:c r="AK32" s="38" t="n">
        <x:f>AB32*2%</x:f>
        <x:v>2059.9880869500003</x:v>
      </x:c>
      <x:c r="AL32" s="38" t="n">
        <x:f>AB32+AH32+AI32+AJ32+AK32</x:f>
        <x:v>119961.77634942274</x:v>
      </x:c>
      <x:c r="AM32" s="38" t="n">
        <x:f>AL32/V32</x:f>
        <x:v>922.247714890862</x:v>
      </x:c>
      <x:c r="AN32" s="40" t="n">
        <x:f>(W32+X32)/AL32*100</x:f>
        <x:v>72.92995684322491</x:v>
      </x:c>
      <x:c r="AO32" s="28" t="str">
        <x:v>R01-R20; ilgili satırdaki bölgesel fiyat ve maliyet varsayımları</x:v>
      </x:c>
      <x:c r="AP32" s="28" t="str">
        <x:v>Girdi miktarları, alım fiyatı değişimi, fason bedeli ve parti sonucu simüle edilmiştir; işletme kaydı değildir.</x:v>
      </x:c>
    </x:row>
    <x:row r="33" ht="22" customHeight="1">
      <x:c r="A33" t="str">
        <x:v>SUC-0032</x:v>
      </x:c>
      <x:c r="B33" s="36" t="n">
        <x:v>46310</x:v>
      </x:c>
      <x:c r="C33" t="str">
        <x:v>İç Anadolu</x:v>
      </x:c>
      <x:c r="D33" t="str">
        <x:v>MEB_STANDART</x:v>
      </x:c>
      <x:c r="E33" t="str">
        <x:v>Kurum içi</x:v>
      </x:c>
      <x:c r="F33" s="42" t="str">
        <x:v>SENTETİK/SİMÜLE — gerçek parti kaydı değildir</x:v>
      </x:c>
      <x:c r="G33" s="38" t="n">
        <x:v>198.316</x:v>
      </x:c>
      <x:c r="H33" s="38" t="n">
        <x:v>63.738</x:v>
      </x:c>
      <x:c r="I33" s="38" t="n">
        <x:v>13.491</x:v>
      </x:c>
      <x:c r="J33" s="38" t="n">
        <x:v>7.514</x:v>
      </x:c>
      <x:c r="K33" s="38" t="n">
        <x:v>2.593</x:v>
      </x:c>
      <x:c r="L33" s="38" t="n">
        <x:f>SUM(G33:K33)</x:f>
        <x:v>285.652</x:v>
      </x:c>
      <x:c r="M33" s="38" t="n">
        <x:v>343.255</x:v>
      </x:c>
      <x:c r="N33" s="38" t="n">
        <x:v>588.96</x:v>
      </x:c>
      <x:c r="O33" s="38" t="n">
        <x:v>472.94</x:v>
      </x:c>
      <x:c r="P33" s="38" t="n">
        <x:v>400</x:v>
      </x:c>
      <x:c r="Q33" s="38" t="n">
        <x:v>19.88</x:v>
      </x:c>
      <x:c r="R33" s="38" t="n">
        <x:v>43.7475</x:v>
      </x:c>
      <x:c r="S33" s="38" t="n">
        <x:v>70.57</x:v>
      </x:c>
      <x:c r="T33" s="40" t="n">
        <x:v>29.8</x:v>
      </x:c>
      <x:c r="U33" s="40" t="n">
        <x:v>1.17</x:v>
      </x:c>
      <x:c r="V33" s="38" t="n">
        <x:f>L33*(1-T33/100)*(1-U33/100)</x:f>
        <x:v>198.18152986319996</x:v>
      </x:c>
      <x:c r="W33" s="38" t="n">
        <x:f>G33*N33</x:f>
        <x:v>116800.19136000001</x:v>
      </x:c>
      <x:c r="X33" s="38" t="n">
        <x:f>H33*O33</x:f>
        <x:v>30144.24972</x:v>
      </x:c>
      <x:c r="Y33" s="38" t="n">
        <x:f>I33*P33</x:f>
        <x:v>5396.4</x:v>
      </x:c>
      <x:c r="Z33" s="38" t="n">
        <x:f>J33*Q33+K33*P33</x:f>
        <x:v>1186.57832</x:v>
      </x:c>
      <x:c r="AA33" s="38" t="n">
        <x:f>M33*R33</x:f>
        <x:v>15016.5481125</x:v>
      </x:c>
      <x:c r="AB33" s="38" t="n">
        <x:f>SUM(W33:AA33)</x:f>
        <x:v>168543.9675125</x:v>
      </x:c>
      <x:c r="AC33" s="38" t="n">
        <x:v>12.69</x:v>
      </x:c>
      <x:c r="AD33" s="38" t="n">
        <x:v>174.33</x:v>
      </x:c>
      <x:c r="AE33" s="38" t="n">
        <x:v>82.65</x:v>
      </x:c>
      <x:c r="AF33" s="38" t="n">
        <x:v>4.8148</x:v>
      </x:c>
      <x:c r="AG33" s="38" t="n">
        <x:v>5.67</x:v>
      </x:c>
      <x:c r="AH33" s="38" t="n">
        <x:f>IF(E33="Fason",L33*S33,0)</x:f>
        <x:v>0</x:v>
      </x:c>
      <x:c r="AI33" s="38" t="n">
        <x:f>IF(E33="Kurum içi",AC33*AD33+AE33*AF33+AB33*12%,0)</x:f>
        <x:v>22835.4670215</x:v>
      </x:c>
      <x:c r="AJ33" s="38" t="n">
        <x:f>V33*AG33</x:f>
        <x:v>1123.6892743243438</x:v>
      </x:c>
      <x:c r="AK33" s="38" t="n">
        <x:f>AB33*2%</x:f>
        <x:v>3370.8793502500002</x:v>
      </x:c>
      <x:c r="AL33" s="38" t="n">
        <x:f>AB33+AH33+AI33+AJ33+AK33</x:f>
        <x:v>195874.00315857434</x:v>
      </x:c>
      <x:c r="AM33" s="38" t="n">
        <x:f>AL33/V33</x:f>
        <x:v>988.3564996888538</x:v>
      </x:c>
      <x:c r="AN33" s="40" t="n">
        <x:f>(W33+X33)/AL33*100</x:f>
        <x:v>75.01987946865911</x:v>
      </x:c>
      <x:c r="AO33" s="28" t="str">
        <x:v>R01-R20; ilgili satırdaki bölgesel fiyat ve maliyet varsayımları</x:v>
      </x:c>
      <x:c r="AP33" s="28" t="str">
        <x:v>Girdi miktarları, alım fiyatı değişimi, fason bedeli ve parti sonucu simüle edilmiştir; işletme kaydı değildir.</x:v>
      </x:c>
    </x:row>
    <x:row r="34" ht="22" customHeight="1">
      <x:c r="A34" t="str">
        <x:v>SUC-0033</x:v>
      </x:c>
      <x:c r="B34" s="36" t="n">
        <x:v>46296</x:v>
      </x:c>
      <x:c r="C34" t="str">
        <x:v>Güneydoğu Anadolu</x:v>
      </x:c>
      <x:c r="D34" t="str">
        <x:v>ERZURUM_CI</x:v>
      </x:c>
      <x:c r="E34" t="str">
        <x:v>Kurum içi</x:v>
      </x:c>
      <x:c r="F34" s="42" t="str">
        <x:v>SENTETİK/SİMÜLE — gerçek parti kaydı değildir</x:v>
      </x:c>
      <x:c r="G34" s="38" t="n">
        <x:v>128.452</x:v>
      </x:c>
      <x:c r="H34" s="38" t="n">
        <x:v>23.607</x:v>
      </x:c>
      <x:c r="I34" s="38" t="n">
        <x:v>7.288</x:v>
      </x:c>
      <x:c r="J34" s="38" t="n">
        <x:v>2.419</x:v>
      </x:c>
      <x:c r="K34" s="38" t="n">
        <x:v>0.075</x:v>
      </x:c>
      <x:c r="L34" s="38" t="n">
        <x:f>SUM(G34:K34)</x:f>
        <x:v>161.841</x:v>
      </x:c>
      <x:c r="M34" s="38" t="n">
        <x:v>218.655</x:v>
      </x:c>
      <x:c r="N34" s="38" t="n">
        <x:v>569</x:v>
      </x:c>
      <x:c r="O34" s="38" t="n">
        <x:v>426.04</x:v>
      </x:c>
      <x:c r="P34" s="38" t="n">
        <x:v>400</x:v>
      </x:c>
      <x:c r="Q34" s="38" t="n">
        <x:v>19.88</x:v>
      </x:c>
      <x:c r="R34" s="38" t="n">
        <x:v>43.7475</x:v>
      </x:c>
      <x:c r="S34" s="38" t="n">
        <x:v>124.96</x:v>
      </x:c>
      <x:c r="T34" s="40" t="n">
        <x:v>18.9</x:v>
      </x:c>
      <x:c r="U34" s="40" t="n">
        <x:v>1.48</x:v>
      </x:c>
      <x:c r="V34" s="38" t="n">
        <x:f>L34*(1-T34/100)*(1-U34/100)</x:f>
        <x:v>129.31050584520003</x:v>
      </x:c>
      <x:c r="W34" s="38" t="n">
        <x:f>G34*N34</x:f>
        <x:v>73089.188</x:v>
      </x:c>
      <x:c r="X34" s="38" t="n">
        <x:f>H34*O34</x:f>
        <x:v>10057.52628</x:v>
      </x:c>
      <x:c r="Y34" s="38" t="n">
        <x:f>I34*P34</x:f>
        <x:v>2915.2000000000003</x:v>
      </x:c>
      <x:c r="Z34" s="38" t="n">
        <x:f>J34*Q34+K34*P34</x:f>
        <x:v>78.08972</x:v>
      </x:c>
      <x:c r="AA34" s="38" t="n">
        <x:f>M34*R34</x:f>
        <x:v>9565.6096125</x:v>
      </x:c>
      <x:c r="AB34" s="38" t="n">
        <x:f>SUM(W34:AA34)</x:f>
        <x:v>95705.6136125</x:v>
      </x:c>
      <x:c r="AC34" s="38" t="n">
        <x:v>7.24</x:v>
      </x:c>
      <x:c r="AD34" s="38" t="n">
        <x:v>174.33</x:v>
      </x:c>
      <x:c r="AE34" s="38" t="n">
        <x:v>76.08</x:v>
      </x:c>
      <x:c r="AF34" s="38" t="n">
        <x:v>4.8148</x:v>
      </x:c>
      <x:c r="AG34" s="38" t="n">
        <x:v>5.73</x:v>
      </x:c>
      <x:c r="AH34" s="38" t="n">
        <x:f>IF(E34="Fason",L34*S34,0)</x:f>
        <x:v>0</x:v>
      </x:c>
      <x:c r="AI34" s="38" t="n">
        <x:f>IF(E34="Kurum içi",AC34*AD34+AE34*AF34+AB34*12%,0)</x:f>
        <x:v>13113.1328175</x:v>
      </x:c>
      <x:c r="AJ34" s="38" t="n">
        <x:f>V34*AG34</x:f>
        <x:v>740.9491984929962</x:v>
      </x:c>
      <x:c r="AK34" s="38" t="n">
        <x:f>AB34*2%</x:f>
        <x:v>1914.1122722500002</x:v>
      </x:c>
      <x:c r="AL34" s="38" t="n">
        <x:f>AB34+AH34+AI34+AJ34+AK34</x:f>
        <x:v>111473.80790074299</x:v>
      </x:c>
      <x:c r="AM34" s="38" t="n">
        <x:f>AL34/V34</x:f>
        <x:v>862.0630409890309</x:v>
      </x:c>
      <x:c r="AN34" s="40" t="n">
        <x:f>(W34+X34)/AL34*100</x:f>
        <x:v>74.5885655525775</x:v>
      </x:c>
      <x:c r="AO34" s="28" t="str">
        <x:v>R01-R20; ilgili satırdaki bölgesel fiyat ve maliyet varsayımları</x:v>
      </x:c>
      <x:c r="AP34" s="28" t="str">
        <x:v>Girdi miktarları, alım fiyatı değişimi, fason bedeli ve parti sonucu simüle edilmiştir; işletme kaydı değildir.</x:v>
      </x:c>
    </x:row>
    <x:row r="35" ht="22" customHeight="1">
      <x:c r="A35" t="str">
        <x:v>SUC-0034</x:v>
      </x:c>
      <x:c r="B35" s="36" t="n">
        <x:v>46307</x:v>
      </x:c>
      <x:c r="C35" t="str">
        <x:v>Güneydoğu Anadolu</x:v>
      </x:c>
      <x:c r="D35" t="str">
        <x:v>MEB_STANDART</x:v>
      </x:c>
      <x:c r="E35" t="str">
        <x:v>Kurum içi</x:v>
      </x:c>
      <x:c r="F35" s="42" t="str">
        <x:v>SENTETİK/SİMÜLE — gerçek parti kaydı değildir</x:v>
      </x:c>
      <x:c r="G35" s="38" t="n">
        <x:v>317.455</x:v>
      </x:c>
      <x:c r="H35" s="38" t="n">
        <x:v>101.806</x:v>
      </x:c>
      <x:c r="I35" s="38" t="n">
        <x:v>19.796</x:v>
      </x:c>
      <x:c r="J35" s="38" t="n">
        <x:v>11.118</x:v>
      </x:c>
      <x:c r="K35" s="38" t="n">
        <x:v>5.268</x:v>
      </x:c>
      <x:c r="L35" s="38" t="n">
        <x:f>SUM(G35:K35)</x:f>
        <x:v>455.4429999999999</x:v>
      </x:c>
      <x:c r="M35" s="38" t="n">
        <x:v>528.449</x:v>
      </x:c>
      <x:c r="N35" s="38" t="n">
        <x:v>577.2</x:v>
      </x:c>
      <x:c r="O35" s="38" t="n">
        <x:v>412.17</x:v>
      </x:c>
      <x:c r="P35" s="38" t="n">
        <x:v>550</x:v>
      </x:c>
      <x:c r="Q35" s="38" t="n">
        <x:v>19.88</x:v>
      </x:c>
      <x:c r="R35" s="38" t="n">
        <x:v>43.7475</x:v>
      </x:c>
      <x:c r="S35" s="38" t="n">
        <x:v>96.96</x:v>
      </x:c>
      <x:c r="T35" s="40" t="n">
        <x:v>23.81</x:v>
      </x:c>
      <x:c r="U35" s="40" t="n">
        <x:v>1.19</x:v>
      </x:c>
      <x:c r="V35" s="38" t="n">
        <x:f>L35*(1-T35/100)*(1-U35/100)</x:f>
        <x:v>342.87269764176995</x:v>
      </x:c>
      <x:c r="W35" s="38" t="n">
        <x:f>G35*N35</x:f>
        <x:v>183235.026</x:v>
      </x:c>
      <x:c r="X35" s="38" t="n">
        <x:f>H35*O35</x:f>
        <x:v>41961.37902</x:v>
      </x:c>
      <x:c r="Y35" s="38" t="n">
        <x:f>I35*P35</x:f>
        <x:v>10887.8</x:v>
      </x:c>
      <x:c r="Z35" s="38" t="n">
        <x:f>J35*Q35+K35*P35</x:f>
        <x:v>3118.42584</x:v>
      </x:c>
      <x:c r="AA35" s="38" t="n">
        <x:f>M35*R35</x:f>
        <x:v>23118.322627499998</x:v>
      </x:c>
      <x:c r="AB35" s="38" t="n">
        <x:f>SUM(W35:AA35)</x:f>
        <x:v>262320.9534875</x:v>
      </x:c>
      <x:c r="AC35" s="38" t="n">
        <x:v>27.05</x:v>
      </x:c>
      <x:c r="AD35" s="38" t="n">
        <x:v>174.33</x:v>
      </x:c>
      <x:c r="AE35" s="38" t="n">
        <x:v>164.94</x:v>
      </x:c>
      <x:c r="AF35" s="38" t="n">
        <x:v>4.8148</x:v>
      </x:c>
      <x:c r="AG35" s="38" t="n">
        <x:v>5.2</x:v>
      </x:c>
      <x:c r="AH35" s="38" t="n">
        <x:f>IF(E35="Fason",L35*S35,0)</x:f>
        <x:v>0</x:v>
      </x:c>
      <x:c r="AI35" s="38" t="n">
        <x:f>IF(E35="Kurum içi",AC35*AD35+AE35*AF35+AB35*12%,0)</x:f>
        <x:v>36988.2940305</x:v>
      </x:c>
      <x:c r="AJ35" s="38" t="n">
        <x:f>V35*AG35</x:f>
        <x:v>1782.9380277372038</x:v>
      </x:c>
      <x:c r="AK35" s="38" t="n">
        <x:f>AB35*2%</x:f>
        <x:v>5246.419069750001</x:v>
      </x:c>
      <x:c r="AL35" s="38" t="n">
        <x:f>AB35+AH35+AI35+AJ35+AK35</x:f>
        <x:v>306338.6046154872</x:v>
      </x:c>
      <x:c r="AM35" s="38" t="n">
        <x:f>AL35/V35</x:f>
        <x:v>893.4470627799791</x:v>
      </x:c>
      <x:c r="AN35" s="40" t="n">
        <x:f>(W35+X35)/AL35*100</x:f>
        <x:v>73.51225135423725</x:v>
      </x:c>
      <x:c r="AO35" s="28" t="str">
        <x:v>R01-R20; ilgili satırdaki bölgesel fiyat ve maliyet varsayımları</x:v>
      </x:c>
      <x:c r="AP35" s="28" t="str">
        <x:v>Girdi miktarları, alım fiyatı değişimi, fason bedeli ve parti sonucu simüle edilmiştir; işletme kaydı değildir.</x:v>
      </x:c>
    </x:row>
    <x:row r="36" ht="22" customHeight="1">
      <x:c r="A36" t="str">
        <x:v>SUC-0035</x:v>
      </x:c>
      <x:c r="B36" s="36" t="n">
        <x:v>46275</x:v>
      </x:c>
      <x:c r="C36" t="str">
        <x:v>Güneydoğu Anadolu</x:v>
      </x:c>
      <x:c r="D36" t="str">
        <x:v>ERZURUM_CI</x:v>
      </x:c>
      <x:c r="E36" t="str">
        <x:v>Kurum içi</x:v>
      </x:c>
      <x:c r="F36" s="42" t="str">
        <x:v>SENTETİK/SİMÜLE — gerçek parti kaydı değildir</x:v>
      </x:c>
      <x:c r="G36" s="38" t="n">
        <x:v>371.804</x:v>
      </x:c>
      <x:c r="H36" s="38" t="n">
        <x:v>63.859</x:v>
      </x:c>
      <x:c r="I36" s="38" t="n">
        <x:v>21.347</x:v>
      </x:c>
      <x:c r="J36" s="38" t="n">
        <x:v>6.642</x:v>
      </x:c>
      <x:c r="K36" s="38" t="n">
        <x:v>0.154</x:v>
      </x:c>
      <x:c r="L36" s="38" t="n">
        <x:f>SUM(G36:K36)</x:f>
        <x:v>463.8059999999999</x:v>
      </x:c>
      <x:c r="M36" s="38" t="n">
        <x:v>616.178</x:v>
      </x:c>
      <x:c r="N36" s="38" t="n">
        <x:v>596.25</x:v>
      </x:c>
      <x:c r="O36" s="38" t="n">
        <x:v>450.93</x:v>
      </x:c>
      <x:c r="P36" s="38" t="n">
        <x:v>400</x:v>
      </x:c>
      <x:c r="Q36" s="38" t="n">
        <x:v>19.88</x:v>
      </x:c>
      <x:c r="R36" s="38" t="n">
        <x:v>43.7475</x:v>
      </x:c>
      <x:c r="S36" s="38" t="n">
        <x:v>105.13</x:v>
      </x:c>
      <x:c r="T36" s="40" t="n">
        <x:v>15.63</x:v>
      </x:c>
      <x:c r="U36" s="40" t="n">
        <x:v>1</x:v>
      </x:c>
      <x:c r="V36" s="38" t="n">
        <x:f>L36*(1-T36/100)*(1-U36/100)</x:f>
        <x:v>387.39999097799995</x:v>
      </x:c>
      <x:c r="W36" s="38" t="n">
        <x:f>G36*N36</x:f>
        <x:v>221688.13499999998</x:v>
      </x:c>
      <x:c r="X36" s="38" t="n">
        <x:f>H36*O36</x:f>
        <x:v>28795.93887</x:v>
      </x:c>
      <x:c r="Y36" s="38" t="n">
        <x:f>I36*P36</x:f>
        <x:v>8538.800000000001</x:v>
      </x:c>
      <x:c r="Z36" s="38" t="n">
        <x:f>J36*Q36+K36*P36</x:f>
        <x:v>193.64296</x:v>
      </x:c>
      <x:c r="AA36" s="38" t="n">
        <x:f>M36*R36</x:f>
        <x:v>26956.247055</x:v>
      </x:c>
      <x:c r="AB36" s="38" t="n">
        <x:f>SUM(W36:AA36)</x:f>
        <x:v>286172.76388499996</x:v>
      </x:c>
      <x:c r="AC36" s="38" t="n">
        <x:v>22.46</x:v>
      </x:c>
      <x:c r="AD36" s="38" t="n">
        <x:v>174.33</x:v>
      </x:c>
      <x:c r="AE36" s="38" t="n">
        <x:v>150.72</x:v>
      </x:c>
      <x:c r="AF36" s="38" t="n">
        <x:v>4.8148</x:v>
      </x:c>
      <x:c r="AG36" s="38" t="n">
        <x:v>5.66</x:v>
      </x:c>
      <x:c r="AH36" s="38" t="n">
        <x:f>IF(E36="Fason",L36*S36,0)</x:f>
        <x:v>0</x:v>
      </x:c>
      <x:c r="AI36" s="38" t="n">
        <x:f>IF(E36="Kurum içi",AC36*AD36+AE36*AF36+AB36*12%,0)</x:f>
        <x:v>38981.870122199995</x:v>
      </x:c>
      <x:c r="AJ36" s="38" t="n">
        <x:f>V36*AG36</x:f>
        <x:v>2192.6839489354797</x:v>
      </x:c>
      <x:c r="AK36" s="38" t="n">
        <x:f>AB36*2%</x:f>
        <x:v>5723.455277699999</x:v>
      </x:c>
      <x:c r="AL36" s="38" t="n">
        <x:f>AB36+AH36+AI36+AJ36+AK36</x:f>
        <x:v>333070.7732338354</x:v>
      </x:c>
      <x:c r="AM36" s="38" t="n">
        <x:f>AL36/V36</x:f>
        <x:v>859.7593727170483</x:v>
      </x:c>
      <x:c r="AN36" s="40" t="n">
        <x:f>(W36+X36)/AL36*100</x:f>
        <x:v>75.20445923189584</x:v>
      </x:c>
      <x:c r="AO36" s="28" t="str">
        <x:v>R01-R20; ilgili satırdaki bölgesel fiyat ve maliyet varsayımları</x:v>
      </x:c>
      <x:c r="AP36" s="28" t="str">
        <x:v>Girdi miktarları, alım fiyatı değişimi, fason bedeli ve parti sonucu simüle edilmiştir; işletme kaydı değildir.</x:v>
      </x:c>
    </x:row>
    <x:row r="37" ht="22" customHeight="1">
      <x:c r="A37" t="str">
        <x:v>SUC-0036</x:v>
      </x:c>
      <x:c r="B37" s="36" t="n">
        <x:v>46299</x:v>
      </x:c>
      <x:c r="C37" t="str">
        <x:v>Doğu Anadolu</x:v>
      </x:c>
      <x:c r="D37" t="str">
        <x:v>MEB_STANDART</x:v>
      </x:c>
      <x:c r="E37" t="str">
        <x:v>Kurum içi</x:v>
      </x:c>
      <x:c r="F37" s="42" t="str">
        <x:v>SENTETİK/SİMÜLE — gerçek parti kaydı değildir</x:v>
      </x:c>
      <x:c r="G37" s="38" t="n">
        <x:v>301.687</x:v>
      </x:c>
      <x:c r="H37" s="38" t="n">
        <x:v>90.062</x:v>
      </x:c>
      <x:c r="I37" s="38" t="n">
        <x:v>19.82</x:v>
      </x:c>
      <x:c r="J37" s="38" t="n">
        <x:v>11.221</x:v>
      </x:c>
      <x:c r="K37" s="38" t="n">
        <x:v>4.68</x:v>
      </x:c>
      <x:c r="L37" s="38" t="n">
        <x:f>SUM(G37:K37)</x:f>
        <x:v>427.47</x:v>
      </x:c>
      <x:c r="M37" s="38" t="n">
        <x:v>555.901</x:v>
      </x:c>
      <x:c r="N37" s="38" t="n">
        <x:v>592.95</x:v>
      </x:c>
      <x:c r="O37" s="38" t="n">
        <x:v>409.33</x:v>
      </x:c>
      <x:c r="P37" s="38" t="n">
        <x:v>550</x:v>
      </x:c>
      <x:c r="Q37" s="38" t="n">
        <x:v>19.88</x:v>
      </x:c>
      <x:c r="R37" s="38" t="n">
        <x:v>43.7475</x:v>
      </x:c>
      <x:c r="S37" s="38" t="n">
        <x:v>98.79</x:v>
      </x:c>
      <x:c r="T37" s="40" t="n">
        <x:v>18.77</x:v>
      </x:c>
      <x:c r="U37" s="40" t="n">
        <x:v>1.16</x:v>
      </x:c>
      <x:c r="V37" s="38" t="n">
        <x:f>L37*(1-T37/100)*(1-U37/100)</x:f>
        <x:v>343.20596798040003</x:v>
      </x:c>
      <x:c r="W37" s="38" t="n">
        <x:f>G37*N37</x:f>
        <x:v>178885.30665</x:v>
      </x:c>
      <x:c r="X37" s="38" t="n">
        <x:f>H37*O37</x:f>
        <x:v>36865.07846</x:v>
      </x:c>
      <x:c r="Y37" s="38" t="n">
        <x:f>I37*P37</x:f>
        <x:v>10901</x:v>
      </x:c>
      <x:c r="Z37" s="38" t="n">
        <x:f>J37*Q37+K37*P37</x:f>
        <x:v>2797.07348</x:v>
      </x:c>
      <x:c r="AA37" s="38" t="n">
        <x:f>M37*R37</x:f>
        <x:v>24319.278997499998</x:v>
      </x:c>
      <x:c r="AB37" s="38" t="n">
        <x:f>SUM(W37:AA37)</x:f>
        <x:v>253767.73758749999</x:v>
      </x:c>
      <x:c r="AC37" s="38" t="n">
        <x:v>26.82</x:v>
      </x:c>
      <x:c r="AD37" s="38" t="n">
        <x:v>174.33</x:v>
      </x:c>
      <x:c r="AE37" s="38" t="n">
        <x:v>176.41</x:v>
      </x:c>
      <x:c r="AF37" s="38" t="n">
        <x:v>4.8148</x:v>
      </x:c>
      <x:c r="AG37" s="38" t="n">
        <x:v>5.51</x:v>
      </x:c>
      <x:c r="AH37" s="38" t="n">
        <x:f>IF(E37="Fason",L37*S37,0)</x:f>
        <x:v>0</x:v>
      </x:c>
      <x:c r="AI37" s="38" t="n">
        <x:f>IF(E37="Kurum içi",AC37*AD37+AE37*AF37+AB37*12%,0)</x:f>
        <x:v>35977.0379785</x:v>
      </x:c>
      <x:c r="AJ37" s="38" t="n">
        <x:f>V37*AG37</x:f>
        <x:v>1891.0648835720042</x:v>
      </x:c>
      <x:c r="AK37" s="38" t="n">
        <x:f>AB37*2%</x:f>
        <x:v>5075.35475175</x:v>
      </x:c>
      <x:c r="AL37" s="38" t="n">
        <x:f>AB37+AH37+AI37+AJ37+AK37</x:f>
        <x:v>296711.19520132197</x:v>
      </x:c>
      <x:c r="AM37" s="38" t="n">
        <x:f>AL37/V37</x:f>
        <x:v>864.5280760918082</x:v>
      </x:c>
      <x:c r="AN37" s="40" t="n">
        <x:f>(W37+X37)/AL37*100</x:f>
        <x:v>72.71393482932483</x:v>
      </x:c>
      <x:c r="AO37" s="28" t="str">
        <x:v>R01-R20; ilgili satırdaki bölgesel fiyat ve maliyet varsayımları</x:v>
      </x:c>
      <x:c r="AP37" s="28" t="str">
        <x:v>Girdi miktarları, alım fiyatı değişimi, fason bedeli ve parti sonucu simüle edilmiştir; işletme kaydı değildir.</x:v>
      </x:c>
    </x:row>
    <x:row r="38" ht="22" customHeight="1">
      <x:c r="A38" t="str">
        <x:v>SUC-0037</x:v>
      </x:c>
      <x:c r="B38" s="36" t="n">
        <x:v>46306</x:v>
      </x:c>
      <x:c r="C38" t="str">
        <x:v>İç Anadolu</x:v>
      </x:c>
      <x:c r="D38" t="str">
        <x:v>ERZURUM_CI</x:v>
      </x:c>
      <x:c r="E38" t="str">
        <x:v>Fason</x:v>
      </x:c>
      <x:c r="F38" s="42" t="str">
        <x:v>SENTETİK/SİMÜLE — gerçek parti kaydı değildir</x:v>
      </x:c>
      <x:c r="G38" s="38" t="n">
        <x:v>316.264</x:v>
      </x:c>
      <x:c r="H38" s="38" t="n">
        <x:v>57.717</x:v>
      </x:c>
      <x:c r="I38" s="38" t="n">
        <x:v>19.463</x:v>
      </x:c>
      <x:c r="J38" s="38" t="n">
        <x:v>6.566</x:v>
      </x:c>
      <x:c r="K38" s="38" t="n">
        <x:v>0.966</x:v>
      </x:c>
      <x:c r="L38" s="38" t="n">
        <x:f>SUM(G38:K38)</x:f>
        <x:v>400.976</x:v>
      </x:c>
      <x:c r="M38" s="38" t="n">
        <x:v>514.078</x:v>
      </x:c>
      <x:c r="N38" s="38" t="n">
        <x:v>584.02</x:v>
      </x:c>
      <x:c r="O38" s="38" t="n">
        <x:v>437.01</x:v>
      </x:c>
      <x:c r="P38" s="38" t="n">
        <x:v>669.9</x:v>
      </x:c>
      <x:c r="Q38" s="38" t="n">
        <x:v>19.88</x:v>
      </x:c>
      <x:c r="R38" s="38" t="n">
        <x:v>43.7475</x:v>
      </x:c>
      <x:c r="S38" s="38" t="n">
        <x:v>93.05</x:v>
      </x:c>
      <x:c r="T38" s="40" t="n">
        <x:v>27.52</x:v>
      </x:c>
      <x:c r="U38" s="40" t="n">
        <x:v>1.21</x:v>
      </x:c>
      <x:c r="V38" s="38" t="n">
        <x:f>L38*(1-T38/100)*(1-U38/100)</x:f>
        <x:v>287.11081320192</x:v>
      </x:c>
      <x:c r="W38" s="38" t="n">
        <x:f>G38*N38</x:f>
        <x:v>184704.50128</x:v>
      </x:c>
      <x:c r="X38" s="38" t="n">
        <x:f>H38*O38</x:f>
        <x:v>25222.90617</x:v>
      </x:c>
      <x:c r="Y38" s="38" t="n">
        <x:f>I38*P38</x:f>
        <x:v>13038.2637</x:v>
      </x:c>
      <x:c r="Z38" s="38" t="n">
        <x:f>J38*Q38+K38*P38</x:f>
        <x:v>777.6554799999999</x:v>
      </x:c>
      <x:c r="AA38" s="38" t="n">
        <x:f>M38*R38</x:f>
        <x:v>22489.627305</x:v>
      </x:c>
      <x:c r="AB38" s="38" t="n">
        <x:f>SUM(W38:AA38)</x:f>
        <x:v>246232.953935</x:v>
      </x:c>
      <x:c r="AC38" s="38" t="n">
        <x:v>17.17</x:v>
      </x:c>
      <x:c r="AD38" s="38" t="n">
        <x:v>174.33</x:v>
      </x:c>
      <x:c r="AE38" s="38" t="n">
        <x:v>102.84</x:v>
      </x:c>
      <x:c r="AF38" s="38" t="n">
        <x:v>4.8148</x:v>
      </x:c>
      <x:c r="AG38" s="38" t="n">
        <x:v>5.34</x:v>
      </x:c>
      <x:c r="AH38" s="38" t="n">
        <x:f>IF(E38="Fason",L38*S38,0)</x:f>
        <x:v>37310.8168</x:v>
      </x:c>
      <x:c r="AI38" s="38" t="n">
        <x:f>IF(E38="Kurum içi",AC38*AD38+AE38*AF38+AB38*12%,0)</x:f>
        <x:v>0</x:v>
      </x:c>
      <x:c r="AJ38" s="38" t="n">
        <x:f>V38*AG38</x:f>
        <x:v>1533.1717424982528</x:v>
      </x:c>
      <x:c r="AK38" s="38" t="n">
        <x:f>AB38*2%</x:f>
        <x:v>4924.6590787000005</x:v>
      </x:c>
      <x:c r="AL38" s="38" t="n">
        <x:f>AB38+AH38+AI38+AJ38+AK38</x:f>
        <x:v>290001.60155619826</x:v>
      </x:c>
      <x:c r="AM38" s="38" t="n">
        <x:f>AL38/V38</x:f>
        <x:v>1010.0685457368867</x:v>
      </x:c>
      <x:c r="AN38" s="40" t="n">
        <x:f>(W38+X38)/AL38*100</x:f>
        <x:v>72.3883614171417</x:v>
      </x:c>
      <x:c r="AO38" s="28" t="str">
        <x:v>R01-R20; ilgili satırdaki bölgesel fiyat ve maliyet varsayımları</x:v>
      </x:c>
      <x:c r="AP38" s="28" t="str">
        <x:v>Girdi miktarları, alım fiyatı değişimi, fason bedeli ve parti sonucu simüle edilmiştir; işletme kaydı değildir.</x:v>
      </x:c>
    </x:row>
    <x:row r="39" ht="22" customHeight="1">
      <x:c r="A39" t="str">
        <x:v>SUC-0038</x:v>
      </x:c>
      <x:c r="B39" s="36" t="n">
        <x:v>46270</x:v>
      </x:c>
      <x:c r="C39" t="str">
        <x:v>Akdeniz</x:v>
      </x:c>
      <x:c r="D39" t="str">
        <x:v>ERZURUM_CI</x:v>
      </x:c>
      <x:c r="E39" t="str">
        <x:v>Kurum içi</x:v>
      </x:c>
      <x:c r="F39" s="42" t="str">
        <x:v>SENTETİK/SİMÜLE — gerçek parti kaydı değildir</x:v>
      </x:c>
      <x:c r="G39" s="38" t="n">
        <x:v>327.274</x:v>
      </x:c>
      <x:c r="H39" s="38" t="n">
        <x:v>57.799</x:v>
      </x:c>
      <x:c r="I39" s="38" t="n">
        <x:v>19.989</x:v>
      </x:c>
      <x:c r="J39" s="38" t="n">
        <x:v>6.572</x:v>
      </x:c>
      <x:c r="K39" s="38" t="n">
        <x:v>0.662</x:v>
      </x:c>
      <x:c r="L39" s="38" t="n">
        <x:f>SUM(G39:K39)</x:f>
        <x:v>412.29599999999994</x:v>
      </x:c>
      <x:c r="M39" s="38" t="n">
        <x:v>490.167</x:v>
      </x:c>
      <x:c r="N39" s="38" t="n">
        <x:v>583.29</x:v>
      </x:c>
      <x:c r="O39" s="38" t="n">
        <x:v>454</x:v>
      </x:c>
      <x:c r="P39" s="38" t="n">
        <x:v>400</x:v>
      </x:c>
      <x:c r="Q39" s="38" t="n">
        <x:v>19.88</x:v>
      </x:c>
      <x:c r="R39" s="38" t="n">
        <x:v>43.7475</x:v>
      </x:c>
      <x:c r="S39" s="38" t="n">
        <x:v>106.35</x:v>
      </x:c>
      <x:c r="T39" s="40" t="n">
        <x:v>15.57</x:v>
      </x:c>
      <x:c r="U39" s="40" t="n">
        <x:v>1.53</x:v>
      </x:c>
      <x:c r="V39" s="38" t="n">
        <x:f>L39*(1-T39/100)*(1-U39/100)</x:f>
        <x:v>342.77555965415996</x:v>
      </x:c>
      <x:c r="W39" s="38" t="n">
        <x:f>G39*N39</x:f>
        <x:v>190895.65146</x:v>
      </x:c>
      <x:c r="X39" s="38" t="n">
        <x:f>H39*O39</x:f>
        <x:v>26240.746</x:v>
      </x:c>
      <x:c r="Y39" s="38" t="n">
        <x:f>I39*P39</x:f>
        <x:v>7995.6</x:v>
      </x:c>
      <x:c r="Z39" s="38" t="n">
        <x:f>J39*Q39+K39*P39</x:f>
        <x:v>395.45136</x:v>
      </x:c>
      <x:c r="AA39" s="38" t="n">
        <x:f>M39*R39</x:f>
        <x:v>21443.5808325</x:v>
      </x:c>
      <x:c r="AB39" s="38" t="n">
        <x:f>SUM(W39:AA39)</x:f>
        <x:v>246971.02965250003</x:v>
      </x:c>
      <x:c r="AC39" s="38" t="n">
        <x:v>16.2</x:v>
      </x:c>
      <x:c r="AD39" s="38" t="n">
        <x:v>174.33</x:v>
      </x:c>
      <x:c r="AE39" s="38" t="n">
        <x:v>191.81</x:v>
      </x:c>
      <x:c r="AF39" s="38" t="n">
        <x:v>4.8148</x:v>
      </x:c>
      <x:c r="AG39" s="38" t="n">
        <x:v>5.45</x:v>
      </x:c>
      <x:c r="AH39" s="38" t="n">
        <x:f>IF(E39="Fason",L39*S39,0)</x:f>
        <x:v>0</x:v>
      </x:c>
      <x:c r="AI39" s="38" t="n">
        <x:f>IF(E39="Kurum içi",AC39*AD39+AE39*AF39+AB39*12%,0)</x:f>
        <x:v>33384.19634630001</x:v>
      </x:c>
      <x:c r="AJ39" s="38" t="n">
        <x:f>V39*AG39</x:f>
        <x:v>1868.1268001151718</x:v>
      </x:c>
      <x:c r="AK39" s="38" t="n">
        <x:f>AB39*2%</x:f>
        <x:v>4939.420593050001</x:v>
      </x:c>
      <x:c r="AL39" s="38" t="n">
        <x:f>AB39+AH39+AI39+AJ39+AK39</x:f>
        <x:v>287162.7733919652</x:v>
      </x:c>
      <x:c r="AM39" s="38" t="n">
        <x:f>AL39/V39</x:f>
        <x:v>837.757434286433</x:v>
      </x:c>
      <x:c r="AN39" s="40" t="n">
        <x:f>(W39+X39)/AL39*100</x:f>
        <x:v>75.61439628653325</x:v>
      </x:c>
      <x:c r="AO39" s="28" t="str">
        <x:v>R01-R20; ilgili satırdaki bölgesel fiyat ve maliyet varsayımları</x:v>
      </x:c>
      <x:c r="AP39" s="28" t="str">
        <x:v>Girdi miktarları, alım fiyatı değişimi, fason bedeli ve parti sonucu simüle edilmiştir; işletme kaydı değildir.</x:v>
      </x:c>
    </x:row>
    <x:row r="40" ht="22" customHeight="1">
      <x:c r="A40" t="str">
        <x:v>SUC-0039</x:v>
      </x:c>
      <x:c r="B40" s="36" t="n">
        <x:v>46312</x:v>
      </x:c>
      <x:c r="C40" t="str">
        <x:v>Doğu Anadolu</x:v>
      </x:c>
      <x:c r="D40" t="str">
        <x:v>MEB_STANDART</x:v>
      </x:c>
      <x:c r="E40" t="str">
        <x:v>Kurum içi</x:v>
      </x:c>
      <x:c r="F40" s="42" t="str">
        <x:v>SENTETİK/SİMÜLE — gerçek parti kaydı değildir</x:v>
      </x:c>
      <x:c r="G40" s="38" t="n">
        <x:v>89.457</x:v>
      </x:c>
      <x:c r="H40" s="38" t="n">
        <x:v>29.133</x:v>
      </x:c>
      <x:c r="I40" s="38" t="n">
        <x:v>5.428</x:v>
      </x:c>
      <x:c r="J40" s="38" t="n">
        <x:v>3.108</x:v>
      </x:c>
      <x:c r="K40" s="38" t="n">
        <x:v>1.241</x:v>
      </x:c>
      <x:c r="L40" s="38" t="n">
        <x:f>SUM(G40:K40)</x:f>
        <x:v>128.367</x:v>
      </x:c>
      <x:c r="M40" s="38" t="n">
        <x:v>169.359</x:v>
      </x:c>
      <x:c r="N40" s="38" t="n">
        <x:v>580.82</x:v>
      </x:c>
      <x:c r="O40" s="38" t="n">
        <x:v>452.87</x:v>
      </x:c>
      <x:c r="P40" s="38" t="n">
        <x:v>400</x:v>
      </x:c>
      <x:c r="Q40" s="38" t="n">
        <x:v>19.88</x:v>
      </x:c>
      <x:c r="R40" s="38" t="n">
        <x:v>43.7475</x:v>
      </x:c>
      <x:c r="S40" s="38" t="n">
        <x:v>108.74</x:v>
      </x:c>
      <x:c r="T40" s="40" t="n">
        <x:v>20.65</x:v>
      </x:c>
      <x:c r="U40" s="40" t="n">
        <x:v>1.79</x:v>
      </x:c>
      <x:c r="V40" s="38" t="n">
        <x:f>L40*(1-T40/100)*(1-U40/100)</x:f>
        <x:v>100.03593456044999</x:v>
      </x:c>
      <x:c r="W40" s="38" t="n">
        <x:f>G40*N40</x:f>
        <x:v>51958.41474</x:v>
      </x:c>
      <x:c r="X40" s="38" t="n">
        <x:f>H40*O40</x:f>
        <x:v>13193.46171</x:v>
      </x:c>
      <x:c r="Y40" s="38" t="n">
        <x:f>I40*P40</x:f>
        <x:v>2171.2</x:v>
      </x:c>
      <x:c r="Z40" s="38" t="n">
        <x:f>J40*Q40+K40*P40</x:f>
        <x:v>558.18704</x:v>
      </x:c>
      <x:c r="AA40" s="38" t="n">
        <x:f>M40*R40</x:f>
        <x:v>7409.0328525</x:v>
      </x:c>
      <x:c r="AB40" s="38" t="n">
        <x:f>SUM(W40:AA40)</x:f>
        <x:v>75290.29634249999</x:v>
      </x:c>
      <x:c r="AC40" s="38" t="n">
        <x:v>4.55</x:v>
      </x:c>
      <x:c r="AD40" s="38" t="n">
        <x:v>174.33</x:v>
      </x:c>
      <x:c r="AE40" s="38" t="n">
        <x:v>35.66</x:v>
      </x:c>
      <x:c r="AF40" s="38" t="n">
        <x:v>4.8148</x:v>
      </x:c>
      <x:c r="AG40" s="38" t="n">
        <x:v>5.46</x:v>
      </x:c>
      <x:c r="AH40" s="38" t="n">
        <x:f>IF(E40="Fason",L40*S40,0)</x:f>
        <x:v>0</x:v>
      </x:c>
      <x:c r="AI40" s="38" t="n">
        <x:f>IF(E40="Kurum içi",AC40*AD40+AE40*AF40+AB40*12%,0)</x:f>
        <x:v>9999.7328291</x:v>
      </x:c>
      <x:c r="AJ40" s="38" t="n">
        <x:f>V40*AG40</x:f>
        <x:v>546.1962027000569</x:v>
      </x:c>
      <x:c r="AK40" s="38" t="n">
        <x:f>AB40*2%</x:f>
        <x:v>1505.8059268499999</x:v>
      </x:c>
      <x:c r="AL40" s="38" t="n">
        <x:f>AB40+AH40+AI40+AJ40+AK40</x:f>
        <x:v>87342.03130115004</x:v>
      </x:c>
      <x:c r="AM40" s="38" t="n">
        <x:f>AL40/V40</x:f>
        <x:v>873.1065660047466</x:v>
      </x:c>
      <x:c r="AN40" s="40" t="n">
        <x:f>(W40+X40)/AL40*100</x:f>
        <x:v>74.5939560592085</x:v>
      </x:c>
      <x:c r="AO40" s="28" t="str">
        <x:v>R01-R20; ilgili satırdaki bölgesel fiyat ve maliyet varsayımları</x:v>
      </x:c>
      <x:c r="AP40" s="28" t="str">
        <x:v>Girdi miktarları, alım fiyatı değişimi, fason bedeli ve parti sonucu simüle edilmiştir; işletme kaydı değildir.</x:v>
      </x:c>
    </x:row>
    <x:row r="41" ht="22" customHeight="1">
      <x:c r="A41" t="str">
        <x:v>SUC-0040</x:v>
      </x:c>
      <x:c r="B41" s="36" t="n">
        <x:v>46304</x:v>
      </x:c>
      <x:c r="C41" t="str">
        <x:v>İç Anadolu</x:v>
      </x:c>
      <x:c r="D41" t="str">
        <x:v>MEB_STANDART</x:v>
      </x:c>
      <x:c r="E41" t="str">
        <x:v>Fason</x:v>
      </x:c>
      <x:c r="F41" s="42" t="str">
        <x:v>SENTETİK/SİMÜLE — gerçek parti kaydı değildir</x:v>
      </x:c>
      <x:c r="G41" s="38" t="n">
        <x:v>211.688</x:v>
      </x:c>
      <x:c r="H41" s="38" t="n">
        <x:v>64.532</x:v>
      </x:c>
      <x:c r="I41" s="38" t="n">
        <x:v>13.24</x:v>
      </x:c>
      <x:c r="J41" s="38" t="n">
        <x:v>8.13</x:v>
      </x:c>
      <x:c r="K41" s="38" t="n">
        <x:v>3.493</x:v>
      </x:c>
      <x:c r="L41" s="38" t="n">
        <x:f>SUM(G41:K41)</x:f>
        <x:v>301.08299999999997</x:v>
      </x:c>
      <x:c r="M41" s="38" t="n">
        <x:v>392.75</x:v>
      </x:c>
      <x:c r="N41" s="38" t="n">
        <x:v>576.29</x:v>
      </x:c>
      <x:c r="O41" s="38" t="n">
        <x:v>475.35</x:v>
      </x:c>
      <x:c r="P41" s="38" t="n">
        <x:v>669.9</x:v>
      </x:c>
      <x:c r="Q41" s="38" t="n">
        <x:v>19.88</x:v>
      </x:c>
      <x:c r="R41" s="38" t="n">
        <x:v>43.7475</x:v>
      </x:c>
      <x:c r="S41" s="38" t="n">
        <x:v>81.5</x:v>
      </x:c>
      <x:c r="T41" s="40" t="n">
        <x:v>19.07</x:v>
      </x:c>
      <x:c r="U41" s="40" t="n">
        <x:v>1.33</x:v>
      </x:c>
      <x:c r="V41" s="38" t="n">
        <x:f>L41*(1-T41/100)*(1-U41/100)</x:f>
        <x:v>240.42570782373</x:v>
      </x:c>
      <x:c r="W41" s="38" t="n">
        <x:f>G41*N41</x:f>
        <x:v>121993.67751999998</x:v>
      </x:c>
      <x:c r="X41" s="38" t="n">
        <x:f>H41*O41</x:f>
        <x:v>30675.2862</x:v>
      </x:c>
      <x:c r="Y41" s="38" t="n">
        <x:f>I41*P41</x:f>
        <x:v>8869.476</x:v>
      </x:c>
      <x:c r="Z41" s="38" t="n">
        <x:f>J41*Q41+K41*P41</x:f>
        <x:v>2501.5851</x:v>
      </x:c>
      <x:c r="AA41" s="38" t="n">
        <x:f>M41*R41</x:f>
        <x:v>17181.830625000002</x:v>
      </x:c>
      <x:c r="AB41" s="38" t="n">
        <x:f>SUM(W41:AA41)</x:f>
        <x:v>181221.85544499996</x:v>
      </x:c>
      <x:c r="AC41" s="38" t="n">
        <x:v>10.73</x:v>
      </x:c>
      <x:c r="AD41" s="38" t="n">
        <x:v>174.33</x:v>
      </x:c>
      <x:c r="AE41" s="38" t="n">
        <x:v>79.39</x:v>
      </x:c>
      <x:c r="AF41" s="38" t="n">
        <x:v>4.8148</x:v>
      </x:c>
      <x:c r="AG41" s="38" t="n">
        <x:v>5.48</x:v>
      </x:c>
      <x:c r="AH41" s="38" t="n">
        <x:f>IF(E41="Fason",L41*S41,0)</x:f>
        <x:v>24538.264499999997</x:v>
      </x:c>
      <x:c r="AI41" s="38" t="n">
        <x:f>IF(E41="Kurum içi",AC41*AD41+AE41*AF41+AB41*12%,0)</x:f>
        <x:v>0</x:v>
      </x:c>
      <x:c r="AJ41" s="38" t="n">
        <x:f>V41*AG41</x:f>
        <x:v>1317.5328788740405</x:v>
      </x:c>
      <x:c r="AK41" s="38" t="n">
        <x:f>AB41*2%</x:f>
        <x:v>3624.437108899999</x:v>
      </x:c>
      <x:c r="AL41" s="38" t="n">
        <x:f>AB41+AH41+AI41+AJ41+AK41</x:f>
        <x:v>210702.089932774</x:v>
      </x:c>
      <x:c r="AM41" s="38" t="n">
        <x:f>AL41/V41</x:f>
        <x:v>876.3708832969388</x:v>
      </x:c>
      <x:c r="AN41" s="40" t="n">
        <x:f>(W41+X41)/AL41*100</x:f>
        <x:v>72.45726123016155</x:v>
      </x:c>
      <x:c r="AO41" s="28" t="str">
        <x:v>R01-R20; ilgili satırdaki bölgesel fiyat ve maliyet varsayımları</x:v>
      </x:c>
      <x:c r="AP41" s="28" t="str">
        <x:v>Girdi miktarları, alım fiyatı değişimi, fason bedeli ve parti sonucu simüle edilmiştir; işletme kaydı değildir.</x:v>
      </x:c>
    </x:row>
    <x:row r="42" ht="22" customHeight="1">
      <x:c r="A42" t="str">
        <x:v>SUC-0041</x:v>
      </x:c>
      <x:c r="B42" s="36" t="n">
        <x:v>46317</x:v>
      </x:c>
      <x:c r="C42" t="str">
        <x:v>Akdeniz</x:v>
      </x:c>
      <x:c r="D42" t="str">
        <x:v>MEB_STANDART</x:v>
      </x:c>
      <x:c r="E42" t="str">
        <x:v>Kurum içi</x:v>
      </x:c>
      <x:c r="F42" s="42" t="str">
        <x:v>SENTETİK/SİMÜLE — gerçek parti kaydı değildir</x:v>
      </x:c>
      <x:c r="G42" s="38" t="n">
        <x:v>161.893</x:v>
      </x:c>
      <x:c r="H42" s="38" t="n">
        <x:v>51.866</x:v>
      </x:c>
      <x:c r="I42" s="38" t="n">
        <x:v>9.767</x:v>
      </x:c>
      <x:c r="J42" s="38" t="n">
        <x:v>6.204</x:v>
      </x:c>
      <x:c r="K42" s="38" t="n">
        <x:v>2.627</x:v>
      </x:c>
      <x:c r="L42" s="38" t="n">
        <x:f>SUM(G42:K42)</x:f>
        <x:v>232.35700000000003</x:v>
      </x:c>
      <x:c r="M42" s="38" t="n">
        <x:v>268.847</x:v>
      </x:c>
      <x:c r="N42" s="38" t="n">
        <x:v>591.6</x:v>
      </x:c>
      <x:c r="O42" s="38" t="n">
        <x:v>432.29</x:v>
      </x:c>
      <x:c r="P42" s="38" t="n">
        <x:v>550</x:v>
      </x:c>
      <x:c r="Q42" s="38" t="n">
        <x:v>19.88</x:v>
      </x:c>
      <x:c r="R42" s="38" t="n">
        <x:v>43.7475</x:v>
      </x:c>
      <x:c r="S42" s="38" t="n">
        <x:v>84.05</x:v>
      </x:c>
      <x:c r="T42" s="40" t="n">
        <x:v>20.63</x:v>
      </x:c>
      <x:c r="U42" s="40" t="n">
        <x:v>1.24</x:v>
      </x:c>
      <x:c r="V42" s="38" t="n">
        <x:f>L42*(1-T42/100)*(1-U42/100)</x:f>
        <x:v>182.13492118884005</x:v>
      </x:c>
      <x:c r="W42" s="38" t="n">
        <x:f>G42*N42</x:f>
        <x:v>95775.89880000001</x:v>
      </x:c>
      <x:c r="X42" s="38" t="n">
        <x:f>H42*O42</x:f>
        <x:v>22421.153140000002</x:v>
      </x:c>
      <x:c r="Y42" s="38" t="n">
        <x:f>I42*P42</x:f>
        <x:v>5371.849999999999</x:v>
      </x:c>
      <x:c r="Z42" s="38" t="n">
        <x:f>J42*Q42+K42*P42</x:f>
        <x:v>1568.18552</x:v>
      </x:c>
      <x:c r="AA42" s="38" t="n">
        <x:f>M42*R42</x:f>
        <x:v>11761.3841325</x:v>
      </x:c>
      <x:c r="AB42" s="38" t="n">
        <x:f>SUM(W42:AA42)</x:f>
        <x:v>136898.47159250002</x:v>
      </x:c>
      <x:c r="AC42" s="38" t="n">
        <x:v>15.15</x:v>
      </x:c>
      <x:c r="AD42" s="38" t="n">
        <x:v>174.33</x:v>
      </x:c>
      <x:c r="AE42" s="38" t="n">
        <x:v>95.83</x:v>
      </x:c>
      <x:c r="AF42" s="38" t="n">
        <x:v>4.8148</x:v>
      </x:c>
      <x:c r="AG42" s="38" t="n">
        <x:v>5.8</x:v>
      </x:c>
      <x:c r="AH42" s="38" t="n">
        <x:f>IF(E42="Fason",L42*S42,0)</x:f>
        <x:v>0</x:v>
      </x:c>
      <x:c r="AI42" s="38" t="n">
        <x:f>IF(E42="Kurum içi",AC42*AD42+AE42*AF42+AB42*12%,0)</x:f>
        <x:v>19530.318375100003</x:v>
      </x:c>
      <x:c r="AJ42" s="38" t="n">
        <x:f>V42*AG42</x:f>
        <x:v>1056.3825428952723</x:v>
      </x:c>
      <x:c r="AK42" s="38" t="n">
        <x:f>AB42*2%</x:f>
        <x:v>2737.9694318500005</x:v>
      </x:c>
      <x:c r="AL42" s="38" t="n">
        <x:f>AB42+AH42+AI42+AJ42+AK42</x:f>
        <x:v>160223.1419423453</x:v>
      </x:c>
      <x:c r="AM42" s="38" t="n">
        <x:f>AL42/V42</x:f>
        <x:v>879.6947938183897</x:v>
      </x:c>
      <x:c r="AN42" s="40" t="n">
        <x:f>(W42+X42)/AL42*100</x:f>
        <x:v>73.77027469760394</x:v>
      </x:c>
      <x:c r="AO42" s="28" t="str">
        <x:v>R01-R20; ilgili satırdaki bölgesel fiyat ve maliyet varsayımları</x:v>
      </x:c>
      <x:c r="AP42" s="28" t="str">
        <x:v>Girdi miktarları, alım fiyatı değişimi, fason bedeli ve parti sonucu simüle edilmiştir; işletme kaydı değildir.</x:v>
      </x:c>
    </x:row>
    <x:row r="43" ht="22" customHeight="1">
      <x:c r="A43" t="str">
        <x:v>SUC-0042</x:v>
      </x:c>
      <x:c r="B43" s="36" t="n">
        <x:v>46295</x:v>
      </x:c>
      <x:c r="C43" t="str">
        <x:v>Marmara</x:v>
      </x:c>
      <x:c r="D43" t="str">
        <x:v>MEB_STANDART</x:v>
      </x:c>
      <x:c r="E43" t="str">
        <x:v>Kurum içi</x:v>
      </x:c>
      <x:c r="F43" s="42" t="str">
        <x:v>SENTETİK/SİMÜLE — gerçek parti kaydı değildir</x:v>
      </x:c>
      <x:c r="G43" s="38" t="n">
        <x:v>305.315</x:v>
      </x:c>
      <x:c r="H43" s="38" t="n">
        <x:v>97.625</x:v>
      </x:c>
      <x:c r="I43" s="38" t="n">
        <x:v>18.524</x:v>
      </x:c>
      <x:c r="J43" s="38" t="n">
        <x:v>10.43</x:v>
      </x:c>
      <x:c r="K43" s="38" t="n">
        <x:v>4.42</x:v>
      </x:c>
      <x:c r="L43" s="38" t="n">
        <x:f>SUM(G43:K43)</x:f>
        <x:v>436.314</x:v>
      </x:c>
      <x:c r="M43" s="38" t="n">
        <x:v>573.805</x:v>
      </x:c>
      <x:c r="N43" s="38" t="n">
        <x:v>597.65</x:v>
      </x:c>
      <x:c r="O43" s="38" t="n">
        <x:v>412.84</x:v>
      </x:c>
      <x:c r="P43" s="38" t="n">
        <x:v>669.9</x:v>
      </x:c>
      <x:c r="Q43" s="38" t="n">
        <x:v>19.88</x:v>
      </x:c>
      <x:c r="R43" s="38" t="n">
        <x:v>43.7475</x:v>
      </x:c>
      <x:c r="S43" s="38" t="n">
        <x:v>101.17</x:v>
      </x:c>
      <x:c r="T43" s="40" t="n">
        <x:v>16.54</x:v>
      </x:c>
      <x:c r="U43" s="40" t="n">
        <x:v>0.36</x:v>
      </x:c>
      <x:c r="V43" s="38" t="n">
        <x:f>L43*(1-T43/100)*(1-U43/100)</x:f>
        <x:v>362.83673280816</x:v>
      </x:c>
      <x:c r="W43" s="38" t="n">
        <x:f>G43*N43</x:f>
        <x:v>182471.50975</x:v>
      </x:c>
      <x:c r="X43" s="38" t="n">
        <x:f>H43*O43</x:f>
        <x:v>40303.505</x:v>
      </x:c>
      <x:c r="Y43" s="38" t="n">
        <x:f>I43*P43</x:f>
        <x:v>12409.2276</x:v>
      </x:c>
      <x:c r="Z43" s="38" t="n">
        <x:f>J43*Q43+K43*P43</x:f>
        <x:v>3168.3063999999995</x:v>
      </x:c>
      <x:c r="AA43" s="38" t="n">
        <x:f>M43*R43</x:f>
        <x:v>25102.5342375</x:v>
      </x:c>
      <x:c r="AB43" s="38" t="n">
        <x:f>SUM(W43:AA43)</x:f>
        <x:v>263455.0829875</x:v>
      </x:c>
      <x:c r="AC43" s="38" t="n">
        <x:v>21.04</x:v>
      </x:c>
      <x:c r="AD43" s="38" t="n">
        <x:v>174.33</x:v>
      </x:c>
      <x:c r="AE43" s="38" t="n">
        <x:v>179.29</x:v>
      </x:c>
      <x:c r="AF43" s="38" t="n">
        <x:v>4.8148</x:v>
      </x:c>
      <x:c r="AG43" s="38" t="n">
        <x:v>5.14</x:v>
      </x:c>
      <x:c r="AH43" s="38" t="n">
        <x:f>IF(E43="Fason",L43*S43,0)</x:f>
        <x:v>0</x:v>
      </x:c>
      <x:c r="AI43" s="38" t="n">
        <x:f>IF(E43="Kurum içi",AC43*AD43+AE43*AF43+AB43*12%,0)</x:f>
        <x:v>36145.7586505</x:v>
      </x:c>
      <x:c r="AJ43" s="38" t="n">
        <x:f>V43*AG43</x:f>
        <x:v>1864.9808066339422</x:v>
      </x:c>
      <x:c r="AK43" s="38" t="n">
        <x:f>AB43*2%</x:f>
        <x:v>5269.10165975</x:v>
      </x:c>
      <x:c r="AL43" s="38" t="n">
        <x:f>AB43+AH43+AI43+AJ43+AK43</x:f>
        <x:v>306734.9241043839</x:v>
      </x:c>
      <x:c r="AM43" s="38" t="n">
        <x:f>AL43/V43</x:f>
        <x:v>845.3800190802667</x:v>
      </x:c>
      <x:c r="AN43" s="40" t="n">
        <x:f>(W43+X43)/AL43*100</x:f>
        <x:v>72.62786114116832</x:v>
      </x:c>
      <x:c r="AO43" s="28" t="str">
        <x:v>R01-R20; ilgili satırdaki bölgesel fiyat ve maliyet varsayımları</x:v>
      </x:c>
      <x:c r="AP43" s="28" t="str">
        <x:v>Girdi miktarları, alım fiyatı değişimi, fason bedeli ve parti sonucu simüle edilmiştir; işletme kaydı değildir.</x:v>
      </x:c>
    </x:row>
    <x:row r="44" ht="22" customHeight="1">
      <x:c r="A44" t="str">
        <x:v>SUC-0043</x:v>
      </x:c>
      <x:c r="B44" s="36" t="n">
        <x:v>46282</x:v>
      </x:c>
      <x:c r="C44" t="str">
        <x:v>Marmara</x:v>
      </x:c>
      <x:c r="D44" t="str">
        <x:v>MEB_STANDART</x:v>
      </x:c>
      <x:c r="E44" t="str">
        <x:v>Kurum içi</x:v>
      </x:c>
      <x:c r="F44" s="42" t="str">
        <x:v>SENTETİK/SİMÜLE — gerçek parti kaydı değildir</x:v>
      </x:c>
      <x:c r="G44" s="38" t="n">
        <x:v>194.046</x:v>
      </x:c>
      <x:c r="H44" s="38" t="n">
        <x:v>60.226</x:v>
      </x:c>
      <x:c r="I44" s="38" t="n">
        <x:v>12.204</x:v>
      </x:c>
      <x:c r="J44" s="38" t="n">
        <x:v>6.794</x:v>
      </x:c>
      <x:c r="K44" s="38" t="n">
        <x:v>2.872</x:v>
      </x:c>
      <x:c r="L44" s="38" t="n">
        <x:f>SUM(G44:K44)</x:f>
        <x:v>276.142</x:v>
      </x:c>
      <x:c r="M44" s="38" t="n">
        <x:v>348.915</x:v>
      </x:c>
      <x:c r="N44" s="38" t="n">
        <x:v>615.82</x:v>
      </x:c>
      <x:c r="O44" s="38" t="n">
        <x:v>456.85</x:v>
      </x:c>
      <x:c r="P44" s="38" t="n">
        <x:v>400</x:v>
      </x:c>
      <x:c r="Q44" s="38" t="n">
        <x:v>19.88</x:v>
      </x:c>
      <x:c r="R44" s="38" t="n">
        <x:v>43.7475</x:v>
      </x:c>
      <x:c r="S44" s="38" t="n">
        <x:v>123.89</x:v>
      </x:c>
      <x:c r="T44" s="40" t="n">
        <x:v>21.04</x:v>
      </x:c>
      <x:c r="U44" s="40" t="n">
        <x:v>1.48</x:v>
      </x:c>
      <x:c r="V44" s="38" t="n">
        <x:f>L44*(1-T44/100)*(1-U44/100)</x:f>
        <x:v>214.81470569663998</x:v>
      </x:c>
      <x:c r="W44" s="38" t="n">
        <x:f>G44*N44</x:f>
        <x:v>119497.40772</x:v>
      </x:c>
      <x:c r="X44" s="38" t="n">
        <x:f>H44*O44</x:f>
        <x:v>27514.2481</x:v>
      </x:c>
      <x:c r="Y44" s="38" t="n">
        <x:f>I44*P44</x:f>
        <x:v>4881.6</x:v>
      </x:c>
      <x:c r="Z44" s="38" t="n">
        <x:f>J44*Q44+K44*P44</x:f>
        <x:v>1283.86472</x:v>
      </x:c>
      <x:c r="AA44" s="38" t="n">
        <x:f>M44*R44</x:f>
        <x:v>15264.158962500002</x:v>
      </x:c>
      <x:c r="AB44" s="38" t="n">
        <x:f>SUM(W44:AA44)</x:f>
        <x:v>168441.27950250002</x:v>
      </x:c>
      <x:c r="AC44" s="38" t="n">
        <x:v>12.62</x:v>
      </x:c>
      <x:c r="AD44" s="38" t="n">
        <x:v>174.33</x:v>
      </x:c>
      <x:c r="AE44" s="38" t="n">
        <x:v>100.36</x:v>
      </x:c>
      <x:c r="AF44" s="38" t="n">
        <x:v>4.8148</x:v>
      </x:c>
      <x:c r="AG44" s="38" t="n">
        <x:v>5.18</x:v>
      </x:c>
      <x:c r="AH44" s="38" t="n">
        <x:f>IF(E44="Fason",L44*S44,0)</x:f>
        <x:v>0</x:v>
      </x:c>
      <x:c r="AI44" s="38" t="n">
        <x:f>IF(E44="Kurum içi",AC44*AD44+AE44*AF44+AB44*12%,0)</x:f>
        <x:v>22896.2114683</x:v>
      </x:c>
      <x:c r="AJ44" s="38" t="n">
        <x:f>V44*AG44</x:f>
        <x:v>1112.740175508595</x:v>
      </x:c>
      <x:c r="AK44" s="38" t="n">
        <x:f>AB44*2%</x:f>
        <x:v>3368.8255900500008</x:v>
      </x:c>
      <x:c r="AL44" s="38" t="n">
        <x:f>AB44+AH44+AI44+AJ44+AK44</x:f>
        <x:v>195819.05673635862</x:v>
      </x:c>
      <x:c r="AM44" s="38" t="n">
        <x:f>AL44/V44</x:f>
        <x:v>911.5719340597337</x:v>
      </x:c>
      <x:c r="AN44" s="40" t="n">
        <x:f>(W44+X44)/AL44*100</x:f>
        <x:v>75.07525481441239</x:v>
      </x:c>
      <x:c r="AO44" s="28" t="str">
        <x:v>R01-R20; ilgili satırdaki bölgesel fiyat ve maliyet varsayımları</x:v>
      </x:c>
      <x:c r="AP44" s="28" t="str">
        <x:v>Girdi miktarları, alım fiyatı değişimi, fason bedeli ve parti sonucu simüle edilmiştir; işletme kaydı değildir.</x:v>
      </x:c>
    </x:row>
    <x:row r="45" ht="22" customHeight="1">
      <x:c r="A45" t="str">
        <x:v>SUC-0044</x:v>
      </x:c>
      <x:c r="B45" s="36" t="n">
        <x:v>46278</x:v>
      </x:c>
      <x:c r="C45" t="str">
        <x:v>Ege</x:v>
      </x:c>
      <x:c r="D45" t="str">
        <x:v>ERZURUM_CI</x:v>
      </x:c>
      <x:c r="E45" t="str">
        <x:v>Kurum içi</x:v>
      </x:c>
      <x:c r="F45" s="42" t="str">
        <x:v>SENTETİK/SİMÜLE — gerçek parti kaydı değildir</x:v>
      </x:c>
      <x:c r="G45" s="38" t="n">
        <x:v>145.603</x:v>
      </x:c>
      <x:c r="H45" s="38" t="n">
        <x:v>24.292</x:v>
      </x:c>
      <x:c r="I45" s="38" t="n">
        <x:v>8.25</x:v>
      </x:c>
      <x:c r="J45" s="38" t="n">
        <x:v>3.123</x:v>
      </x:c>
      <x:c r="K45" s="38" t="n">
        <x:v>0.031</x:v>
      </x:c>
      <x:c r="L45" s="38" t="n">
        <x:f>SUM(G45:K45)</x:f>
        <x:v>181.299</x:v>
      </x:c>
      <x:c r="M45" s="38" t="n">
        <x:v>222.58</x:v>
      </x:c>
      <x:c r="N45" s="38" t="n">
        <x:v>610.67</x:v>
      </x:c>
      <x:c r="O45" s="38" t="n">
        <x:v>466.48</x:v>
      </x:c>
      <x:c r="P45" s="38" t="n">
        <x:v>400</x:v>
      </x:c>
      <x:c r="Q45" s="38" t="n">
        <x:v>19.88</x:v>
      </x:c>
      <x:c r="R45" s="38" t="n">
        <x:v>43.7475</x:v>
      </x:c>
      <x:c r="S45" s="38" t="n">
        <x:v>105.16</x:v>
      </x:c>
      <x:c r="T45" s="40" t="n">
        <x:v>26.37</x:v>
      </x:c>
      <x:c r="U45" s="40" t="n">
        <x:v>1.01</x:v>
      </x:c>
      <x:c r="V45" s="38" t="n">
        <x:f>L45*(1-T45/100)*(1-U45/100)</x:f>
        <x:v>132.14220011762998</x:v>
      </x:c>
      <x:c r="W45" s="38" t="n">
        <x:f>G45*N45</x:f>
        <x:v>88915.38401</x:v>
      </x:c>
      <x:c r="X45" s="38" t="n">
        <x:f>H45*O45</x:f>
        <x:v>11331.732160000001</x:v>
      </x:c>
      <x:c r="Y45" s="38" t="n">
        <x:f>I45*P45</x:f>
        <x:v>3300</x:v>
      </x:c>
      <x:c r="Z45" s="38" t="n">
        <x:f>J45*Q45+K45*P45</x:f>
        <x:v>74.48524</x:v>
      </x:c>
      <x:c r="AA45" s="38" t="n">
        <x:f>M45*R45</x:f>
        <x:v>9737.318550000002</x:v>
      </x:c>
      <x:c r="AB45" s="38" t="n">
        <x:f>SUM(W45:AA45)</x:f>
        <x:v>113358.91995999998</x:v>
      </x:c>
      <x:c r="AC45" s="38" t="n">
        <x:v>12.39</x:v>
      </x:c>
      <x:c r="AD45" s="38" t="n">
        <x:v>174.33</x:v>
      </x:c>
      <x:c r="AE45" s="38" t="n">
        <x:v>83.01</x:v>
      </x:c>
      <x:c r="AF45" s="38" t="n">
        <x:v>4.8148</x:v>
      </x:c>
      <x:c r="AG45" s="38" t="n">
        <x:v>5.81</x:v>
      </x:c>
      <x:c r="AH45" s="38" t="n">
        <x:f>IF(E45="Fason",L45*S45,0)</x:f>
        <x:v>0</x:v>
      </x:c>
      <x:c r="AI45" s="38" t="n">
        <x:f>IF(E45="Kurum içi",AC45*AD45+AE45*AF45+AB45*12%,0)</x:f>
        <x:v>16162.695643199999</x:v>
      </x:c>
      <x:c r="AJ45" s="38" t="n">
        <x:f>V45*AG45</x:f>
        <x:v>767.7461826834301</x:v>
      </x:c>
      <x:c r="AK45" s="38" t="n">
        <x:f>AB45*2%</x:f>
        <x:v>2267.1783991999996</x:v>
      </x:c>
      <x:c r="AL45" s="38" t="n">
        <x:f>AB45+AH45+AI45+AJ45+AK45</x:f>
        <x:v>132556.54018508343</x:v>
      </x:c>
      <x:c r="AM45" s="38" t="n">
        <x:f>AL45/V45</x:f>
        <x:v>1003.1355620466786</x:v>
      </x:c>
      <x:c r="AN45" s="40" t="n">
        <x:f>(W45+X45)/AL45*100</x:f>
        <x:v>75.6259299088743</x:v>
      </x:c>
      <x:c r="AO45" s="28" t="str">
        <x:v>R01-R20; ilgili satırdaki bölgesel fiyat ve maliyet varsayımları</x:v>
      </x:c>
      <x:c r="AP45" s="28" t="str">
        <x:v>Girdi miktarları, alım fiyatı değişimi, fason bedeli ve parti sonucu simüle edilmiştir; işletme kaydı değildir.</x:v>
      </x:c>
    </x:row>
    <x:row r="46" ht="22" customHeight="1">
      <x:c r="A46" t="str">
        <x:v>SUC-0045</x:v>
      </x:c>
      <x:c r="B46" s="36" t="n">
        <x:v>46308</x:v>
      </x:c>
      <x:c r="C46" t="str">
        <x:v>Doğu Anadolu</x:v>
      </x:c>
      <x:c r="D46" t="str">
        <x:v>MEB_STANDART</x:v>
      </x:c>
      <x:c r="E46" t="str">
        <x:v>Kurum içi</x:v>
      </x:c>
      <x:c r="F46" s="42" t="str">
        <x:v>SENTETİK/SİMÜLE — gerçek parti kaydı değildir</x:v>
      </x:c>
      <x:c r="G46" s="38" t="n">
        <x:v>209.224</x:v>
      </x:c>
      <x:c r="H46" s="38" t="n">
        <x:v>63.817</x:v>
      </x:c>
      <x:c r="I46" s="38" t="n">
        <x:v>14.03</x:v>
      </x:c>
      <x:c r="J46" s="38" t="n">
        <x:v>7.55</x:v>
      </x:c>
      <x:c r="K46" s="38" t="n">
        <x:v>3.287</x:v>
      </x:c>
      <x:c r="L46" s="38" t="n">
        <x:f>SUM(G46:K46)</x:f>
        <x:v>297.90799999999996</x:v>
      </x:c>
      <x:c r="M46" s="38" t="n">
        <x:v>362.482</x:v>
      </x:c>
      <x:c r="N46" s="38" t="n">
        <x:v>602.51</x:v>
      </x:c>
      <x:c r="O46" s="38" t="n">
        <x:v>432.65</x:v>
      </x:c>
      <x:c r="P46" s="38" t="n">
        <x:v>669.9</x:v>
      </x:c>
      <x:c r="Q46" s="38" t="n">
        <x:v>19.88</x:v>
      </x:c>
      <x:c r="R46" s="38" t="n">
        <x:v>43.7475</x:v>
      </x:c>
      <x:c r="S46" s="38" t="n">
        <x:v>123.04</x:v>
      </x:c>
      <x:c r="T46" s="40" t="n">
        <x:v>25.33</x:v>
      </x:c>
      <x:c r="U46" s="40" t="n">
        <x:v>0.62</x:v>
      </x:c>
      <x:c r="V46" s="38" t="n">
        <x:f>L46*(1-T46/100)*(1-U46/100)</x:f>
        <x:v>221.06872659767998</x:v>
      </x:c>
      <x:c r="W46" s="38" t="n">
        <x:f>G46*N46</x:f>
        <x:v>126059.55223999999</x:v>
      </x:c>
      <x:c r="X46" s="38" t="n">
        <x:f>H46*O46</x:f>
        <x:v>27610.425049999998</x:v>
      </x:c>
      <x:c r="Y46" s="38" t="n">
        <x:f>I46*P46</x:f>
        <x:v>9398.697</x:v>
      </x:c>
      <x:c r="Z46" s="38" t="n">
        <x:f>J46*Q46+K46*P46</x:f>
        <x:v>2352.0553</x:v>
      </x:c>
      <x:c r="AA46" s="38" t="n">
        <x:f>M46*R46</x:f>
        <x:v>15857.681295000002</x:v>
      </x:c>
      <x:c r="AB46" s="38" t="n">
        <x:f>SUM(W46:AA46)</x:f>
        <x:v>181278.41088500002</x:v>
      </x:c>
      <x:c r="AC46" s="38" t="n">
        <x:v>16.11</x:v>
      </x:c>
      <x:c r="AD46" s="38" t="n">
        <x:v>174.33</x:v>
      </x:c>
      <x:c r="AE46" s="38" t="n">
        <x:v>122.43</x:v>
      </x:c>
      <x:c r="AF46" s="38" t="n">
        <x:v>4.8148</x:v>
      </x:c>
      <x:c r="AG46" s="38" t="n">
        <x:v>5.16</x:v>
      </x:c>
      <x:c r="AH46" s="38" t="n">
        <x:f>IF(E46="Fason",L46*S46,0)</x:f>
        <x:v>0</x:v>
      </x:c>
      <x:c r="AI46" s="38" t="n">
        <x:f>IF(E46="Kurum içi",AC46*AD46+AE46*AF46+AB46*12%,0)</x:f>
        <x:v>25151.341570200002</x:v>
      </x:c>
      <x:c r="AJ46" s="38" t="n">
        <x:f>V46*AG46</x:f>
        <x:v>1140.7146292440289</x:v>
      </x:c>
      <x:c r="AK46" s="38" t="n">
        <x:f>AB46*2%</x:f>
        <x:v>3625.5682177000003</x:v>
      </x:c>
      <x:c r="AL46" s="38" t="n">
        <x:f>AB46+AH46+AI46+AJ46+AK46</x:f>
        <x:v>211196.03530214404</x:v>
      </x:c>
      <x:c r="AM46" s="38" t="n">
        <x:f>AL46/V46</x:f>
        <x:v>955.3410767435091</x:v>
      </x:c>
      <x:c r="AN46" s="40" t="n">
        <x:f>(W46+X46)/AL46*100</x:f>
        <x:v>72.76177181553368</x:v>
      </x:c>
      <x:c r="AO46" s="28" t="str">
        <x:v>R01-R20; ilgili satırdaki bölgesel fiyat ve maliyet varsayımları</x:v>
      </x:c>
      <x:c r="AP46" s="28" t="str">
        <x:v>Girdi miktarları, alım fiyatı değişimi, fason bedeli ve parti sonucu simüle edilmiştir; işletme kaydı değildir.</x:v>
      </x:c>
    </x:row>
    <x:row r="47" ht="22" customHeight="1">
      <x:c r="A47" t="str">
        <x:v>SUC-0046</x:v>
      </x:c>
      <x:c r="B47" s="36" t="n">
        <x:v>46308</x:v>
      </x:c>
      <x:c r="C47" t="str">
        <x:v>Ege</x:v>
      </x:c>
      <x:c r="D47" t="str">
        <x:v>ERZURUM_CI</x:v>
      </x:c>
      <x:c r="E47" t="str">
        <x:v>Kurum içi</x:v>
      </x:c>
      <x:c r="F47" s="42" t="str">
        <x:v>SENTETİK/SİMÜLE — gerçek parti kaydı değildir</x:v>
      </x:c>
      <x:c r="G47" s="38" t="n">
        <x:v>278.31</x:v>
      </x:c>
      <x:c r="H47" s="38" t="n">
        <x:v>51.769</x:v>
      </x:c>
      <x:c r="I47" s="38" t="n">
        <x:v>15.398</x:v>
      </x:c>
      <x:c r="J47" s="38" t="n">
        <x:v>6.007</x:v>
      </x:c>
      <x:c r="K47" s="38" t="n">
        <x:v>0.519</x:v>
      </x:c>
      <x:c r="L47" s="38" t="n">
        <x:f>SUM(G47:K47)</x:f>
        <x:v>352.00300000000004</x:v>
      </x:c>
      <x:c r="M47" s="38" t="n">
        <x:v>467.46</x:v>
      </x:c>
      <x:c r="N47" s="38" t="n">
        <x:v>595.53</x:v>
      </x:c>
      <x:c r="O47" s="38" t="n">
        <x:v>422.78</x:v>
      </x:c>
      <x:c r="P47" s="38" t="n">
        <x:v>400</x:v>
      </x:c>
      <x:c r="Q47" s="38" t="n">
        <x:v>19.88</x:v>
      </x:c>
      <x:c r="R47" s="38" t="n">
        <x:v>43.7475</x:v>
      </x:c>
      <x:c r="S47" s="38" t="n">
        <x:v>93.07</x:v>
      </x:c>
      <x:c r="T47" s="40" t="n">
        <x:v>17.1</x:v>
      </x:c>
      <x:c r="U47" s="40" t="n">
        <x:v>0.76</x:v>
      </x:c>
      <x:c r="V47" s="38" t="n">
        <x:f>L47*(1-T47/100)*(1-U47/100)</x:f>
        <x:v>289.5927272988</x:v>
      </x:c>
      <x:c r="W47" s="38" t="n">
        <x:f>G47*N47</x:f>
        <x:v>165741.95429999998</x:v>
      </x:c>
      <x:c r="X47" s="38" t="n">
        <x:f>H47*O47</x:f>
        <x:v>21886.89782</x:v>
      </x:c>
      <x:c r="Y47" s="38" t="n">
        <x:f>I47*P47</x:f>
        <x:v>6159.2</x:v>
      </x:c>
      <x:c r="Z47" s="38" t="n">
        <x:f>J47*Q47+K47*P47</x:f>
        <x:v>327.01916</x:v>
      </x:c>
      <x:c r="AA47" s="38" t="n">
        <x:f>M47*R47</x:f>
        <x:v>20450.20635</x:v>
      </x:c>
      <x:c r="AB47" s="38" t="n">
        <x:f>SUM(W47:AA47)</x:f>
        <x:v>214565.27763</x:v>
      </x:c>
      <x:c r="AC47" s="38" t="n">
        <x:v>15.28</x:v>
      </x:c>
      <x:c r="AD47" s="38" t="n">
        <x:v>174.33</x:v>
      </x:c>
      <x:c r="AE47" s="38" t="n">
        <x:v>96.42</x:v>
      </x:c>
      <x:c r="AF47" s="38" t="n">
        <x:v>4.8148</x:v>
      </x:c>
      <x:c r="AG47" s="38" t="n">
        <x:v>5.91</x:v>
      </x:c>
      <x:c r="AH47" s="38" t="n">
        <x:f>IF(E47="Fason",L47*S47,0)</x:f>
        <x:v>0</x:v>
      </x:c>
      <x:c r="AI47" s="38" t="n">
        <x:f>IF(E47="Kurum içi",AC47*AD47+AE47*AF47+AB47*12%,0)</x:f>
        <x:v>28875.838731599997</x:v>
      </x:c>
      <x:c r="AJ47" s="38" t="n">
        <x:f>V47*AG47</x:f>
        <x:v>1711.4930183359081</x:v>
      </x:c>
      <x:c r="AK47" s="38" t="n">
        <x:f>AB47*2%</x:f>
        <x:v>4291.3055526</x:v>
      </x:c>
      <x:c r="AL47" s="38" t="n">
        <x:f>AB47+AH47+AI47+AJ47+AK47</x:f>
        <x:v>249443.9149325359</x:v>
      </x:c>
      <x:c r="AM47" s="38" t="n">
        <x:f>AL47/V47</x:f>
        <x:v>861.3611165558077</x:v>
      </x:c>
      <x:c r="AN47" s="40" t="n">
        <x:f>(W47+X47)/AL47*100</x:f>
        <x:v>75.21885317216326</x:v>
      </x:c>
      <x:c r="AO47" s="28" t="str">
        <x:v>R01-R20; ilgili satırdaki bölgesel fiyat ve maliyet varsayımları</x:v>
      </x:c>
      <x:c r="AP47" s="28" t="str">
        <x:v>Girdi miktarları, alım fiyatı değişimi, fason bedeli ve parti sonucu simüle edilmiştir; işletme kaydı değildir.</x:v>
      </x:c>
    </x:row>
    <x:row r="48" ht="22" customHeight="1">
      <x:c r="A48" t="str">
        <x:v>SUC-0047</x:v>
      </x:c>
      <x:c r="B48" s="36" t="n">
        <x:v>46297</x:v>
      </x:c>
      <x:c r="C48" t="str">
        <x:v>Karadeniz</x:v>
      </x:c>
      <x:c r="D48" t="str">
        <x:v>MEB_STANDART</x:v>
      </x:c>
      <x:c r="E48" t="str">
        <x:v>Fason</x:v>
      </x:c>
      <x:c r="F48" s="42" t="str">
        <x:v>SENTETİK/SİMÜLE — gerçek parti kaydı değildir</x:v>
      </x:c>
      <x:c r="G48" s="38" t="n">
        <x:v>225.435</x:v>
      </x:c>
      <x:c r="H48" s="38" t="n">
        <x:v>67.602</x:v>
      </x:c>
      <x:c r="I48" s="38" t="n">
        <x:v>14.874</x:v>
      </x:c>
      <x:c r="J48" s="38" t="n">
        <x:v>8.019</x:v>
      </x:c>
      <x:c r="K48" s="38" t="n">
        <x:v>3.342</x:v>
      </x:c>
      <x:c r="L48" s="38" t="n">
        <x:f>SUM(G48:K48)</x:f>
        <x:v>319.27200000000005</x:v>
      </x:c>
      <x:c r="M48" s="38" t="n">
        <x:v>391.262</x:v>
      </x:c>
      <x:c r="N48" s="38" t="n">
        <x:v>598.57</x:v>
      </x:c>
      <x:c r="O48" s="38" t="n">
        <x:v>425.24</x:v>
      </x:c>
      <x:c r="P48" s="38" t="n">
        <x:v>400</x:v>
      </x:c>
      <x:c r="Q48" s="38" t="n">
        <x:v>19.88</x:v>
      </x:c>
      <x:c r="R48" s="38" t="n">
        <x:v>43.7475</x:v>
      </x:c>
      <x:c r="S48" s="38" t="n">
        <x:v>110.01</x:v>
      </x:c>
      <x:c r="T48" s="40" t="n">
        <x:v>24.76</x:v>
      </x:c>
      <x:c r="U48" s="40" t="n">
        <x:v>0.99</x:v>
      </x:c>
      <x:c r="V48" s="38" t="n">
        <x:f>L48*(1-T48/100)*(1-U48/100)</x:f>
        <x:v>237.84207229728003</x:v>
      </x:c>
      <x:c r="W48" s="38" t="n">
        <x:f>G48*N48</x:f>
        <x:v>134938.62795000002</x:v>
      </x:c>
      <x:c r="X48" s="38" t="n">
        <x:f>H48*O48</x:f>
        <x:v>28747.074480000003</x:v>
      </x:c>
      <x:c r="Y48" s="38" t="n">
        <x:f>I48*P48</x:f>
        <x:v>5949.6</x:v>
      </x:c>
      <x:c r="Z48" s="38" t="n">
        <x:f>J48*Q48+K48*P48</x:f>
        <x:v>1496.2177199999999</x:v>
      </x:c>
      <x:c r="AA48" s="38" t="n">
        <x:f>M48*R48</x:f>
        <x:v>17116.734345</x:v>
      </x:c>
      <x:c r="AB48" s="38" t="n">
        <x:f>SUM(W48:AA48)</x:f>
        <x:v>188248.25449500003</x:v>
      </x:c>
      <x:c r="AC48" s="38" t="n">
        <x:v>16.69</x:v>
      </x:c>
      <x:c r="AD48" s="38" t="n">
        <x:v>174.33</x:v>
      </x:c>
      <x:c r="AE48" s="38" t="n">
        <x:v>135.09</x:v>
      </x:c>
      <x:c r="AF48" s="38" t="n">
        <x:v>4.8148</x:v>
      </x:c>
      <x:c r="AG48" s="38" t="n">
        <x:v>5.44</x:v>
      </x:c>
      <x:c r="AH48" s="38" t="n">
        <x:f>IF(E48="Fason",L48*S48,0)</x:f>
        <x:v>35123.112720000005</x:v>
      </x:c>
      <x:c r="AI48" s="38" t="n">
        <x:f>IF(E48="Kurum içi",AC48*AD48+AE48*AF48+AB48*12%,0)</x:f>
        <x:v>0</x:v>
      </x:c>
      <x:c r="AJ48" s="38" t="n">
        <x:f>V48*AG48</x:f>
        <x:v>1293.8608732972034</x:v>
      </x:c>
      <x:c r="AK48" s="38" t="n">
        <x:f>AB48*2%</x:f>
        <x:v>3764.9650899000007</x:v>
      </x:c>
      <x:c r="AL48" s="38" t="n">
        <x:f>AB48+AH48+AI48+AJ48+AK48</x:f>
        <x:v>228430.19317819725</x:v>
      </x:c>
      <x:c r="AM48" s="38" t="n">
        <x:f>AL48/V48</x:f>
        <x:v>960.4280309695637</x:v>
      </x:c>
      <x:c r="AN48" s="40" t="n">
        <x:f>(W48+X48)/AL48*100</x:f>
        <x:v>71.65677187967425</x:v>
      </x:c>
      <x:c r="AO48" s="28" t="str">
        <x:v>R01-R20; ilgili satırdaki bölgesel fiyat ve maliyet varsayımları</x:v>
      </x:c>
      <x:c r="AP48" s="28" t="str">
        <x:v>Girdi miktarları, alım fiyatı değişimi, fason bedeli ve parti sonucu simüle edilmiştir; işletme kaydı değildir.</x:v>
      </x:c>
    </x:row>
    <x:row r="49" ht="22" customHeight="1">
      <x:c r="A49" t="str">
        <x:v>SUC-0048</x:v>
      </x:c>
      <x:c r="B49" s="36" t="n">
        <x:v>46271</x:v>
      </x:c>
      <x:c r="C49" t="str">
        <x:v>Karadeniz</x:v>
      </x:c>
      <x:c r="D49" t="str">
        <x:v>MEB_STANDART</x:v>
      </x:c>
      <x:c r="E49" t="str">
        <x:v>Kurum içi</x:v>
      </x:c>
      <x:c r="F49" s="42" t="str">
        <x:v>SENTETİK/SİMÜLE — gerçek parti kaydı değildir</x:v>
      </x:c>
      <x:c r="G49" s="38" t="n">
        <x:v>217.739</x:v>
      </x:c>
      <x:c r="H49" s="38" t="n">
        <x:v>65.042</x:v>
      </x:c>
      <x:c r="I49" s="38" t="n">
        <x:v>13.02</x:v>
      </x:c>
      <x:c r="J49" s="38" t="n">
        <x:v>8.012</x:v>
      </x:c>
      <x:c r="K49" s="38" t="n">
        <x:v>2.764</x:v>
      </x:c>
      <x:c r="L49" s="38" t="n">
        <x:f>SUM(G49:K49)</x:f>
        <x:v>306.577</x:v>
      </x:c>
      <x:c r="M49" s="38" t="n">
        <x:v>397.829</x:v>
      </x:c>
      <x:c r="N49" s="38" t="n">
        <x:v>613.86</x:v>
      </x:c>
      <x:c r="O49" s="38" t="n">
        <x:v>468.47</x:v>
      </x:c>
      <x:c r="P49" s="38" t="n">
        <x:v>669.9</x:v>
      </x:c>
      <x:c r="Q49" s="38" t="n">
        <x:v>19.88</x:v>
      </x:c>
      <x:c r="R49" s="38" t="n">
        <x:v>43.7475</x:v>
      </x:c>
      <x:c r="S49" s="38" t="n">
        <x:v>118.81</x:v>
      </x:c>
      <x:c r="T49" s="40" t="n">
        <x:v>17.93</x:v>
      </x:c>
      <x:c r="U49" s="40" t="n">
        <x:v>0.84</x:v>
      </x:c>
      <x:c r="V49" s="38" t="n">
        <x:f>L49*(1-T49/100)*(1-U49/100)</x:f>
        <x:v>249.49423885124</x:v>
      </x:c>
      <x:c r="W49" s="38" t="n">
        <x:f>G49*N49</x:f>
        <x:v>133661.26254</x:v>
      </x:c>
      <x:c r="X49" s="38" t="n">
        <x:f>H49*O49</x:f>
        <x:v>30470.22574</x:v>
      </x:c>
      <x:c r="Y49" s="38" t="n">
        <x:f>I49*P49</x:f>
        <x:v>8722.098</x:v>
      </x:c>
      <x:c r="Z49" s="38" t="n">
        <x:f>J49*Q49+K49*P49</x:f>
        <x:v>2010.8821599999997</x:v>
      </x:c>
      <x:c r="AA49" s="38" t="n">
        <x:f>M49*R49</x:f>
        <x:v>17404.0241775</x:v>
      </x:c>
      <x:c r="AB49" s="38" t="n">
        <x:f>SUM(W49:AA49)</x:f>
        <x:v>192268.4926175</x:v>
      </x:c>
      <x:c r="AC49" s="38" t="n">
        <x:v>15.23</x:v>
      </x:c>
      <x:c r="AD49" s="38" t="n">
        <x:v>174.33</x:v>
      </x:c>
      <x:c r="AE49" s="38" t="n">
        <x:v>113.03</x:v>
      </x:c>
      <x:c r="AF49" s="38" t="n">
        <x:v>4.8148</x:v>
      </x:c>
      <x:c r="AG49" s="38" t="n">
        <x:v>5.87</x:v>
      </x:c>
      <x:c r="AH49" s="38" t="n">
        <x:f>IF(E49="Fason",L49*S49,0)</x:f>
        <x:v>0</x:v>
      </x:c>
      <x:c r="AI49" s="38" t="n">
        <x:f>IF(E49="Kurum içi",AC49*AD49+AE49*AF49+AB49*12%,0)</x:f>
        <x:v>26271.481858099996</x:v>
      </x:c>
      <x:c r="AJ49" s="38" t="n">
        <x:f>V49*AG49</x:f>
        <x:v>1464.5311820567788</x:v>
      </x:c>
      <x:c r="AK49" s="38" t="n">
        <x:f>AB49*2%</x:f>
        <x:v>3845.3698523499997</x:v>
      </x:c>
      <x:c r="AL49" s="38" t="n">
        <x:f>AB49+AH49+AI49+AJ49+AK49</x:f>
        <x:v>223849.87551000676</x:v>
      </x:c>
      <x:c r="AM49" s="38" t="n">
        <x:f>AL49/V49</x:f>
        <x:v>897.2146072017174</x:v>
      </x:c>
      <x:c r="AN49" s="40" t="n">
        <x:f>(W49+X49)/AL49*100</x:f>
        <x:v>73.32212622680811</x:v>
      </x:c>
      <x:c r="AO49" s="28" t="str">
        <x:v>R01-R20; ilgili satırdaki bölgesel fiyat ve maliyet varsayımları</x:v>
      </x:c>
      <x:c r="AP49" s="28" t="str">
        <x:v>Girdi miktarları, alım fiyatı değişimi, fason bedeli ve parti sonucu simüle edilmiştir; işletme kaydı değildir.</x:v>
      </x:c>
    </x:row>
    <x:row r="50" ht="22" customHeight="1">
      <x:c r="A50" t="str">
        <x:v>SUC-0049</x:v>
      </x:c>
      <x:c r="B50" s="36" t="n">
        <x:v>46293</x:v>
      </x:c>
      <x:c r="C50" t="str">
        <x:v>Akdeniz</x:v>
      </x:c>
      <x:c r="D50" t="str">
        <x:v>MEB_STANDART</x:v>
      </x:c>
      <x:c r="E50" t="str">
        <x:v>Fason</x:v>
      </x:c>
      <x:c r="F50" s="42" t="str">
        <x:v>SENTETİK/SİMÜLE — gerçek parti kaydı değildir</x:v>
      </x:c>
      <x:c r="G50" s="38" t="n">
        <x:v>59.24</x:v>
      </x:c>
      <x:c r="H50" s="38" t="n">
        <x:v>18.813</x:v>
      </x:c>
      <x:c r="I50" s="38" t="n">
        <x:v>3.561</x:v>
      </x:c>
      <x:c r="J50" s="38" t="n">
        <x:v>1.986</x:v>
      </x:c>
      <x:c r="K50" s="38" t="n">
        <x:v>0.82</x:v>
      </x:c>
      <x:c r="L50" s="38" t="n">
        <x:f>SUM(G50:K50)</x:f>
        <x:v>84.42</x:v>
      </x:c>
      <x:c r="M50" s="38" t="n">
        <x:v>100.994</x:v>
      </x:c>
      <x:c r="N50" s="38" t="n">
        <x:v>594.66</x:v>
      </x:c>
      <x:c r="O50" s="38" t="n">
        <x:v>468.71</x:v>
      </x:c>
      <x:c r="P50" s="38" t="n">
        <x:v>400</x:v>
      </x:c>
      <x:c r="Q50" s="38" t="n">
        <x:v>19.88</x:v>
      </x:c>
      <x:c r="R50" s="38" t="n">
        <x:v>43.7475</x:v>
      </x:c>
      <x:c r="S50" s="38" t="n">
        <x:v>101.32</x:v>
      </x:c>
      <x:c r="T50" s="40" t="n">
        <x:v>26.74</x:v>
      </x:c>
      <x:c r="U50" s="40" t="n">
        <x:v>1.13</x:v>
      </x:c>
      <x:c r="V50" s="38" t="n">
        <x:f>L50*(1-T50/100)*(1-U50/100)</x:f>
        <x:v>61.147231160400004</x:v>
      </x:c>
      <x:c r="W50" s="38" t="n">
        <x:f>G50*N50</x:f>
        <x:v>35227.6584</x:v>
      </x:c>
      <x:c r="X50" s="38" t="n">
        <x:f>H50*O50</x:f>
        <x:v>8817.841229999998</x:v>
      </x:c>
      <x:c r="Y50" s="38" t="n">
        <x:f>I50*P50</x:f>
        <x:v>1424.4</x:v>
      </x:c>
      <x:c r="Z50" s="38" t="n">
        <x:f>J50*Q50+K50*P50</x:f>
        <x:v>367.48168</x:v>
      </x:c>
      <x:c r="AA50" s="38" t="n">
        <x:f>M50*R50</x:f>
        <x:v>4418.235015</x:v>
      </x:c>
      <x:c r="AB50" s="38" t="n">
        <x:f>SUM(W50:AA50)</x:f>
        <x:v>50255.616324999995</x:v>
      </x:c>
      <x:c r="AC50" s="38" t="n">
        <x:v>5.22</x:v>
      </x:c>
      <x:c r="AD50" s="38" t="n">
        <x:v>174.33</x:v>
      </x:c>
      <x:c r="AE50" s="38" t="n">
        <x:v>26.74</x:v>
      </x:c>
      <x:c r="AF50" s="38" t="n">
        <x:v>4.8148</x:v>
      </x:c>
      <x:c r="AG50" s="38" t="n">
        <x:v>5.28</x:v>
      </x:c>
      <x:c r="AH50" s="38" t="n">
        <x:f>IF(E50="Fason",L50*S50,0)</x:f>
        <x:v>8553.4344</x:v>
      </x:c>
      <x:c r="AI50" s="38" t="n">
        <x:f>IF(E50="Kurum içi",AC50*AD50+AE50*AF50+AB50*12%,0)</x:f>
        <x:v>0</x:v>
      </x:c>
      <x:c r="AJ50" s="38" t="n">
        <x:f>V50*AG50</x:f>
        <x:v>322.85738052691204</x:v>
      </x:c>
      <x:c r="AK50" s="38" t="n">
        <x:f>AB50*2%</x:f>
        <x:v>1005.1123264999999</x:v>
      </x:c>
      <x:c r="AL50" s="38" t="n">
        <x:f>AB50+AH50+AI50+AJ50+AK50</x:f>
        <x:v>60137.020432026904</x:v>
      </x:c>
      <x:c r="AM50" s="38" t="n">
        <x:f>AL50/V50</x:f>
        <x:v>983.4790437898465</x:v>
      </x:c>
      <x:c r="AN50" s="40" t="n">
        <x:f>(W50+X50)/AL50*100</x:f>
        <x:v>73.24190542460411</x:v>
      </x:c>
      <x:c r="AO50" s="28" t="str">
        <x:v>R01-R20; ilgili satırdaki bölgesel fiyat ve maliyet varsayımları</x:v>
      </x:c>
      <x:c r="AP50" s="28" t="str">
        <x:v>Girdi miktarları, alım fiyatı değişimi, fason bedeli ve parti sonucu simüle edilmiştir; işletme kaydı değildir.</x:v>
      </x:c>
    </x:row>
    <x:row r="51" ht="22" customHeight="1">
      <x:c r="A51" t="str">
        <x:v>SUC-0050</x:v>
      </x:c>
      <x:c r="B51" s="36" t="n">
        <x:v>46313</x:v>
      </x:c>
      <x:c r="C51" t="str">
        <x:v>Ege</x:v>
      </x:c>
      <x:c r="D51" t="str">
        <x:v>ERZURUM_CI</x:v>
      </x:c>
      <x:c r="E51" t="str">
        <x:v>Fason</x:v>
      </x:c>
      <x:c r="F51" s="42" t="str">
        <x:v>SENTETİK/SİMÜLE — gerçek parti kaydı değildir</x:v>
      </x:c>
      <x:c r="G51" s="38" t="n">
        <x:v>261.46</x:v>
      </x:c>
      <x:c r="H51" s="38" t="n">
        <x:v>45.456</x:v>
      </x:c>
      <x:c r="I51" s="38" t="n">
        <x:v>15.474</x:v>
      </x:c>
      <x:c r="J51" s="38" t="n">
        <x:v>4.617</x:v>
      </x:c>
      <x:c r="K51" s="38" t="n">
        <x:v>0.432</x:v>
      </x:c>
      <x:c r="L51" s="38" t="n">
        <x:f>SUM(G51:K51)</x:f>
        <x:v>327.439</x:v>
      </x:c>
      <x:c r="M51" s="38" t="n">
        <x:v>399.351</x:v>
      </x:c>
      <x:c r="N51" s="38" t="n">
        <x:v>615.91</x:v>
      </x:c>
      <x:c r="O51" s="38" t="n">
        <x:v>415.96</x:v>
      </x:c>
      <x:c r="P51" s="38" t="n">
        <x:v>669.9</x:v>
      </x:c>
      <x:c r="Q51" s="38" t="n">
        <x:v>19.88</x:v>
      </x:c>
      <x:c r="R51" s="38" t="n">
        <x:v>43.7475</x:v>
      </x:c>
      <x:c r="S51" s="38" t="n">
        <x:v>111.11</x:v>
      </x:c>
      <x:c r="T51" s="40" t="n">
        <x:v>19.37</x:v>
      </x:c>
      <x:c r="U51" s="40" t="n">
        <x:v>0.49</x:v>
      </x:c>
      <x:c r="V51" s="38" t="n">
        <x:f>L51*(1-T51/100)*(1-U51/100)</x:f>
        <x:v>262.72039677807</x:v>
      </x:c>
      <x:c r="W51" s="38" t="n">
        <x:f>G51*N51</x:f>
        <x:v>161035.82859999998</x:v>
      </x:c>
      <x:c r="X51" s="38" t="n">
        <x:f>H51*O51</x:f>
        <x:v>18907.87776</x:v>
      </x:c>
      <x:c r="Y51" s="38" t="n">
        <x:f>I51*P51</x:f>
        <x:v>10366.0326</x:v>
      </x:c>
      <x:c r="Z51" s="38" t="n">
        <x:f>J51*Q51+K51*P51</x:f>
        <x:v>381.18276</x:v>
      </x:c>
      <x:c r="AA51" s="38" t="n">
        <x:f>M51*R51</x:f>
        <x:v>17470.6078725</x:v>
      </x:c>
      <x:c r="AB51" s="38" t="n">
        <x:f>SUM(W51:AA51)</x:f>
        <x:v>208161.52959249998</x:v>
      </x:c>
      <x:c r="AC51" s="38" t="n">
        <x:v>14.75</x:v>
      </x:c>
      <x:c r="AD51" s="38" t="n">
        <x:v>174.33</x:v>
      </x:c>
      <x:c r="AE51" s="38" t="n">
        <x:v>113.55</x:v>
      </x:c>
      <x:c r="AF51" s="38" t="n">
        <x:v>4.8148</x:v>
      </x:c>
      <x:c r="AG51" s="38" t="n">
        <x:v>5.28</x:v>
      </x:c>
      <x:c r="AH51" s="38" t="n">
        <x:f>IF(E51="Fason",L51*S51,0)</x:f>
        <x:v>36381.74729</x:v>
      </x:c>
      <x:c r="AI51" s="38" t="n">
        <x:f>IF(E51="Kurum içi",AC51*AD51+AE51*AF51+AB51*12%,0)</x:f>
        <x:v>0</x:v>
      </x:c>
      <x:c r="AJ51" s="38" t="n">
        <x:f>V51*AG51</x:f>
        <x:v>1387.1636949882095</x:v>
      </x:c>
      <x:c r="AK51" s="38" t="n">
        <x:f>AB51*2%</x:f>
        <x:v>4163.23059185</x:v>
      </x:c>
      <x:c r="AL51" s="38" t="n">
        <x:f>AB51+AH51+AI51+AJ51+AK51</x:f>
        <x:v>250093.6711693382</x:v>
      </x:c>
      <x:c r="AM51" s="38" t="n">
        <x:f>AL51/V51</x:f>
        <x:v>951.9385408838352</x:v>
      </x:c>
      <x:c r="AN51" s="40" t="n">
        <x:f>(W51+X51)/AL51*100</x:f>
        <x:v>71.95052378521017</x:v>
      </x:c>
      <x:c r="AO51" s="28" t="str">
        <x:v>R01-R20; ilgili satırdaki bölgesel fiyat ve maliyet varsayımları</x:v>
      </x:c>
      <x:c r="AP51" s="28" t="str">
        <x:v>Girdi miktarları, alım fiyatı değişimi, fason bedeli ve parti sonucu simüle edilmiştir; işletme kaydı değildir.</x:v>
      </x:c>
    </x:row>
    <x:row r="52" ht="22" customHeight="1">
      <x:c r="A52" t="str">
        <x:v>SUC-0051</x:v>
      </x:c>
      <x:c r="B52" s="36" t="n">
        <x:v>46272</x:v>
      </x:c>
      <x:c r="C52" t="str">
        <x:v>Doğu Anadolu</x:v>
      </x:c>
      <x:c r="D52" t="str">
        <x:v>ERZURUM_CI</x:v>
      </x:c>
      <x:c r="E52" t="str">
        <x:v>Kurum içi</x:v>
      </x:c>
      <x:c r="F52" s="42" t="str">
        <x:v>SENTETİK/SİMÜLE — gerçek parti kaydı değildir</x:v>
      </x:c>
      <x:c r="G52" s="38" t="n">
        <x:v>296.536</x:v>
      </x:c>
      <x:c r="H52" s="38" t="n">
        <x:v>52.821</x:v>
      </x:c>
      <x:c r="I52" s="38" t="n">
        <x:v>18.02</x:v>
      </x:c>
      <x:c r="J52" s="38" t="n">
        <x:v>5.672</x:v>
      </x:c>
      <x:c r="K52" s="38" t="n">
        <x:v>0.037</x:v>
      </x:c>
      <x:c r="L52" s="38" t="n">
        <x:f>SUM(G52:K52)</x:f>
        <x:v>373.08599999999996</x:v>
      </x:c>
      <x:c r="M52" s="38" t="n">
        <x:v>507.543</x:v>
      </x:c>
      <x:c r="N52" s="38" t="n">
        <x:v>594.41</x:v>
      </x:c>
      <x:c r="O52" s="38" t="n">
        <x:v>463.82</x:v>
      </x:c>
      <x:c r="P52" s="38" t="n">
        <x:v>550</x:v>
      </x:c>
      <x:c r="Q52" s="38" t="n">
        <x:v>19.88</x:v>
      </x:c>
      <x:c r="R52" s="38" t="n">
        <x:v>43.7475</x:v>
      </x:c>
      <x:c r="S52" s="38" t="n">
        <x:v>112.43</x:v>
      </x:c>
      <x:c r="T52" s="40" t="n">
        <x:v>18.75</x:v>
      </x:c>
      <x:c r="U52" s="40" t="n">
        <x:v>1.23</x:v>
      </x:c>
      <x:c r="V52" s="38" t="n">
        <x:f>L52*(1-T52/100)*(1-U52/100)</x:f>
        <x:v>299.40384678749996</x:v>
      </x:c>
      <x:c r="W52" s="38" t="n">
        <x:f>G52*N52</x:f>
        <x:v>176263.96375999998</x:v>
      </x:c>
      <x:c r="X52" s="38" t="n">
        <x:f>H52*O52</x:f>
        <x:v>24499.43622</x:v>
      </x:c>
      <x:c r="Y52" s="38" t="n">
        <x:f>I52*P52</x:f>
        <x:v>9911</x:v>
      </x:c>
      <x:c r="Z52" s="38" t="n">
        <x:f>J52*Q52+K52*P52</x:f>
        <x:v>133.10935999999998</x:v>
      </x:c>
      <x:c r="AA52" s="38" t="n">
        <x:f>M52*R52</x:f>
        <x:v>22203.737392500003</x:v>
      </x:c>
      <x:c r="AB52" s="38" t="n">
        <x:f>SUM(W52:AA52)</x:f>
        <x:v>233011.2467325</x:v>
      </x:c>
      <x:c r="AC52" s="38" t="n">
        <x:v>24.93</x:v>
      </x:c>
      <x:c r="AD52" s="38" t="n">
        <x:v>174.33</x:v>
      </x:c>
      <x:c r="AE52" s="38" t="n">
        <x:v>128.67</x:v>
      </x:c>
      <x:c r="AF52" s="38" t="n">
        <x:v>4.8148</x:v>
      </x:c>
      <x:c r="AG52" s="38" t="n">
        <x:v>5.82</x:v>
      </x:c>
      <x:c r="AH52" s="38" t="n">
        <x:f>IF(E52="Fason",L52*S52,0)</x:f>
        <x:v>0</x:v>
      </x:c>
      <x:c r="AI52" s="38" t="n">
        <x:f>IF(E52="Kurum içi",AC52*AD52+AE52*AF52+AB52*12%,0)</x:f>
        <x:v>32926.9168239</x:v>
      </x:c>
      <x:c r="AJ52" s="38" t="n">
        <x:f>V52*AG52</x:f>
        <x:v>1742.5303883032498</x:v>
      </x:c>
      <x:c r="AK52" s="38" t="n">
        <x:f>AB52*2%</x:f>
        <x:v>4660.22493465</x:v>
      </x:c>
      <x:c r="AL52" s="38" t="n">
        <x:f>AB52+AH52+AI52+AJ52+AK52</x:f>
        <x:v>272340.91887935327</x:v>
      </x:c>
      <x:c r="AM52" s="38" t="n">
        <x:f>AL52/V52</x:f>
        <x:v>909.6106205764469</x:v>
      </x:c>
      <x:c r="AN52" s="40" t="n">
        <x:f>(W52+X52)/AL52*100</x:f>
        <x:v>73.71767738983725</x:v>
      </x:c>
      <x:c r="AO52" s="28" t="str">
        <x:v>R01-R20; ilgili satırdaki bölgesel fiyat ve maliyet varsayımları</x:v>
      </x:c>
      <x:c r="AP52" s="28" t="str">
        <x:v>Girdi miktarları, alım fiyatı değişimi, fason bedeli ve parti sonucu simüle edilmiştir; işletme kaydı değildir.</x:v>
      </x:c>
    </x:row>
    <x:row r="53" ht="22" customHeight="1">
      <x:c r="A53" t="str">
        <x:v>SUC-0052</x:v>
      </x:c>
      <x:c r="B53" s="36" t="n">
        <x:v>46272</x:v>
      </x:c>
      <x:c r="C53" t="str">
        <x:v>Marmara</x:v>
      </x:c>
      <x:c r="D53" t="str">
        <x:v>ERZURUM_CI</x:v>
      </x:c>
      <x:c r="E53" t="str">
        <x:v>Kurum içi</x:v>
      </x:c>
      <x:c r="F53" s="42" t="str">
        <x:v>SENTETİK/SİMÜLE — gerçek parti kaydı değildir</x:v>
      </x:c>
      <x:c r="G53" s="38" t="n">
        <x:v>315.049</x:v>
      </x:c>
      <x:c r="H53" s="38" t="n">
        <x:v>52.066</x:v>
      </x:c>
      <x:c r="I53" s="38" t="n">
        <x:v>18.723</x:v>
      </x:c>
      <x:c r="J53" s="38" t="n">
        <x:v>6.432</x:v>
      </x:c>
      <x:c r="K53" s="38" t="n">
        <x:v>0.039</x:v>
      </x:c>
      <x:c r="L53" s="38" t="n">
        <x:f>SUM(G53:K53)</x:f>
        <x:v>392.309</x:v>
      </x:c>
      <x:c r="M53" s="38" t="n">
        <x:v>513.957</x:v>
      </x:c>
      <x:c r="N53" s="38" t="n">
        <x:v>617.27</x:v>
      </x:c>
      <x:c r="O53" s="38" t="n">
        <x:v>410.28</x:v>
      </x:c>
      <x:c r="P53" s="38" t="n">
        <x:v>550</x:v>
      </x:c>
      <x:c r="Q53" s="38" t="n">
        <x:v>19.88</x:v>
      </x:c>
      <x:c r="R53" s="38" t="n">
        <x:v>43.7475</x:v>
      </x:c>
      <x:c r="S53" s="38" t="n">
        <x:v>118.39</x:v>
      </x:c>
      <x:c r="T53" s="40" t="n">
        <x:v>17.86</x:v>
      </x:c>
      <x:c r="U53" s="40" t="n">
        <x:v>0.71</x:v>
      </x:c>
      <x:c r="V53" s="38" t="n">
        <x:f>L53*(1-T53/100)*(1-U53/100)</x:f>
        <x:v>319.95469005054</x:v>
      </x:c>
      <x:c r="W53" s="38" t="n">
        <x:f>G53*N53</x:f>
        <x:v>194470.29622999998</x:v>
      </x:c>
      <x:c r="X53" s="38" t="n">
        <x:f>H53*O53</x:f>
        <x:v>21361.638479999998</x:v>
      </x:c>
      <x:c r="Y53" s="38" t="n">
        <x:f>I53*P53</x:f>
        <x:v>10297.65</x:v>
      </x:c>
      <x:c r="Z53" s="38" t="n">
        <x:f>J53*Q53+K53*P53</x:f>
        <x:v>149.31816</x:v>
      </x:c>
      <x:c r="AA53" s="38" t="n">
        <x:f>M53*R53</x:f>
        <x:v>22484.3338575</x:v>
      </x:c>
      <x:c r="AB53" s="38" t="n">
        <x:f>SUM(W53:AA53)</x:f>
        <x:v>248763.23672749996</x:v>
      </x:c>
      <x:c r="AC53" s="38" t="n">
        <x:v>26.48</x:v>
      </x:c>
      <x:c r="AD53" s="38" t="n">
        <x:v>174.33</x:v>
      </x:c>
      <x:c r="AE53" s="38" t="n">
        <x:v>112.89</x:v>
      </x:c>
      <x:c r="AF53" s="38" t="n">
        <x:v>4.8148</x:v>
      </x:c>
      <x:c r="AG53" s="38" t="n">
        <x:v>5.72</x:v>
      </x:c>
      <x:c r="AH53" s="38" t="n">
        <x:f>IF(E53="Fason",L53*S53,0)</x:f>
        <x:v>0</x:v>
      </x:c>
      <x:c r="AI53" s="38" t="n">
        <x:f>IF(E53="Kurum içi",AC53*AD53+AE53*AF53+AB53*12%,0)</x:f>
        <x:v>35011.3895793</x:v>
      </x:c>
      <x:c r="AJ53" s="38" t="n">
        <x:f>V53*AG53</x:f>
        <x:v>1830.1408270890888</x:v>
      </x:c>
      <x:c r="AK53" s="38" t="n">
        <x:f>AB53*2%</x:f>
        <x:v>4975.264734549999</x:v>
      </x:c>
      <x:c r="AL53" s="38" t="n">
        <x:f>AB53+AH53+AI53+AJ53+AK53</x:f>
        <x:v>290580.031868439</x:v>
      </x:c>
      <x:c r="AM53" s="38" t="n">
        <x:f>AL53/V53</x:f>
        <x:v>908.1911936422591</x:v>
      </x:c>
      <x:c r="AN53" s="40" t="n">
        <x:f>(W53+X53)/AL53*100</x:f>
        <x:v>74.27624442126792</x:v>
      </x:c>
      <x:c r="AO53" s="28" t="str">
        <x:v>R01-R20; ilgili satırdaki bölgesel fiyat ve maliyet varsayımları</x:v>
      </x:c>
      <x:c r="AP53" s="28" t="str">
        <x:v>Girdi miktarları, alım fiyatı değişimi, fason bedeli ve parti sonucu simüle edilmiştir; işletme kaydı değildir.</x:v>
      </x:c>
    </x:row>
    <x:row r="54" ht="22" customHeight="1">
      <x:c r="A54" t="str">
        <x:v>SUC-0053</x:v>
      </x:c>
      <x:c r="B54" s="36" t="n">
        <x:v>46307</x:v>
      </x:c>
      <x:c r="C54" t="str">
        <x:v>Doğu Anadolu</x:v>
      </x:c>
      <x:c r="D54" t="str">
        <x:v>MEB_STANDART</x:v>
      </x:c>
      <x:c r="E54" t="str">
        <x:v>Kurum içi</x:v>
      </x:c>
      <x:c r="F54" s="42" t="str">
        <x:v>SENTETİK/SİMÜLE — gerçek parti kaydı değildir</x:v>
      </x:c>
      <x:c r="G54" s="38" t="n">
        <x:v>88.983</x:v>
      </x:c>
      <x:c r="H54" s="38" t="n">
        <x:v>28.412</x:v>
      </x:c>
      <x:c r="I54" s="38" t="n">
        <x:v>5.47</x:v>
      </x:c>
      <x:c r="J54" s="38" t="n">
        <x:v>3.203</x:v>
      </x:c>
      <x:c r="K54" s="38" t="n">
        <x:v>1.407</x:v>
      </x:c>
      <x:c r="L54" s="38" t="n">
        <x:f>SUM(G54:K54)</x:f>
        <x:v>127.47500000000001</x:v>
      </x:c>
      <x:c r="M54" s="38" t="n">
        <x:v>159.342</x:v>
      </x:c>
      <x:c r="N54" s="38" t="n">
        <x:v>605.81</x:v>
      </x:c>
      <x:c r="O54" s="38" t="n">
        <x:v>434.42</x:v>
      </x:c>
      <x:c r="P54" s="38" t="n">
        <x:v>669.9</x:v>
      </x:c>
      <x:c r="Q54" s="38" t="n">
        <x:v>19.88</x:v>
      </x:c>
      <x:c r="R54" s="38" t="n">
        <x:v>43.7475</x:v>
      </x:c>
      <x:c r="S54" s="38" t="n">
        <x:v>67.42</x:v>
      </x:c>
      <x:c r="T54" s="40" t="n">
        <x:v>18.19</x:v>
      </x:c>
      <x:c r="U54" s="40" t="n">
        <x:v>1.26</x:v>
      </x:c>
      <x:c r="V54" s="38" t="n">
        <x:f>L54*(1-T54/100)*(1-U54/100)</x:f>
        <x:v>102.97327755150002</x:v>
      </x:c>
      <x:c r="W54" s="38" t="n">
        <x:f>G54*N54</x:f>
        <x:v>53906.791229999995</x:v>
      </x:c>
      <x:c r="X54" s="38" t="n">
        <x:f>H54*O54</x:f>
        <x:v>12342.74104</x:v>
      </x:c>
      <x:c r="Y54" s="38" t="n">
        <x:f>I54*P54</x:f>
        <x:v>3664.3529999999996</x:v>
      </x:c>
      <x:c r="Z54" s="38" t="n">
        <x:f>J54*Q54+K54*P54</x:f>
        <x:v>1006.2249400000001</x:v>
      </x:c>
      <x:c r="AA54" s="38" t="n">
        <x:f>M54*R54</x:f>
        <x:v>6970.814145000001</x:v>
      </x:c>
      <x:c r="AB54" s="38" t="n">
        <x:f>SUM(W54:AA54)</x:f>
        <x:v>77890.924355</x:v>
      </x:c>
      <x:c r="AC54" s="38" t="n">
        <x:v>6.56</x:v>
      </x:c>
      <x:c r="AD54" s="38" t="n">
        <x:v>174.33</x:v>
      </x:c>
      <x:c r="AE54" s="38" t="n">
        <x:v>50.26</x:v>
      </x:c>
      <x:c r="AF54" s="38" t="n">
        <x:v>4.8148</x:v>
      </x:c>
      <x:c r="AG54" s="38" t="n">
        <x:v>5.36</x:v>
      </x:c>
      <x:c r="AH54" s="38" t="n">
        <x:f>IF(E54="Fason",L54*S54,0)</x:f>
        <x:v>0</x:v>
      </x:c>
      <x:c r="AI54" s="38" t="n">
        <x:f>IF(E54="Kurum içi",AC54*AD54+AE54*AF54+AB54*12%,0)</x:f>
        <x:v>10732.507570599999</x:v>
      </x:c>
      <x:c r="AJ54" s="38" t="n">
        <x:f>V54*AG54</x:f>
        <x:v>551.9367676760402</x:v>
      </x:c>
      <x:c r="AK54" s="38" t="n">
        <x:f>AB54*2%</x:f>
        <x:v>1557.8184870999999</x:v>
      </x:c>
      <x:c r="AL54" s="38" t="n">
        <x:f>AB54+AH54+AI54+AJ54+AK54</x:f>
        <x:v>90733.18718037603</x:v>
      </x:c>
      <x:c r="AM54" s="38" t="n">
        <x:f>AL54/V54</x:f>
        <x:v>881.1333322375569</x:v>
      </x:c>
      <x:c r="AN54" s="40" t="n">
        <x:f>(W54+X54)/AL54*100</x:f>
        <x:v>73.01576669879022</x:v>
      </x:c>
      <x:c r="AO54" s="28" t="str">
        <x:v>R01-R20; ilgili satırdaki bölgesel fiyat ve maliyet varsayımları</x:v>
      </x:c>
      <x:c r="AP54" s="28" t="str">
        <x:v>Girdi miktarları, alım fiyatı değişimi, fason bedeli ve parti sonucu simüle edilmiştir; işletme kaydı değildir.</x:v>
      </x:c>
    </x:row>
    <x:row r="55" ht="22" customHeight="1">
      <x:c r="A55" t="str">
        <x:v>SUC-0054</x:v>
      </x:c>
      <x:c r="B55" s="36" t="n">
        <x:v>46276</x:v>
      </x:c>
      <x:c r="C55" t="str">
        <x:v>İç Anadolu</x:v>
      </x:c>
      <x:c r="D55" t="str">
        <x:v>ERZURUM_CI</x:v>
      </x:c>
      <x:c r="E55" t="str">
        <x:v>Kurum içi</x:v>
      </x:c>
      <x:c r="F55" s="42" t="str">
        <x:v>SENTETİK/SİMÜLE — gerçek parti kaydı değildir</x:v>
      </x:c>
      <x:c r="G55" s="38" t="n">
        <x:v>249.309</x:v>
      </x:c>
      <x:c r="H55" s="38" t="n">
        <x:v>41.782</x:v>
      </x:c>
      <x:c r="I55" s="38" t="n">
        <x:v>14.846</x:v>
      </x:c>
      <x:c r="J55" s="38" t="n">
        <x:v>5.459</x:v>
      </x:c>
      <x:c r="K55" s="38" t="n">
        <x:v>0.166</x:v>
      </x:c>
      <x:c r="L55" s="38" t="n">
        <x:f>SUM(G55:K55)</x:f>
        <x:v>311.562</x:v>
      </x:c>
      <x:c r="M55" s="38" t="n">
        <x:v>407.99</x:v>
      </x:c>
      <x:c r="N55" s="38" t="n">
        <x:v>606.64</x:v>
      </x:c>
      <x:c r="O55" s="38" t="n">
        <x:v>471.36</x:v>
      </x:c>
      <x:c r="P55" s="38" t="n">
        <x:v>669.9</x:v>
      </x:c>
      <x:c r="Q55" s="38" t="n">
        <x:v>19.88</x:v>
      </x:c>
      <x:c r="R55" s="38" t="n">
        <x:v>43.7475</x:v>
      </x:c>
      <x:c r="S55" s="38" t="n">
        <x:v>84.02</x:v>
      </x:c>
      <x:c r="T55" s="40" t="n">
        <x:v>15.83</x:v>
      </x:c>
      <x:c r="U55" s="40" t="n">
        <x:v>1.5</x:v>
      </x:c>
      <x:c r="V55" s="38" t="n">
        <x:f>L55*(1-T55/100)*(1-U55/100)</x:f>
        <x:v>258.308109369</x:v>
      </x:c>
      <x:c r="W55" s="38" t="n">
        <x:f>G55*N55</x:f>
        <x:v>151240.81175999998</x:v>
      </x:c>
      <x:c r="X55" s="38" t="n">
        <x:f>H55*O55</x:f>
        <x:v>19694.36352</x:v>
      </x:c>
      <x:c r="Y55" s="38" t="n">
        <x:f>I55*P55</x:f>
        <x:v>9945.3354</x:v>
      </x:c>
      <x:c r="Z55" s="38" t="n">
        <x:f>J55*Q55+K55*P55</x:f>
        <x:v>219.72832</x:v>
      </x:c>
      <x:c r="AA55" s="38" t="n">
        <x:f>M55*R55</x:f>
        <x:v>17848.542525</x:v>
      </x:c>
      <x:c r="AB55" s="38" t="n">
        <x:f>SUM(W55:AA55)</x:f>
        <x:v>198948.78152499997</x:v>
      </x:c>
      <x:c r="AC55" s="38" t="n">
        <x:v>15.86</x:v>
      </x:c>
      <x:c r="AD55" s="38" t="n">
        <x:v>174.33</x:v>
      </x:c>
      <x:c r="AE55" s="38" t="n">
        <x:v>100.63</x:v>
      </x:c>
      <x:c r="AF55" s="38" t="n">
        <x:v>4.8148</x:v>
      </x:c>
      <x:c r="AG55" s="38" t="n">
        <x:v>5.8</x:v>
      </x:c>
      <x:c r="AH55" s="38" t="n">
        <x:f>IF(E55="Fason",L55*S55,0)</x:f>
        <x:v>0</x:v>
      </x:c>
      <x:c r="AI55" s="38" t="n">
        <x:f>IF(E55="Kurum içi",AC55*AD55+AE55*AF55+AB55*12%,0)</x:f>
        <x:v>27123.240906999996</x:v>
      </x:c>
      <x:c r="AJ55" s="38" t="n">
        <x:f>V55*AG55</x:f>
        <x:v>1498.1870343402002</x:v>
      </x:c>
      <x:c r="AK55" s="38" t="n">
        <x:f>AB55*2%</x:f>
        <x:v>3978.9756304999996</x:v>
      </x:c>
      <x:c r="AL55" s="38" t="n">
        <x:f>AB55+AH55+AI55+AJ55+AK55</x:f>
        <x:v>231549.18509684017</x:v>
      </x:c>
      <x:c r="AM55" s="38" t="n">
        <x:f>AL55/V55</x:f>
        <x:v>896.4069523890402</x:v>
      </x:c>
      <x:c r="AN55" s="40" t="n">
        <x:f>(W55+X55)/AL55*100</x:f>
        <x:v>73.82240417236201</x:v>
      </x:c>
      <x:c r="AO55" s="28" t="str">
        <x:v>R01-R20; ilgili satırdaki bölgesel fiyat ve maliyet varsayımları</x:v>
      </x:c>
      <x:c r="AP55" s="28" t="str">
        <x:v>Girdi miktarları, alım fiyatı değişimi, fason bedeli ve parti sonucu simüle edilmiştir; işletme kaydı değildir.</x:v>
      </x:c>
    </x:row>
    <x:row r="56" ht="22" customHeight="1">
      <x:c r="A56" t="str">
        <x:v>SUC-0055</x:v>
      </x:c>
      <x:c r="B56" s="36" t="n">
        <x:v>46313</x:v>
      </x:c>
      <x:c r="C56" t="str">
        <x:v>Karadeniz</x:v>
      </x:c>
      <x:c r="D56" t="str">
        <x:v>ERZURUM_CI</x:v>
      </x:c>
      <x:c r="E56" t="str">
        <x:v>Kurum içi</x:v>
      </x:c>
      <x:c r="F56" s="42" t="str">
        <x:v>SENTETİK/SİMÜLE — gerçek parti kaydı değildir</x:v>
      </x:c>
      <x:c r="G56" s="38" t="n">
        <x:v>169.731</x:v>
      </x:c>
      <x:c r="H56" s="38" t="n">
        <x:v>31.07</x:v>
      </x:c>
      <x:c r="I56" s="38" t="n">
        <x:v>9.589</x:v>
      </x:c>
      <x:c r="J56" s="38" t="n">
        <x:v>3.436</x:v>
      </x:c>
      <x:c r="K56" s="38" t="n">
        <x:v>0.022</x:v>
      </x:c>
      <x:c r="L56" s="38" t="n">
        <x:f>SUM(G56:K56)</x:f>
        <x:v>213.84799999999998</x:v>
      </x:c>
      <x:c r="M56" s="38" t="n">
        <x:v>262.278</x:v>
      </x:c>
      <x:c r="N56" s="38" t="n">
        <x:v>619.59</x:v>
      </x:c>
      <x:c r="O56" s="38" t="n">
        <x:v>437.37</x:v>
      </x:c>
      <x:c r="P56" s="38" t="n">
        <x:v>400</x:v>
      </x:c>
      <x:c r="Q56" s="38" t="n">
        <x:v>19.88</x:v>
      </x:c>
      <x:c r="R56" s="38" t="n">
        <x:v>43.7475</x:v>
      </x:c>
      <x:c r="S56" s="38" t="n">
        <x:v>87.75</x:v>
      </x:c>
      <x:c r="T56" s="40" t="n">
        <x:v>30.56</x:v>
      </x:c>
      <x:c r="U56" s="40" t="n">
        <x:v>1.03</x:v>
      </x:c>
      <x:c r="V56" s="38" t="n">
        <x:f>L56*(1-T56/100)*(1-U56/100)</x:f>
        <x:v>146.96654187264</x:v>
      </x:c>
      <x:c r="W56" s="38" t="n">
        <x:f>G56*N56</x:f>
        <x:v>105163.63029</x:v>
      </x:c>
      <x:c r="X56" s="38" t="n">
        <x:f>H56*O56</x:f>
        <x:v>13589.0859</x:v>
      </x:c>
      <x:c r="Y56" s="38" t="n">
        <x:f>I56*P56</x:f>
        <x:v>3835.6000000000004</x:v>
      </x:c>
      <x:c r="Z56" s="38" t="n">
        <x:f>J56*Q56+K56*P56</x:f>
        <x:v>77.10767999999999</x:v>
      </x:c>
      <x:c r="AA56" s="38" t="n">
        <x:f>M56*R56</x:f>
        <x:v>11474.006805</x:v>
      </x:c>
      <x:c r="AB56" s="38" t="n">
        <x:f>SUM(W56:AA56)</x:f>
        <x:v>134139.430675</x:v>
      </x:c>
      <x:c r="AC56" s="38" t="n">
        <x:v>11.41</x:v>
      </x:c>
      <x:c r="AD56" s="38" t="n">
        <x:v>174.33</x:v>
      </x:c>
      <x:c r="AE56" s="38" t="n">
        <x:v>72.65</x:v>
      </x:c>
      <x:c r="AF56" s="38" t="n">
        <x:v>4.8148</x:v>
      </x:c>
      <x:c r="AG56" s="38" t="n">
        <x:v>5.58</x:v>
      </x:c>
      <x:c r="AH56" s="38" t="n">
        <x:f>IF(E56="Fason",L56*S56,0)</x:f>
        <x:v>0</x:v>
      </x:c>
      <x:c r="AI56" s="38" t="n">
        <x:f>IF(E56="Kurum içi",AC56*AD56+AE56*AF56+AB56*12%,0)</x:f>
        <x:v>18435.632201</x:v>
      </x:c>
      <x:c r="AJ56" s="38" t="n">
        <x:f>V56*AG56</x:f>
        <x:v>820.0733036493311</x:v>
      </x:c>
      <x:c r="AK56" s="38" t="n">
        <x:f>AB56*2%</x:f>
        <x:v>2682.7886135000003</x:v>
      </x:c>
      <x:c r="AL56" s="38" t="n">
        <x:f>AB56+AH56+AI56+AJ56+AK56</x:f>
        <x:v>156077.92479314932</x:v>
      </x:c>
      <x:c r="AM56" s="38" t="n">
        <x:f>AL56/V56</x:f>
        <x:v>1061.9963074888512</x:v>
      </x:c>
      <x:c r="AN56" s="40" t="n">
        <x:f>(W56+X56)/AL56*100</x:f>
        <x:v>76.08552993473194</x:v>
      </x:c>
      <x:c r="AO56" s="28" t="str">
        <x:v>R01-R20; ilgili satırdaki bölgesel fiyat ve maliyet varsayımları</x:v>
      </x:c>
      <x:c r="AP56" s="28" t="str">
        <x:v>Girdi miktarları, alım fiyatı değişimi, fason bedeli ve parti sonucu simüle edilmiştir; işletme kaydı değildir.</x:v>
      </x:c>
    </x:row>
    <x:row r="57" ht="22" customHeight="1">
      <x:c r="A57" t="str">
        <x:v>SUC-0056</x:v>
      </x:c>
      <x:c r="B57" s="36" t="n">
        <x:v>46286</x:v>
      </x:c>
      <x:c r="C57" t="str">
        <x:v>Karadeniz</x:v>
      </x:c>
      <x:c r="D57" t="str">
        <x:v>ERZURUM_CI</x:v>
      </x:c>
      <x:c r="E57" t="str">
        <x:v>Fason</x:v>
      </x:c>
      <x:c r="F57" s="42" t="str">
        <x:v>SENTETİK/SİMÜLE — gerçek parti kaydı değildir</x:v>
      </x:c>
      <x:c r="G57" s="38" t="n">
        <x:v>173.046</x:v>
      </x:c>
      <x:c r="H57" s="38" t="n">
        <x:v>32.062</x:v>
      </x:c>
      <x:c r="I57" s="38" t="n">
        <x:v>9.556</x:v>
      </x:c>
      <x:c r="J57" s="38" t="n">
        <x:v>3.665</x:v>
      </x:c>
      <x:c r="K57" s="38" t="n">
        <x:v>0.142</x:v>
      </x:c>
      <x:c r="L57" s="38" t="n">
        <x:f>SUM(G57:K57)</x:f>
        <x:v>218.471</x:v>
      </x:c>
      <x:c r="M57" s="38" t="n">
        <x:v>256.416</x:v>
      </x:c>
      <x:c r="N57" s="38" t="n">
        <x:v>604.6</x:v>
      </x:c>
      <x:c r="O57" s="38" t="n">
        <x:v>411.64</x:v>
      </x:c>
      <x:c r="P57" s="38" t="n">
        <x:v>669.9</x:v>
      </x:c>
      <x:c r="Q57" s="38" t="n">
        <x:v>19.88</x:v>
      </x:c>
      <x:c r="R57" s="38" t="n">
        <x:v>43.7475</x:v>
      </x:c>
      <x:c r="S57" s="38" t="n">
        <x:v>117.22</x:v>
      </x:c>
      <x:c r="T57" s="40" t="n">
        <x:v>22.28</x:v>
      </x:c>
      <x:c r="U57" s="40" t="n">
        <x:v>1.27</x:v>
      </x:c>
      <x:c r="V57" s="38" t="n">
        <x:f>L57*(1-T57/100)*(1-U57/100)</x:f>
        <x:v>167.63925630276</x:v>
      </x:c>
      <x:c r="W57" s="38" t="n">
        <x:f>G57*N57</x:f>
        <x:v>104623.6116</x:v>
      </x:c>
      <x:c r="X57" s="38" t="n">
        <x:f>H57*O57</x:f>
        <x:v>13198.00168</x:v>
      </x:c>
      <x:c r="Y57" s="38" t="n">
        <x:f>I57*P57</x:f>
        <x:v>6401.564399999999</x:v>
      </x:c>
      <x:c r="Z57" s="38" t="n">
        <x:f>J57*Q57+K57*P57</x:f>
        <x:v>167.986</x:v>
      </x:c>
      <x:c r="AA57" s="38" t="n">
        <x:f>M57*R57</x:f>
        <x:v>11217.55896</x:v>
      </x:c>
      <x:c r="AB57" s="38" t="n">
        <x:f>SUM(W57:AA57)</x:f>
        <x:v>135608.72264000002</x:v>
      </x:c>
      <x:c r="AC57" s="38" t="n">
        <x:v>13.36</x:v>
      </x:c>
      <x:c r="AD57" s="38" t="n">
        <x:v>174.33</x:v>
      </x:c>
      <x:c r="AE57" s="38" t="n">
        <x:v>78.5</x:v>
      </x:c>
      <x:c r="AF57" s="38" t="n">
        <x:v>4.8148</x:v>
      </x:c>
      <x:c r="AG57" s="38" t="n">
        <x:v>5.44</x:v>
      </x:c>
      <x:c r="AH57" s="38" t="n">
        <x:f>IF(E57="Fason",L57*S57,0)</x:f>
        <x:v>25609.17062</x:v>
      </x:c>
      <x:c r="AI57" s="38" t="n">
        <x:f>IF(E57="Kurum içi",AC57*AD57+AE57*AF57+AB57*12%,0)</x:f>
        <x:v>0</x:v>
      </x:c>
      <x:c r="AJ57" s="38" t="n">
        <x:f>V57*AG57</x:f>
        <x:v>911.9575542870144</x:v>
      </x:c>
      <x:c r="AK57" s="38" t="n">
        <x:f>AB57*2%</x:f>
        <x:v>2712.1744528000004</x:v>
      </x:c>
      <x:c r="AL57" s="38" t="n">
        <x:f>AB57+AH57+AI57+AJ57+AK57</x:f>
        <x:v>164842.02526708704</x:v>
      </x:c>
      <x:c r="AM57" s="38" t="n">
        <x:f>AL57/V57</x:f>
        <x:v>983.3139856536878</x:v>
      </x:c>
      <x:c r="AN57" s="40" t="n">
        <x:f>(W57+X57)/AL57*100</x:f>
        <x:v>71.47547058409303</x:v>
      </x:c>
      <x:c r="AO57" s="28" t="str">
        <x:v>R01-R20; ilgili satırdaki bölgesel fiyat ve maliyet varsayımları</x:v>
      </x:c>
      <x:c r="AP57" s="28" t="str">
        <x:v>Girdi miktarları, alım fiyatı değişimi, fason bedeli ve parti sonucu simüle edilmiştir; işletme kaydı değildir.</x:v>
      </x:c>
    </x:row>
    <x:row r="58" ht="22" customHeight="1">
      <x:c r="A58" t="str">
        <x:v>SUC-0057</x:v>
      </x:c>
      <x:c r="B58" s="36" t="n">
        <x:v>46304</x:v>
      </x:c>
      <x:c r="C58" t="str">
        <x:v>İç Anadolu</x:v>
      </x:c>
      <x:c r="D58" t="str">
        <x:v>ERZURUM_CI</x:v>
      </x:c>
      <x:c r="E58" t="str">
        <x:v>Kurum içi</x:v>
      </x:c>
      <x:c r="F58" s="42" t="str">
        <x:v>SENTETİK/SİMÜLE — gerçek parti kaydı değildir</x:v>
      </x:c>
      <x:c r="G58" s="38" t="n">
        <x:v>175.126</x:v>
      </x:c>
      <x:c r="H58" s="38" t="n">
        <x:v>31.456</x:v>
      </x:c>
      <x:c r="I58" s="38" t="n">
        <x:v>10.174</x:v>
      </x:c>
      <x:c r="J58" s="38" t="n">
        <x:v>3.757</x:v>
      </x:c>
      <x:c r="K58" s="38" t="n">
        <x:v>0.022</x:v>
      </x:c>
      <x:c r="L58" s="38" t="n">
        <x:f>SUM(G58:K58)</x:f>
        <x:v>220.535</x:v>
      </x:c>
      <x:c r="M58" s="38" t="n">
        <x:v>272.999</x:v>
      </x:c>
      <x:c r="N58" s="38" t="n">
        <x:v>586.82</x:v>
      </x:c>
      <x:c r="O58" s="38" t="n">
        <x:v>441.7</x:v>
      </x:c>
      <x:c r="P58" s="38" t="n">
        <x:v>550</x:v>
      </x:c>
      <x:c r="Q58" s="38" t="n">
        <x:v>19.88</x:v>
      </x:c>
      <x:c r="R58" s="38" t="n">
        <x:v>43.7475</x:v>
      </x:c>
      <x:c r="S58" s="38" t="n">
        <x:v>88.86</x:v>
      </x:c>
      <x:c r="T58" s="40" t="n">
        <x:v>25.01</x:v>
      </x:c>
      <x:c r="U58" s="40" t="n">
        <x:v>1.22</x:v>
      </x:c>
      <x:c r="V58" s="38" t="n">
        <x:f>L58*(1-T58/100)*(1-U58/100)</x:f>
        <x:v>163.36157030270002</x:v>
      </x:c>
      <x:c r="W58" s="38" t="n">
        <x:f>G58*N58</x:f>
        <x:v>102767.43932</x:v>
      </x:c>
      <x:c r="X58" s="38" t="n">
        <x:f>H58*O58</x:f>
        <x:v>13894.1152</x:v>
      </x:c>
      <x:c r="Y58" s="38" t="n">
        <x:f>I58*P58</x:f>
        <x:v>5595.7</x:v>
      </x:c>
      <x:c r="Z58" s="38" t="n">
        <x:f>J58*Q58+K58*P58</x:f>
        <x:v>86.78916</x:v>
      </x:c>
      <x:c r="AA58" s="38" t="n">
        <x:f>M58*R58</x:f>
        <x:v>11943.023752500001</x:v>
      </x:c>
      <x:c r="AB58" s="38" t="n">
        <x:f>SUM(W58:AA58)</x:f>
        <x:v>134287.0674325</x:v>
      </x:c>
      <x:c r="AC58" s="38" t="n">
        <x:v>11.63</x:v>
      </x:c>
      <x:c r="AD58" s="38" t="n">
        <x:v>174.33</x:v>
      </x:c>
      <x:c r="AE58" s="38" t="n">
        <x:v>97.6</x:v>
      </x:c>
      <x:c r="AF58" s="38" t="n">
        <x:v>4.8148</x:v>
      </x:c>
      <x:c r="AG58" s="38" t="n">
        <x:v>5.48</x:v>
      </x:c>
      <x:c r="AH58" s="38" t="n">
        <x:f>IF(E58="Fason",L58*S58,0)</x:f>
        <x:v>0</x:v>
      </x:c>
      <x:c r="AI58" s="38" t="n">
        <x:f>IF(E58="Kurum içi",AC58*AD58+AE58*AF58+AB58*12%,0)</x:f>
        <x:v>18611.8304719</x:v>
      </x:c>
      <x:c r="AJ58" s="38" t="n">
        <x:f>V58*AG58</x:f>
        <x:v>895.2214052587962</x:v>
      </x:c>
      <x:c r="AK58" s="38" t="n">
        <x:f>AB58*2%</x:f>
        <x:v>2685.7413486500004</x:v>
      </x:c>
      <x:c r="AL58" s="38" t="n">
        <x:f>AB58+AH58+AI58+AJ58+AK58</x:f>
        <x:v>156479.8606583088</x:v>
      </x:c>
      <x:c r="AM58" s="38" t="n">
        <x:f>AL58/V58</x:f>
        <x:v>957.8743664642806</x:v>
      </x:c>
      <x:c r="AN58" s="40" t="n">
        <x:f>(W58+X58)/AL58*100</x:f>
        <x:v>74.55371830547797</x:v>
      </x:c>
      <x:c r="AO58" s="28" t="str">
        <x:v>R01-R20; ilgili satırdaki bölgesel fiyat ve maliyet varsayımları</x:v>
      </x:c>
      <x:c r="AP58" s="28" t="str">
        <x:v>Girdi miktarları, alım fiyatı değişimi, fason bedeli ve parti sonucu simüle edilmiştir; işletme kaydı değildir.</x:v>
      </x:c>
    </x:row>
    <x:row r="59" ht="22" customHeight="1">
      <x:c r="A59" t="str">
        <x:v>SUC-0058</x:v>
      </x:c>
      <x:c r="B59" s="36" t="n">
        <x:v>46294</x:v>
      </x:c>
      <x:c r="C59" t="str">
        <x:v>Doğu Anadolu</x:v>
      </x:c>
      <x:c r="D59" t="str">
        <x:v>ERZURUM_CI</x:v>
      </x:c>
      <x:c r="E59" t="str">
        <x:v>Kurum içi</x:v>
      </x:c>
      <x:c r="F59" s="42" t="str">
        <x:v>SENTETİK/SİMÜLE — gerçek parti kaydı değildir</x:v>
      </x:c>
      <x:c r="G59" s="38" t="n">
        <x:v>147.188</x:v>
      </x:c>
      <x:c r="H59" s="38" t="n">
        <x:v>27.006</x:v>
      </x:c>
      <x:c r="I59" s="38" t="n">
        <x:v>8.851</x:v>
      </x:c>
      <x:c r="J59" s="38" t="n">
        <x:v>2.787</x:v>
      </x:c>
      <x:c r="K59" s="38" t="n">
        <x:v>0.335</x:v>
      </x:c>
      <x:c r="L59" s="38" t="n">
        <x:f>SUM(G59:K59)</x:f>
        <x:v>186.167</x:v>
      </x:c>
      <x:c r="M59" s="38" t="n">
        <x:v>222.782</x:v>
      </x:c>
      <x:c r="N59" s="38" t="n">
        <x:v>591.78</x:v>
      </x:c>
      <x:c r="O59" s="38" t="n">
        <x:v>473.13</x:v>
      </x:c>
      <x:c r="P59" s="38" t="n">
        <x:v>400</x:v>
      </x:c>
      <x:c r="Q59" s="38" t="n">
        <x:v>19.88</x:v>
      </x:c>
      <x:c r="R59" s="38" t="n">
        <x:v>43.7475</x:v>
      </x:c>
      <x:c r="S59" s="38" t="n">
        <x:v>98.89</x:v>
      </x:c>
      <x:c r="T59" s="40" t="n">
        <x:v>33.79</x:v>
      </x:c>
      <x:c r="U59" s="40" t="n">
        <x:v>1.32</x:v>
      </x:c>
      <x:c r="V59" s="38" t="n">
        <x:f>L59*(1-T59/100)*(1-U59/100)</x:f>
        <x:v>121.63412324676001</x:v>
      </x:c>
      <x:c r="W59" s="38" t="n">
        <x:f>G59*N59</x:f>
        <x:v>87102.91463999999</x:v>
      </x:c>
      <x:c r="X59" s="38" t="n">
        <x:f>H59*O59</x:f>
        <x:v>12777.34878</x:v>
      </x:c>
      <x:c r="Y59" s="38" t="n">
        <x:f>I59*P59</x:f>
        <x:v>3540.4000000000005</x:v>
      </x:c>
      <x:c r="Z59" s="38" t="n">
        <x:f>J59*Q59+K59*P59</x:f>
        <x:v>189.40555999999998</x:v>
      </x:c>
      <x:c r="AA59" s="38" t="n">
        <x:f>M59*R59</x:f>
        <x:v>9746.155545000001</x:v>
      </x:c>
      <x:c r="AB59" s="38" t="n">
        <x:f>SUM(W59:AA59)</x:f>
        <x:v>113356.22452499998</x:v>
      </x:c>
      <x:c r="AC59" s="38" t="n">
        <x:v>10.73</x:v>
      </x:c>
      <x:c r="AD59" s="38" t="n">
        <x:v>174.33</x:v>
      </x:c>
      <x:c r="AE59" s="38" t="n">
        <x:v>69.95</x:v>
      </x:c>
      <x:c r="AF59" s="38" t="n">
        <x:v>4.8148</x:v>
      </x:c>
      <x:c r="AG59" s="38" t="n">
        <x:v>5.16</x:v>
      </x:c>
      <x:c r="AH59" s="38" t="n">
        <x:f>IF(E59="Fason",L59*S59,0)</x:f>
        <x:v>0</x:v>
      </x:c>
      <x:c r="AI59" s="38" t="n">
        <x:f>IF(E59="Kurum içi",AC59*AD59+AE59*AF59+AB59*12%,0)</x:f>
        <x:v>15810.103102999998</x:v>
      </x:c>
      <x:c r="AJ59" s="38" t="n">
        <x:f>V59*AG59</x:f>
        <x:v>627.6320759532816</x:v>
      </x:c>
      <x:c r="AK59" s="38" t="n">
        <x:f>AB59*2%</x:f>
        <x:v>2267.1244905</x:v>
      </x:c>
      <x:c r="AL59" s="38" t="n">
        <x:f>AB59+AH59+AI59+AJ59+AK59</x:f>
        <x:v>132061.08419445326</x:v>
      </x:c>
      <x:c r="AM59" s="38" t="n">
        <x:f>AL59/V59</x:f>
        <x:v>1085.7239783489047</x:v>
      </x:c>
      <x:c r="AN59" s="40" t="n">
        <x:f>(W59+X59)/AL59*100</x:f>
        <x:v>75.63186689648205</x:v>
      </x:c>
      <x:c r="AO59" s="28" t="str">
        <x:v>R01-R20; ilgili satırdaki bölgesel fiyat ve maliyet varsayımları</x:v>
      </x:c>
      <x:c r="AP59" s="28" t="str">
        <x:v>Girdi miktarları, alım fiyatı değişimi, fason bedeli ve parti sonucu simüle edilmiştir; işletme kaydı değildir.</x:v>
      </x:c>
    </x:row>
    <x:row r="60" ht="22" customHeight="1">
      <x:c r="A60" t="str">
        <x:v>SUC-0059</x:v>
      </x:c>
      <x:c r="B60" s="36" t="n">
        <x:v>46281</x:v>
      </x:c>
      <x:c r="C60" t="str">
        <x:v>Karadeniz</x:v>
      </x:c>
      <x:c r="D60" t="str">
        <x:v>ERZURUM_CI</x:v>
      </x:c>
      <x:c r="E60" t="str">
        <x:v>Kurum içi</x:v>
      </x:c>
      <x:c r="F60" s="42" t="str">
        <x:v>SENTETİK/SİMÜLE — gerçek parti kaydı değildir</x:v>
      </x:c>
      <x:c r="G60" s="38" t="n">
        <x:v>367.36</x:v>
      </x:c>
      <x:c r="H60" s="38" t="n">
        <x:v>62.223</x:v>
      </x:c>
      <x:c r="I60" s="38" t="n">
        <x:v>21.477</x:v>
      </x:c>
      <x:c r="J60" s="38" t="n">
        <x:v>7.93</x:v>
      </x:c>
      <x:c r="K60" s="38" t="n">
        <x:v>0.824</x:v>
      </x:c>
      <x:c r="L60" s="38" t="n">
        <x:f>SUM(G60:K60)</x:f>
        <x:v>459.814</x:v>
      </x:c>
      <x:c r="M60" s="38" t="n">
        <x:v>532.615</x:v>
      </x:c>
      <x:c r="N60" s="38" t="n">
        <x:v>611.64</x:v>
      </x:c>
      <x:c r="O60" s="38" t="n">
        <x:v>462.38</x:v>
      </x:c>
      <x:c r="P60" s="38" t="n">
        <x:v>669.9</x:v>
      </x:c>
      <x:c r="Q60" s="38" t="n">
        <x:v>19.88</x:v>
      </x:c>
      <x:c r="R60" s="38" t="n">
        <x:v>43.7475</x:v>
      </x:c>
      <x:c r="S60" s="38" t="n">
        <x:v>83.39</x:v>
      </x:c>
      <x:c r="T60" s="40" t="n">
        <x:v>29.56</x:v>
      </x:c>
      <x:c r="U60" s="40" t="n">
        <x:v>0.71</x:v>
      </x:c>
      <x:c r="V60" s="38" t="n">
        <x:f>L60*(1-T60/100)*(1-U60/100)</x:f>
        <x:v>321.59334143064007</x:v>
      </x:c>
      <x:c r="W60" s="38" t="n">
        <x:f>G60*N60</x:f>
        <x:v>224692.0704</x:v>
      </x:c>
      <x:c r="X60" s="38" t="n">
        <x:f>H60*O60</x:f>
        <x:v>28770.670739999998</x:v>
      </x:c>
      <x:c r="Y60" s="38" t="n">
        <x:f>I60*P60</x:f>
        <x:v>14387.4423</x:v>
      </x:c>
      <x:c r="Z60" s="38" t="n">
        <x:f>J60*Q60+K60*P60</x:f>
        <x:v>709.646</x:v>
      </x:c>
      <x:c r="AA60" s="38" t="n">
        <x:f>M60*R60</x:f>
        <x:v>23300.5747125</x:v>
      </x:c>
      <x:c r="AB60" s="38" t="n">
        <x:f>SUM(W60:AA60)</x:f>
        <x:v>291860.4041525</x:v>
      </x:c>
      <x:c r="AC60" s="38" t="n">
        <x:v>29.74</x:v>
      </x:c>
      <x:c r="AD60" s="38" t="n">
        <x:v>174.33</x:v>
      </x:c>
      <x:c r="AE60" s="38" t="n">
        <x:v>105.02</x:v>
      </x:c>
      <x:c r="AF60" s="38" t="n">
        <x:v>4.8148</x:v>
      </x:c>
      <x:c r="AG60" s="38" t="n">
        <x:v>5.88</x:v>
      </x:c>
      <x:c r="AH60" s="38" t="n">
        <x:f>IF(E60="Fason",L60*S60,0)</x:f>
        <x:v>0</x:v>
      </x:c>
      <x:c r="AI60" s="38" t="n">
        <x:f>IF(E60="Kurum içi",AC60*AD60+AE60*AF60+AB60*12%,0)</x:f>
        <x:v>40713.4729943</x:v>
      </x:c>
      <x:c r="AJ60" s="38" t="n">
        <x:f>V60*AG60</x:f>
        <x:v>1890.9688476121635</x:v>
      </x:c>
      <x:c r="AK60" s="38" t="n">
        <x:f>AB60*2%</x:f>
        <x:v>5837.20808305</x:v>
      </x:c>
      <x:c r="AL60" s="38" t="n">
        <x:f>AB60+AH60+AI60+AJ60+AK60</x:f>
        <x:v>340302.0540774621</x:v>
      </x:c>
      <x:c r="AM60" s="38" t="n">
        <x:f>AL60/V60</x:f>
        <x:v>1058.175062218622</x:v>
      </x:c>
      <x:c r="AN60" s="40" t="n">
        <x:f>(W60+X60)/AL60*100</x:f>
        <x:v>74.48169592367636</x:v>
      </x:c>
      <x:c r="AO60" s="28" t="str">
        <x:v>R01-R20; ilgili satırdaki bölgesel fiyat ve maliyet varsayımları</x:v>
      </x:c>
      <x:c r="AP60" s="28" t="str">
        <x:v>Girdi miktarları, alım fiyatı değişimi, fason bedeli ve parti sonucu simüle edilmiştir; işletme kaydı değildir.</x:v>
      </x:c>
    </x:row>
    <x:row r="61" ht="22" customHeight="1">
      <x:c r="A61" t="str">
        <x:v>SUC-0060</x:v>
      </x:c>
      <x:c r="B61" s="36" t="n">
        <x:v>46285</x:v>
      </x:c>
      <x:c r="C61" t="str">
        <x:v>Ege</x:v>
      </x:c>
      <x:c r="D61" t="str">
        <x:v>ERZURUM_CI</x:v>
      </x:c>
      <x:c r="E61" t="str">
        <x:v>Kurum içi</x:v>
      </x:c>
      <x:c r="F61" s="42" t="str">
        <x:v>SENTETİK/SİMÜLE — gerçek parti kaydı değildir</x:v>
      </x:c>
      <x:c r="G61" s="38" t="n">
        <x:v>70.141</x:v>
      </x:c>
      <x:c r="H61" s="38" t="n">
        <x:v>12.958</x:v>
      </x:c>
      <x:c r="I61" s="38" t="n">
        <x:v>4.355</x:v>
      </x:c>
      <x:c r="J61" s="38" t="n">
        <x:v>1.269</x:v>
      </x:c>
      <x:c r="K61" s="38" t="n">
        <x:v>0.167</x:v>
      </x:c>
      <x:c r="L61" s="38" t="n">
        <x:f>SUM(G61:K61)</x:f>
        <x:v>88.89000000000001</x:v>
      </x:c>
      <x:c r="M61" s="38" t="n">
        <x:v>109.981</x:v>
      </x:c>
      <x:c r="N61" s="38" t="n">
        <x:v>604.82</x:v>
      </x:c>
      <x:c r="O61" s="38" t="n">
        <x:v>446.65</x:v>
      </x:c>
      <x:c r="P61" s="38" t="n">
        <x:v>550</x:v>
      </x:c>
      <x:c r="Q61" s="38" t="n">
        <x:v>19.88</x:v>
      </x:c>
      <x:c r="R61" s="38" t="n">
        <x:v>43.7475</x:v>
      </x:c>
      <x:c r="S61" s="38" t="n">
        <x:v>92</x:v>
      </x:c>
      <x:c r="T61" s="40" t="n">
        <x:v>25.16</x:v>
      </x:c>
      <x:c r="U61" s="40" t="n">
        <x:v>1.34</x:v>
      </x:c>
      <x:c r="V61" s="38" t="n">
        <x:f>L61*(1-T61/100)*(1-U61/100)</x:f>
        <x:v>65.63383730160001</x:v>
      </x:c>
      <x:c r="W61" s="38" t="n">
        <x:f>G61*N61</x:f>
        <x:v>42422.67962000001</x:v>
      </x:c>
      <x:c r="X61" s="38" t="n">
        <x:f>H61*O61</x:f>
        <x:v>5787.6907</x:v>
      </x:c>
      <x:c r="Y61" s="38" t="n">
        <x:f>I61*P61</x:f>
        <x:v>2395.2500000000005</x:v>
      </x:c>
      <x:c r="Z61" s="38" t="n">
        <x:f>J61*Q61+K61*P61</x:f>
        <x:v>117.07772</x:v>
      </x:c>
      <x:c r="AA61" s="38" t="n">
        <x:f>M61*R61</x:f>
        <x:v>4811.3937975</x:v>
      </x:c>
      <x:c r="AB61" s="38" t="n">
        <x:f>SUM(W61:AA61)</x:f>
        <x:v>55534.09183750001</x:v>
      </x:c>
      <x:c r="AC61" s="38" t="n">
        <x:v>5.74</x:v>
      </x:c>
      <x:c r="AD61" s="38" t="n">
        <x:v>174.33</x:v>
      </x:c>
      <x:c r="AE61" s="38" t="n">
        <x:v>37.75</x:v>
      </x:c>
      <x:c r="AF61" s="38" t="n">
        <x:v>4.8148</x:v>
      </x:c>
      <x:c r="AG61" s="38" t="n">
        <x:v>5.23</x:v>
      </x:c>
      <x:c r="AH61" s="38" t="n">
        <x:f>IF(E61="Fason",L61*S61,0)</x:f>
        <x:v>0</x:v>
      </x:c>
      <x:c r="AI61" s="38" t="n">
        <x:f>IF(E61="Kurum içi",AC61*AD61+AE61*AF61+AB61*12%,0)</x:f>
        <x:v>7846.503920500001</x:v>
      </x:c>
      <x:c r="AJ61" s="38" t="n">
        <x:f>V61*AG61</x:f>
        <x:v>343.26496908736806</x:v>
      </x:c>
      <x:c r="AK61" s="38" t="n">
        <x:f>AB61*2%</x:f>
        <x:v>1110.6818367500002</x:v>
      </x:c>
      <x:c r="AL61" s="38" t="n">
        <x:f>AB61+AH61+AI61+AJ61+AK61</x:f>
        <x:v>64834.54256383738</x:v>
      </x:c>
      <x:c r="AM61" s="38" t="n">
        <x:f>AL61/V61</x:f>
        <x:v>987.8219106085521</x:v>
      </x:c>
      <x:c r="AN61" s="40" t="n">
        <x:f>(W61+X61)/AL61*100</x:f>
        <x:v>74.35908146113798</x:v>
      </x:c>
      <x:c r="AO61" s="28" t="str">
        <x:v>R01-R20; ilgili satırdaki bölgesel fiyat ve maliyet varsayımları</x:v>
      </x:c>
      <x:c r="AP61" s="28" t="str">
        <x:v>Girdi miktarları, alım fiyatı değişimi, fason bedeli ve parti sonucu simüle edilmiştir; işletme kaydı değildir.</x:v>
      </x:c>
    </x:row>
    <x:row r="62" ht="22" customHeight="1">
      <x:c r="A62" t="str">
        <x:v>SUC-0061</x:v>
      </x:c>
      <x:c r="B62" s="36" t="n">
        <x:v>46301</x:v>
      </x:c>
      <x:c r="C62" t="str">
        <x:v>Doğu Anadolu</x:v>
      </x:c>
      <x:c r="D62" t="str">
        <x:v>MEB_STANDART</x:v>
      </x:c>
      <x:c r="E62" t="str">
        <x:v>Kurum içi</x:v>
      </x:c>
      <x:c r="F62" s="42" t="str">
        <x:v>SENTETİK/SİMÜLE — gerçek parti kaydı değildir</x:v>
      </x:c>
      <x:c r="G62" s="38" t="n">
        <x:v>314.825</x:v>
      </x:c>
      <x:c r="H62" s="38" t="n">
        <x:v>95.864</x:v>
      </x:c>
      <x:c r="I62" s="38" t="n">
        <x:v>19.42</x:v>
      </x:c>
      <x:c r="J62" s="38" t="n">
        <x:v>11.648</x:v>
      </x:c>
      <x:c r="K62" s="38" t="n">
        <x:v>3.978</x:v>
      </x:c>
      <x:c r="L62" s="38" t="n">
        <x:f>SUM(G62:K62)</x:f>
        <x:v>445.735</x:v>
      </x:c>
      <x:c r="M62" s="38" t="n">
        <x:v>552.428</x:v>
      </x:c>
      <x:c r="N62" s="38" t="n">
        <x:v>598.15</x:v>
      </x:c>
      <x:c r="O62" s="38" t="n">
        <x:v>432.46</x:v>
      </x:c>
      <x:c r="P62" s="38" t="n">
        <x:v>669.9</x:v>
      </x:c>
      <x:c r="Q62" s="38" t="n">
        <x:v>19.88</x:v>
      </x:c>
      <x:c r="R62" s="38" t="n">
        <x:v>43.7475</x:v>
      </x:c>
      <x:c r="S62" s="38" t="n">
        <x:v>108.07</x:v>
      </x:c>
      <x:c r="T62" s="40" t="n">
        <x:v>25.72</x:v>
      </x:c>
      <x:c r="U62" s="40" t="n">
        <x:v>1.37</x:v>
      </x:c>
      <x:c r="V62" s="38" t="n">
        <x:f>L62*(1-T62/100)*(1-U62/100)</x:f>
        <x:v>326.5559981754</x:v>
      </x:c>
      <x:c r="W62" s="38" t="n">
        <x:f>G62*N62</x:f>
        <x:v>188312.57374999998</x:v>
      </x:c>
      <x:c r="X62" s="38" t="n">
        <x:f>H62*O62</x:f>
        <x:v>41457.34544</x:v>
      </x:c>
      <x:c r="Y62" s="38" t="n">
        <x:f>I62*P62</x:f>
        <x:v>13009.458</x:v>
      </x:c>
      <x:c r="Z62" s="38" t="n">
        <x:f>J62*Q62+K62*P62</x:f>
        <x:v>2896.42444</x:v>
      </x:c>
      <x:c r="AA62" s="38" t="n">
        <x:f>M62*R62</x:f>
        <x:v>24167.343930000003</x:v>
      </x:c>
      <x:c r="AB62" s="38" t="n">
        <x:f>SUM(W62:AA62)</x:f>
        <x:v>269843.14556</x:v>
      </x:c>
      <x:c r="AC62" s="38" t="n">
        <x:v>21.46</x:v>
      </x:c>
      <x:c r="AD62" s="38" t="n">
        <x:v>174.33</x:v>
      </x:c>
      <x:c r="AE62" s="38" t="n">
        <x:v>197.26</x:v>
      </x:c>
      <x:c r="AF62" s="38" t="n">
        <x:v>4.8148</x:v>
      </x:c>
      <x:c r="AG62" s="38" t="n">
        <x:v>5.65</x:v>
      </x:c>
      <x:c r="AH62" s="38" t="n">
        <x:f>IF(E62="Fason",L62*S62,0)</x:f>
        <x:v>0</x:v>
      </x:c>
      <x:c r="AI62" s="38" t="n">
        <x:f>IF(E62="Kurum içi",AC62*AD62+AE62*AF62+AB62*12%,0)</x:f>
        <x:v>37072.066715199995</x:v>
      </x:c>
      <x:c r="AJ62" s="38" t="n">
        <x:f>V62*AG62</x:f>
        <x:v>1845.0413896910102</x:v>
      </x:c>
      <x:c r="AK62" s="38" t="n">
        <x:f>AB62*2%</x:f>
        <x:v>5396.8629112</x:v>
      </x:c>
      <x:c r="AL62" s="38" t="n">
        <x:f>AB62+AH62+AI62+AJ62+AK62</x:f>
        <x:v>314157.1165760909</x:v>
      </x:c>
      <x:c r="AM62" s="38" t="n">
        <x:f>AL62/V62</x:f>
        <x:v>962.0313769503955</x:v>
      </x:c>
      <x:c r="AN62" s="40" t="n">
        <x:f>(W62+X62)/AL62*100</x:f>
        <x:v>73.13853707794273</x:v>
      </x:c>
      <x:c r="AO62" s="28" t="str">
        <x:v>R01-R20; ilgili satırdaki bölgesel fiyat ve maliyet varsayımları</x:v>
      </x:c>
      <x:c r="AP62" s="28" t="str">
        <x:v>Girdi miktarları, alım fiyatı değişimi, fason bedeli ve parti sonucu simüle edilmiştir; işletme kaydı değildir.</x:v>
      </x:c>
    </x:row>
    <x:row r="63" ht="22" customHeight="1">
      <x:c r="A63" t="str">
        <x:v>SUC-0062</x:v>
      </x:c>
      <x:c r="B63" s="36" t="n">
        <x:v>46277</x:v>
      </x:c>
      <x:c r="C63" t="str">
        <x:v>Marmara</x:v>
      </x:c>
      <x:c r="D63" t="str">
        <x:v>MEB_STANDART</x:v>
      </x:c>
      <x:c r="E63" t="str">
        <x:v>Fason</x:v>
      </x:c>
      <x:c r="F63" s="42" t="str">
        <x:v>SENTETİK/SİMÜLE — gerçek parti kaydı değildir</x:v>
      </x:c>
      <x:c r="G63" s="38" t="n">
        <x:v>109.914</x:v>
      </x:c>
      <x:c r="H63" s="38" t="n">
        <x:v>34.639</x:v>
      </x:c>
      <x:c r="I63" s="38" t="n">
        <x:v>6.701</x:v>
      </x:c>
      <x:c r="J63" s="38" t="n">
        <x:v>4.198</x:v>
      </x:c>
      <x:c r="K63" s="38" t="n">
        <x:v>1.384</x:v>
      </x:c>
      <x:c r="L63" s="38" t="n">
        <x:f>SUM(G63:K63)</x:f>
        <x:v>156.83599999999998</x:v>
      </x:c>
      <x:c r="M63" s="38" t="n">
        <x:v>196.905</x:v>
      </x:c>
      <x:c r="N63" s="38" t="n">
        <x:v>596.56</x:v>
      </x:c>
      <x:c r="O63" s="38" t="n">
        <x:v>437.78</x:v>
      </x:c>
      <x:c r="P63" s="38" t="n">
        <x:v>550</x:v>
      </x:c>
      <x:c r="Q63" s="38" t="n">
        <x:v>19.88</x:v>
      </x:c>
      <x:c r="R63" s="38" t="n">
        <x:v>43.7475</x:v>
      </x:c>
      <x:c r="S63" s="38" t="n">
        <x:v>82.51</x:v>
      </x:c>
      <x:c r="T63" s="40" t="n">
        <x:v>26.44</x:v>
      </x:c>
      <x:c r="U63" s="40" t="n">
        <x:v>0.86</x:v>
      </x:c>
      <x:c r="V63" s="38" t="n">
        <x:f>L63*(1-T63/100)*(1-U63/100)</x:f>
        <x:v>114.37639197024</x:v>
      </x:c>
      <x:c r="W63" s="38" t="n">
        <x:f>G63*N63</x:f>
        <x:v>65570.29583999999</x:v>
      </x:c>
      <x:c r="X63" s="38" t="n">
        <x:f>H63*O63</x:f>
        <x:v>15164.26142</x:v>
      </x:c>
      <x:c r="Y63" s="38" t="n">
        <x:f>I63*P63</x:f>
        <x:v>3685.5499999999997</x:v>
      </x:c>
      <x:c r="Z63" s="38" t="n">
        <x:f>J63*Q63+K63*P63</x:f>
        <x:v>844.6562399999999</x:v>
      </x:c>
      <x:c r="AA63" s="38" t="n">
        <x:f>M63*R63</x:f>
        <x:v>8614.1014875</x:v>
      </x:c>
      <x:c r="AB63" s="38" t="n">
        <x:f>SUM(W63:AA63)</x:f>
        <x:v>93878.86498749998</x:v>
      </x:c>
      <x:c r="AC63" s="38" t="n">
        <x:v>8.75</x:v>
      </x:c>
      <x:c r="AD63" s="38" t="n">
        <x:v>174.33</x:v>
      </x:c>
      <x:c r="AE63" s="38" t="n">
        <x:v>38.86</x:v>
      </x:c>
      <x:c r="AF63" s="38" t="n">
        <x:v>4.8148</x:v>
      </x:c>
      <x:c r="AG63" s="38" t="n">
        <x:v>5.34</x:v>
      </x:c>
      <x:c r="AH63" s="38" t="n">
        <x:f>IF(E63="Fason",L63*S63,0)</x:f>
        <x:v>12940.538359999999</x:v>
      </x:c>
      <x:c r="AI63" s="38" t="n">
        <x:f>IF(E63="Kurum içi",AC63*AD63+AE63*AF63+AB63*12%,0)</x:f>
        <x:v>0</x:v>
      </x:c>
      <x:c r="AJ63" s="38" t="n">
        <x:f>V63*AG63</x:f>
        <x:v>610.7699331210815</x:v>
      </x:c>
      <x:c r="AK63" s="38" t="n">
        <x:f>AB63*2%</x:f>
        <x:v>1877.5772997499996</x:v>
      </x:c>
      <x:c r="AL63" s="38" t="n">
        <x:f>AB63+AH63+AI63+AJ63+AK63</x:f>
        <x:v>109307.75058037107</x:v>
      </x:c>
      <x:c r="AM63" s="38" t="n">
        <x:f>AL63/V63</x:f>
        <x:v>955.684549035366</x:v>
      </x:c>
      <x:c r="AN63" s="40" t="n">
        <x:f>(W63+X63)/AL63*100</x:f>
        <x:v>73.85986522578564</x:v>
      </x:c>
      <x:c r="AO63" s="28" t="str">
        <x:v>R01-R20; ilgili satırdaki bölgesel fiyat ve maliyet varsayımları</x:v>
      </x:c>
      <x:c r="AP63" s="28" t="str">
        <x:v>Girdi miktarları, alım fiyatı değişimi, fason bedeli ve parti sonucu simüle edilmiştir; işletme kaydı değildir.</x:v>
      </x:c>
    </x:row>
    <x:row r="64" ht="22" customHeight="1">
      <x:c r="A64" t="str">
        <x:v>SUC-0063</x:v>
      </x:c>
      <x:c r="B64" s="36" t="n">
        <x:v>46268</x:v>
      </x:c>
      <x:c r="C64" t="str">
        <x:v>Marmara</x:v>
      </x:c>
      <x:c r="D64" t="str">
        <x:v>ERZURUM_CI</x:v>
      </x:c>
      <x:c r="E64" t="str">
        <x:v>Fason</x:v>
      </x:c>
      <x:c r="F64" s="42" t="str">
        <x:v>SENTETİK/SİMÜLE — gerçek parti kaydı değildir</x:v>
      </x:c>
      <x:c r="G64" s="38" t="n">
        <x:v>364.638</x:v>
      </x:c>
      <x:c r="H64" s="38" t="n">
        <x:v>63.432</x:v>
      </x:c>
      <x:c r="I64" s="38" t="n">
        <x:v>20.38</x:v>
      </x:c>
      <x:c r="J64" s="38" t="n">
        <x:v>6.459</x:v>
      </x:c>
      <x:c r="K64" s="38" t="n">
        <x:v>0.95</x:v>
      </x:c>
      <x:c r="L64" s="38" t="n">
        <x:f>SUM(G64:K64)</x:f>
        <x:v>455.859</x:v>
      </x:c>
      <x:c r="M64" s="38" t="n">
        <x:v>561.126</x:v>
      </x:c>
      <x:c r="N64" s="38" t="n">
        <x:v>600.56</x:v>
      </x:c>
      <x:c r="O64" s="38" t="n">
        <x:v>448.07</x:v>
      </x:c>
      <x:c r="P64" s="38" t="n">
        <x:v>400</x:v>
      </x:c>
      <x:c r="Q64" s="38" t="n">
        <x:v>19.88</x:v>
      </x:c>
      <x:c r="R64" s="38" t="n">
        <x:v>43.7475</x:v>
      </x:c>
      <x:c r="S64" s="38" t="n">
        <x:v>67.97</x:v>
      </x:c>
      <x:c r="T64" s="40" t="n">
        <x:v>17.38</x:v>
      </x:c>
      <x:c r="U64" s="40" t="n">
        <x:v>1.6</x:v>
      </x:c>
      <x:c r="V64" s="38" t="n">
        <x:f>L64*(1-T64/100)*(1-U64/100)</x:f>
        <x:v>370.6046145072</x:v>
      </x:c>
      <x:c r="W64" s="38" t="n">
        <x:f>G64*N64</x:f>
        <x:v>218986.99727999995</x:v>
      </x:c>
      <x:c r="X64" s="38" t="n">
        <x:f>H64*O64</x:f>
        <x:v>28421.97624</x:v>
      </x:c>
      <x:c r="Y64" s="38" t="n">
        <x:f>I64*P64</x:f>
        <x:v>8152</x:v>
      </x:c>
      <x:c r="Z64" s="38" t="n">
        <x:f>J64*Q64+K64*P64</x:f>
        <x:v>508.40491999999995</x:v>
      </x:c>
      <x:c r="AA64" s="38" t="n">
        <x:f>M64*R64</x:f>
        <x:v>24547.859685</x:v>
      </x:c>
      <x:c r="AB64" s="38" t="n">
        <x:f>SUM(W64:AA64)</x:f>
        <x:v>280617.2381249999</x:v>
      </x:c>
      <x:c r="AC64" s="38" t="n">
        <x:v>29.47</x:v>
      </x:c>
      <x:c r="AD64" s="38" t="n">
        <x:v>174.33</x:v>
      </x:c>
      <x:c r="AE64" s="38" t="n">
        <x:v>218.45</x:v>
      </x:c>
      <x:c r="AF64" s="38" t="n">
        <x:v>4.8148</x:v>
      </x:c>
      <x:c r="AG64" s="38" t="n">
        <x:v>5.73</x:v>
      </x:c>
      <x:c r="AH64" s="38" t="n">
        <x:f>IF(E64="Fason",L64*S64,0)</x:f>
        <x:v>30984.73623</x:v>
      </x:c>
      <x:c r="AI64" s="38" t="n">
        <x:f>IF(E64="Kurum içi",AC64*AD64+AE64*AF64+AB64*12%,0)</x:f>
        <x:v>0</x:v>
      </x:c>
      <x:c r="AJ64" s="38" t="n">
        <x:f>V64*AG64</x:f>
        <x:v>2123.564441126256</x:v>
      </x:c>
      <x:c r="AK64" s="38" t="n">
        <x:f>AB64*2%</x:f>
        <x:v>5612.344762499998</x:v>
      </x:c>
      <x:c r="AL64" s="38" t="n">
        <x:f>AB64+AH64+AI64+AJ64+AK64</x:f>
        <x:v>319337.88355862617</x:v>
      </x:c>
      <x:c r="AM64" s="38" t="n">
        <x:f>AL64/V64</x:f>
        <x:v>861.6673162131449</x:v>
      </x:c>
      <x:c r="AN64" s="40" t="n">
        <x:f>(W64+X64)/AL64*100</x:f>
        <x:v>77.47561008513384</x:v>
      </x:c>
      <x:c r="AO64" s="28" t="str">
        <x:v>R01-R20; ilgili satırdaki bölgesel fiyat ve maliyet varsayımları</x:v>
      </x:c>
      <x:c r="AP64" s="28" t="str">
        <x:v>Girdi miktarları, alım fiyatı değişimi, fason bedeli ve parti sonucu simüle edilmiştir; işletme kaydı değildir.</x:v>
      </x:c>
    </x:row>
    <x:row r="65" ht="22" customHeight="1">
      <x:c r="A65" t="str">
        <x:v>SUC-0064</x:v>
      </x:c>
      <x:c r="B65" s="36" t="n">
        <x:v>46288</x:v>
      </x:c>
      <x:c r="C65" t="str">
        <x:v>Doğu Anadolu</x:v>
      </x:c>
      <x:c r="D65" t="str">
        <x:v>ERZURUM_CI</x:v>
      </x:c>
      <x:c r="E65" t="str">
        <x:v>Kurum içi</x:v>
      </x:c>
      <x:c r="F65" s="42" t="str">
        <x:v>SENTETİK/SİMÜLE — gerçek parti kaydı değildir</x:v>
      </x:c>
      <x:c r="G65" s="38" t="n">
        <x:v>84.91</x:v>
      </x:c>
      <x:c r="H65" s="38" t="n">
        <x:v>15.162</x:v>
      </x:c>
      <x:c r="I65" s="38" t="n">
        <x:v>4.946</x:v>
      </x:c>
      <x:c r="J65" s="38" t="n">
        <x:v>1.592</x:v>
      </x:c>
      <x:c r="K65" s="38" t="n">
        <x:v>0.231</x:v>
      </x:c>
      <x:c r="L65" s="38" t="n">
        <x:f>SUM(G65:K65)</x:f>
        <x:v>106.841</x:v>
      </x:c>
      <x:c r="M65" s="38" t="n">
        <x:v>142.481</x:v>
      </x:c>
      <x:c r="N65" s="38" t="n">
        <x:v>594.2</x:v>
      </x:c>
      <x:c r="O65" s="38" t="n">
        <x:v>446.28</x:v>
      </x:c>
      <x:c r="P65" s="38" t="n">
        <x:v>400</x:v>
      </x:c>
      <x:c r="Q65" s="38" t="n">
        <x:v>19.88</x:v>
      </x:c>
      <x:c r="R65" s="38" t="n">
        <x:v>43.7475</x:v>
      </x:c>
      <x:c r="S65" s="38" t="n">
        <x:v>85.7</x:v>
      </x:c>
      <x:c r="T65" s="40" t="n">
        <x:v>16.57</x:v>
      </x:c>
      <x:c r="U65" s="40" t="n">
        <x:v>1.26</x:v>
      </x:c>
      <x:c r="V65" s="38" t="n">
        <x:f>L65*(1-T65/100)*(1-U65/100)</x:f>
        <x:v>88.01431447662</x:v>
      </x:c>
      <x:c r="W65" s="38" t="n">
        <x:f>G65*N65</x:f>
        <x:v>50453.522000000004</x:v>
      </x:c>
      <x:c r="X65" s="38" t="n">
        <x:f>H65*O65</x:f>
        <x:v>6766.49736</x:v>
      </x:c>
      <x:c r="Y65" s="38" t="n">
        <x:f>I65*P65</x:f>
        <x:v>1978.3999999999999</x:v>
      </x:c>
      <x:c r="Z65" s="38" t="n">
        <x:f>J65*Q65+K65*P65</x:f>
        <x:v>124.04896000000001</x:v>
      </x:c>
      <x:c r="AA65" s="38" t="n">
        <x:f>M65*R65</x:f>
        <x:v>6233.1875475</x:v>
      </x:c>
      <x:c r="AB65" s="38" t="n">
        <x:f>SUM(W65:AA65)</x:f>
        <x:v>65555.65586750001</x:v>
      </x:c>
      <x:c r="AC65" s="38" t="n">
        <x:v>7.3</x:v>
      </x:c>
      <x:c r="AD65" s="38" t="n">
        <x:v>174.33</x:v>
      </x:c>
      <x:c r="AE65" s="38" t="n">
        <x:v>36.69</x:v>
      </x:c>
      <x:c r="AF65" s="38" t="n">
        <x:v>4.8148</x:v>
      </x:c>
      <x:c r="AG65" s="38" t="n">
        <x:v>5.74</x:v>
      </x:c>
      <x:c r="AH65" s="38" t="n">
        <x:f>IF(E65="Fason",L65*S65,0)</x:f>
        <x:v>0</x:v>
      </x:c>
      <x:c r="AI65" s="38" t="n">
        <x:f>IF(E65="Kurum içi",AC65*AD65+AE65*AF65+AB65*12%,0)</x:f>
        <x:v>9315.942716100002</x:v>
      </x:c>
      <x:c r="AJ65" s="38" t="n">
        <x:f>V65*AG65</x:f>
        <x:v>505.2021650957988</x:v>
      </x:c>
      <x:c r="AK65" s="38" t="n">
        <x:f>AB65*2%</x:f>
        <x:v>1311.1131173500003</x:v>
      </x:c>
      <x:c r="AL65" s="38" t="n">
        <x:f>AB65+AH65+AI65+AJ65+AK65</x:f>
        <x:v>76687.91386604583</x:v>
      </x:c>
      <x:c r="AM65" s="38" t="n">
        <x:f>AL65/V65</x:f>
        <x:v>871.3118351494642</x:v>
      </x:c>
      <x:c r="AN65" s="40" t="n">
        <x:f>(W65+X65)/AL65*100</x:f>
        <x:v>74.61412949627075</x:v>
      </x:c>
      <x:c r="AO65" s="28" t="str">
        <x:v>R01-R20; ilgili satırdaki bölgesel fiyat ve maliyet varsayımları</x:v>
      </x:c>
      <x:c r="AP65" s="28" t="str">
        <x:v>Girdi miktarları, alım fiyatı değişimi, fason bedeli ve parti sonucu simüle edilmiştir; işletme kaydı değildir.</x:v>
      </x:c>
    </x:row>
    <x:row r="66" ht="22" customHeight="1">
      <x:c r="A66" t="str">
        <x:v>SUC-0065</x:v>
      </x:c>
      <x:c r="B66" s="36" t="n">
        <x:v>46279</x:v>
      </x:c>
      <x:c r="C66" t="str">
        <x:v>Marmara</x:v>
      </x:c>
      <x:c r="D66" t="str">
        <x:v>ERZURUM_CI</x:v>
      </x:c>
      <x:c r="E66" t="str">
        <x:v>Kurum içi</x:v>
      </x:c>
      <x:c r="F66" s="42" t="str">
        <x:v>SENTETİK/SİMÜLE — gerçek parti kaydı değildir</x:v>
      </x:c>
      <x:c r="G66" s="38" t="n">
        <x:v>223.863</x:v>
      </x:c>
      <x:c r="H66" s="38" t="n">
        <x:v>41.08</x:v>
      </x:c>
      <x:c r="I66" s="38" t="n">
        <x:v>13.468</x:v>
      </x:c>
      <x:c r="J66" s="38" t="n">
        <x:v>4.407</x:v>
      </x:c>
      <x:c r="K66" s="38" t="n">
        <x:v>0.033</x:v>
      </x:c>
      <x:c r="L66" s="38" t="n">
        <x:f>SUM(G66:K66)</x:f>
        <x:v>282.851</x:v>
      </x:c>
      <x:c r="M66" s="38" t="n">
        <x:v>356.14</x:v>
      </x:c>
      <x:c r="N66" s="38" t="n">
        <x:v>602.3</x:v>
      </x:c>
      <x:c r="O66" s="38" t="n">
        <x:v>468.47</x:v>
      </x:c>
      <x:c r="P66" s="38" t="n">
        <x:v>669.9</x:v>
      </x:c>
      <x:c r="Q66" s="38" t="n">
        <x:v>19.88</x:v>
      </x:c>
      <x:c r="R66" s="38" t="n">
        <x:v>43.7475</x:v>
      </x:c>
      <x:c r="S66" s="38" t="n">
        <x:v>72.89</x:v>
      </x:c>
      <x:c r="T66" s="40" t="n">
        <x:v>19.11</x:v>
      </x:c>
      <x:c r="U66" s="40" t="n">
        <x:v>1.38</x:v>
      </x:c>
      <x:c r="V66" s="38" t="n">
        <x:f>L66*(1-T66/100)*(1-U66/100)</x:f>
        <x:v>225.64075910018</x:v>
      </x:c>
      <x:c r="W66" s="38" t="n">
        <x:f>G66*N66</x:f>
        <x:v>134832.6849</x:v>
      </x:c>
      <x:c r="X66" s="38" t="n">
        <x:f>H66*O66</x:f>
        <x:v>19244.7476</x:v>
      </x:c>
      <x:c r="Y66" s="38" t="n">
        <x:f>I66*P66</x:f>
        <x:v>9022.2132</x:v>
      </x:c>
      <x:c r="Z66" s="38" t="n">
        <x:f>J66*Q66+K66*P66</x:f>
        <x:v>109.71786</x:v>
      </x:c>
      <x:c r="AA66" s="38" t="n">
        <x:f>M66*R66</x:f>
        <x:v>15580.23465</x:v>
      </x:c>
      <x:c r="AB66" s="38" t="n">
        <x:f>SUM(W66:AA66)</x:f>
        <x:v>178789.59821</x:v>
      </x:c>
      <x:c r="AC66" s="38" t="n">
        <x:v>16.31</x:v>
      </x:c>
      <x:c r="AD66" s="38" t="n">
        <x:v>174.33</x:v>
      </x:c>
      <x:c r="AE66" s="38" t="n">
        <x:v>105.18</x:v>
      </x:c>
      <x:c r="AF66" s="38" t="n">
        <x:v>4.8148</x:v>
      </x:c>
      <x:c r="AG66" s="38" t="n">
        <x:v>5.18</x:v>
      </x:c>
      <x:c r="AH66" s="38" t="n">
        <x:f>IF(E66="Fason",L66*S66,0)</x:f>
        <x:v>0</x:v>
      </x:c>
      <x:c r="AI66" s="38" t="n">
        <x:f>IF(E66="Kurum içi",AC66*AD66+AE66*AF66+AB66*12%,0)</x:f>
        <x:v>24804.4947492</x:v>
      </x:c>
      <x:c r="AJ66" s="38" t="n">
        <x:f>V66*AG66</x:f>
        <x:v>1168.8191321389322</x:v>
      </x:c>
      <x:c r="AK66" s="38" t="n">
        <x:f>AB66*2%</x:f>
        <x:v>3575.7919642</x:v>
      </x:c>
      <x:c r="AL66" s="38" t="n">
        <x:f>AB66+AH66+AI66+AJ66+AK66</x:f>
        <x:v>208338.70405553895</x:v>
      </x:c>
      <x:c r="AM66" s="38" t="n">
        <x:f>AL66/V66</x:f>
        <x:v>923.320347291691</x:v>
      </x:c>
      <x:c r="AN66" s="40" t="n">
        <x:f>(W66+X66)/AL66*100</x:f>
        <x:v>73.95526107281823</x:v>
      </x:c>
      <x:c r="AO66" s="28" t="str">
        <x:v>R01-R20; ilgili satırdaki bölgesel fiyat ve maliyet varsayımları</x:v>
      </x:c>
      <x:c r="AP66" s="28" t="str">
        <x:v>Girdi miktarları, alım fiyatı değişimi, fason bedeli ve parti sonucu simüle edilmiştir; işletme kaydı değildir.</x:v>
      </x:c>
    </x:row>
    <x:row r="67" ht="22" customHeight="1">
      <x:c r="A67" t="str">
        <x:v>SUC-0066</x:v>
      </x:c>
      <x:c r="B67" s="36" t="n">
        <x:v>46280</x:v>
      </x:c>
      <x:c r="C67" t="str">
        <x:v>Akdeniz</x:v>
      </x:c>
      <x:c r="D67" t="str">
        <x:v>ERZURUM_CI</x:v>
      </x:c>
      <x:c r="E67" t="str">
        <x:v>Fason</x:v>
      </x:c>
      <x:c r="F67" s="42" t="str">
        <x:v>SENTETİK/SİMÜLE — gerçek parti kaydı değildir</x:v>
      </x:c>
      <x:c r="G67" s="38" t="n">
        <x:v>391.572</x:v>
      </x:c>
      <x:c r="H67" s="38" t="n">
        <x:v>74.282</x:v>
      </x:c>
      <x:c r="I67" s="38" t="n">
        <x:v>24.157</x:v>
      </x:c>
      <x:c r="J67" s="38" t="n">
        <x:v>8.873</x:v>
      </x:c>
      <x:c r="K67" s="38" t="n">
        <x:v>0.641</x:v>
      </x:c>
      <x:c r="L67" s="38" t="n">
        <x:f>SUM(G67:K67)</x:f>
        <x:v>499.525</x:v>
      </x:c>
      <x:c r="M67" s="38" t="n">
        <x:v>628.698</x:v>
      </x:c>
      <x:c r="N67" s="38" t="n">
        <x:v>576.31</x:v>
      </x:c>
      <x:c r="O67" s="38" t="n">
        <x:v>436.17</x:v>
      </x:c>
      <x:c r="P67" s="38" t="n">
        <x:v>550</x:v>
      </x:c>
      <x:c r="Q67" s="38" t="n">
        <x:v>19.88</x:v>
      </x:c>
      <x:c r="R67" s="38" t="n">
        <x:v>43.7475</x:v>
      </x:c>
      <x:c r="S67" s="38" t="n">
        <x:v>90.83</x:v>
      </x:c>
      <x:c r="T67" s="40" t="n">
        <x:v>19.75</x:v>
      </x:c>
      <x:c r="U67" s="40" t="n">
        <x:v>0.83</x:v>
      </x:c>
      <x:c r="V67" s="38" t="n">
        <x:f>L67*(1-T67/100)*(1-U67/100)</x:f>
        <x:v>397.54160135625</x:v>
      </x:c>
      <x:c r="W67" s="38" t="n">
        <x:f>G67*N67</x:f>
        <x:v>225666.85932</x:v>
      </x:c>
      <x:c r="X67" s="38" t="n">
        <x:f>H67*O67</x:f>
        <x:v>32399.57994</x:v>
      </x:c>
      <x:c r="Y67" s="38" t="n">
        <x:f>I67*P67</x:f>
        <x:v>13286.35</x:v>
      </x:c>
      <x:c r="Z67" s="38" t="n">
        <x:f>J67*Q67+K67*P67</x:f>
        <x:v>528.94524</x:v>
      </x:c>
      <x:c r="AA67" s="38" t="n">
        <x:f>M67*R67</x:f>
        <x:v>27503.965755</x:v>
      </x:c>
      <x:c r="AB67" s="38" t="n">
        <x:f>SUM(W67:AA67)</x:f>
        <x:v>299385.700255</x:v>
      </x:c>
      <x:c r="AC67" s="38" t="n">
        <x:v>26.75</x:v>
      </x:c>
      <x:c r="AD67" s="38" t="n">
        <x:v>174.33</x:v>
      </x:c>
      <x:c r="AE67" s="38" t="n">
        <x:v>134.28</x:v>
      </x:c>
      <x:c r="AF67" s="38" t="n">
        <x:v>4.8148</x:v>
      </x:c>
      <x:c r="AG67" s="38" t="n">
        <x:v>5.33</x:v>
      </x:c>
      <x:c r="AH67" s="38" t="n">
        <x:f>IF(E67="Fason",L67*S67,0)</x:f>
        <x:v>45371.855749999995</x:v>
      </x:c>
      <x:c r="AI67" s="38" t="n">
        <x:f>IF(E67="Kurum içi",AC67*AD67+AE67*AF67+AB67*12%,0)</x:f>
        <x:v>0</x:v>
      </x:c>
      <x:c r="AJ67" s="38" t="n">
        <x:f>V67*AG67</x:f>
        <x:v>2118.8967352288123</x:v>
      </x:c>
      <x:c r="AK67" s="38" t="n">
        <x:f>AB67*2%</x:f>
        <x:v>5987.7140051</x:v>
      </x:c>
      <x:c r="AL67" s="38" t="n">
        <x:f>AB67+AH67+AI67+AJ67+AK67</x:f>
        <x:v>352864.1667453288</x:v>
      </x:c>
      <x:c r="AM67" s="38" t="n">
        <x:f>AL67/V67</x:f>
        <x:v>887.6156999456158</x:v>
      </x:c>
      <x:c r="AN67" s="40" t="n">
        <x:f>(W67+X67)/AL67*100</x:f>
        <x:v>73.13478204383762</x:v>
      </x:c>
      <x:c r="AO67" s="28" t="str">
        <x:v>R01-R20; ilgili satırdaki bölgesel fiyat ve maliyet varsayımları</x:v>
      </x:c>
      <x:c r="AP67" s="28" t="str">
        <x:v>Girdi miktarları, alım fiyatı değişimi, fason bedeli ve parti sonucu simüle edilmiştir; işletme kaydı değildir.</x:v>
      </x:c>
    </x:row>
    <x:row r="68" ht="22" customHeight="1">
      <x:c r="A68" t="str">
        <x:v>SUC-0067</x:v>
      </x:c>
      <x:c r="B68" s="36" t="n">
        <x:v>46269</x:v>
      </x:c>
      <x:c r="C68" t="str">
        <x:v>Karadeniz</x:v>
      </x:c>
      <x:c r="D68" t="str">
        <x:v>MEB_STANDART</x:v>
      </x:c>
      <x:c r="E68" t="str">
        <x:v>Kurum içi</x:v>
      </x:c>
      <x:c r="F68" s="42" t="str">
        <x:v>SENTETİK/SİMÜLE — gerçek parti kaydı değildir</x:v>
      </x:c>
      <x:c r="G68" s="38" t="n">
        <x:v>46.68</x:v>
      </x:c>
      <x:c r="H68" s="38" t="n">
        <x:v>15.458</x:v>
      </x:c>
      <x:c r="I68" s="38" t="n">
        <x:v>3.217</x:v>
      </x:c>
      <x:c r="J68" s="38" t="n">
        <x:v>1.712</x:v>
      </x:c>
      <x:c r="K68" s="38" t="n">
        <x:v>0.723</x:v>
      </x:c>
      <x:c r="L68" s="38" t="n">
        <x:f>SUM(G68:K68)</x:f>
        <x:v>67.79</x:v>
      </x:c>
      <x:c r="M68" s="38" t="n">
        <x:v>81.103</x:v>
      </x:c>
      <x:c r="N68" s="38" t="n">
        <x:v>599.79</x:v>
      </x:c>
      <x:c r="O68" s="38" t="n">
        <x:v>416.85</x:v>
      </x:c>
      <x:c r="P68" s="38" t="n">
        <x:v>550</x:v>
      </x:c>
      <x:c r="Q68" s="38" t="n">
        <x:v>19.88</x:v>
      </x:c>
      <x:c r="R68" s="38" t="n">
        <x:v>43.7475</x:v>
      </x:c>
      <x:c r="S68" s="38" t="n">
        <x:v>76.25</x:v>
      </x:c>
      <x:c r="T68" s="40" t="n">
        <x:v>25.53</x:v>
      </x:c>
      <x:c r="U68" s="40" t="n">
        <x:v>0.97</x:v>
      </x:c>
      <x:c r="V68" s="38" t="n">
        <x:f>L68*(1-T68/100)*(1-U68/100)</x:f>
        <x:v>49.993525833899994</x:v>
      </x:c>
      <x:c r="W68" s="38" t="n">
        <x:f>G68*N68</x:f>
        <x:v>27998.1972</x:v>
      </x:c>
      <x:c r="X68" s="38" t="n">
        <x:f>H68*O68</x:f>
        <x:v>6443.6673</x:v>
      </x:c>
      <x:c r="Y68" s="38" t="n">
        <x:f>I68*P68</x:f>
        <x:v>1769.3500000000001</x:v>
      </x:c>
      <x:c r="Z68" s="38" t="n">
        <x:f>J68*Q68+K68*P68</x:f>
        <x:v>431.68456</x:v>
      </x:c>
      <x:c r="AA68" s="38" t="n">
        <x:f>M68*R68</x:f>
        <x:v>3548.0534924999997</x:v>
      </x:c>
      <x:c r="AB68" s="38" t="n">
        <x:f>SUM(W68:AA68)</x:f>
        <x:v>40190.9525525</x:v>
      </x:c>
      <x:c r="AC68" s="38" t="n">
        <x:v>2.55</x:v>
      </x:c>
      <x:c r="AD68" s="38" t="n">
        <x:v>174.33</x:v>
      </x:c>
      <x:c r="AE68" s="38" t="n">
        <x:v>18.61</x:v>
      </x:c>
      <x:c r="AF68" s="38" t="n">
        <x:v>4.8148</x:v>
      </x:c>
      <x:c r="AG68" s="38" t="n">
        <x:v>5.14</x:v>
      </x:c>
      <x:c r="AH68" s="38" t="n">
        <x:f>IF(E68="Fason",L68*S68,0)</x:f>
        <x:v>0</x:v>
      </x:c>
      <x:c r="AI68" s="38" t="n">
        <x:f>IF(E68="Kurum içi",AC68*AD68+AE68*AF68+AB68*12%,0)</x:f>
        <x:v>5357.0592343</x:v>
      </x:c>
      <x:c r="AJ68" s="38" t="n">
        <x:f>V68*AG68</x:f>
        <x:v>256.96672278624595</x:v>
      </x:c>
      <x:c r="AK68" s="38" t="n">
        <x:f>AB68*2%</x:f>
        <x:v>803.81905105</x:v>
      </x:c>
      <x:c r="AL68" s="38" t="n">
        <x:f>AB68+AH68+AI68+AJ68+AK68</x:f>
        <x:v>46608.797560636245</x:v>
      </x:c>
      <x:c r="AM68" s="38" t="n">
        <x:f>AL68/V68</x:f>
        <x:v>932.2966680823979</x:v>
      </x:c>
      <x:c r="AN68" s="40" t="n">
        <x:f>(W68+X68)/AL68*100</x:f>
        <x:v>73.89562980077412</x:v>
      </x:c>
      <x:c r="AO68" s="28" t="str">
        <x:v>R01-R20; ilgili satırdaki bölgesel fiyat ve maliyet varsayımları</x:v>
      </x:c>
      <x:c r="AP68" s="28" t="str">
        <x:v>Girdi miktarları, alım fiyatı değişimi, fason bedeli ve parti sonucu simüle edilmiştir; işletme kaydı değildir.</x:v>
      </x:c>
    </x:row>
    <x:row r="69" ht="22" customHeight="1">
      <x:c r="A69" t="str">
        <x:v>SUC-0068</x:v>
      </x:c>
      <x:c r="B69" s="36" t="n">
        <x:v>46279</x:v>
      </x:c>
      <x:c r="C69" t="str">
        <x:v>Güneydoğu Anadolu</x:v>
      </x:c>
      <x:c r="D69" t="str">
        <x:v>MEB_STANDART</x:v>
      </x:c>
      <x:c r="E69" t="str">
        <x:v>Kurum içi</x:v>
      </x:c>
      <x:c r="F69" s="42" t="str">
        <x:v>SENTETİK/SİMÜLE — gerçek parti kaydı değildir</x:v>
      </x:c>
      <x:c r="G69" s="38" t="n">
        <x:v>127.203</x:v>
      </x:c>
      <x:c r="H69" s="38" t="n">
        <x:v>41.579</x:v>
      </x:c>
      <x:c r="I69" s="38" t="n">
        <x:v>7.806</x:v>
      </x:c>
      <x:c r="J69" s="38" t="n">
        <x:v>4.606</x:v>
      </x:c>
      <x:c r="K69" s="38" t="n">
        <x:v>2.094</x:v>
      </x:c>
      <x:c r="L69" s="38" t="n">
        <x:f>SUM(G69:K69)</x:f>
        <x:v>183.288</x:v>
      </x:c>
      <x:c r="M69" s="38" t="n">
        <x:v>226.807</x:v>
      </x:c>
      <x:c r="N69" s="38" t="n">
        <x:v>569.73</x:v>
      </x:c>
      <x:c r="O69" s="38" t="n">
        <x:v>479.49</x:v>
      </x:c>
      <x:c r="P69" s="38" t="n">
        <x:v>669.9</x:v>
      </x:c>
      <x:c r="Q69" s="38" t="n">
        <x:v>19.88</x:v>
      </x:c>
      <x:c r="R69" s="38" t="n">
        <x:v>43.7475</x:v>
      </x:c>
      <x:c r="S69" s="38" t="n">
        <x:v>110.79</x:v>
      </x:c>
      <x:c r="T69" s="40" t="n">
        <x:v>22.71</x:v>
      </x:c>
      <x:c r="U69" s="40" t="n">
        <x:v>1</x:v>
      </x:c>
      <x:c r="V69" s="38" t="n">
        <x:f>L69*(1-T69/100)*(1-U69/100)</x:f>
        <x:v>140.246662248</x:v>
      </x:c>
      <x:c r="W69" s="38" t="n">
        <x:f>G69*N69</x:f>
        <x:v>72471.36519</x:v>
      </x:c>
      <x:c r="X69" s="38" t="n">
        <x:f>H69*O69</x:f>
        <x:v>19936.71471</x:v>
      </x:c>
      <x:c r="Y69" s="38" t="n">
        <x:f>I69*P69</x:f>
        <x:v>5229.2393999999995</x:v>
      </x:c>
      <x:c r="Z69" s="38" t="n">
        <x:f>J69*Q69+K69*P69</x:f>
        <x:v>1494.3378799999998</x:v>
      </x:c>
      <x:c r="AA69" s="38" t="n">
        <x:f>M69*R69</x:f>
        <x:v>9922.2392325</x:v>
      </x:c>
      <x:c r="AB69" s="38" t="n">
        <x:f>SUM(W69:AA69)</x:f>
        <x:v>109053.8964125</x:v>
      </x:c>
      <x:c r="AC69" s="38" t="n">
        <x:v>8.95</x:v>
      </x:c>
      <x:c r="AD69" s="38" t="n">
        <x:v>174.33</x:v>
      </x:c>
      <x:c r="AE69" s="38" t="n">
        <x:v>75.23</x:v>
      </x:c>
      <x:c r="AF69" s="38" t="n">
        <x:v>4.8148</x:v>
      </x:c>
      <x:c r="AG69" s="38" t="n">
        <x:v>5.17</x:v>
      </x:c>
      <x:c r="AH69" s="38" t="n">
        <x:f>IF(E69="Fason",L69*S69,0)</x:f>
        <x:v>0</x:v>
      </x:c>
      <x:c r="AI69" s="38" t="n">
        <x:f>IF(E69="Kurum içi",AC69*AD69+AE69*AF69+AB69*12%,0)</x:f>
        <x:v>15008.9384735</x:v>
      </x:c>
      <x:c r="AJ69" s="38" t="n">
        <x:f>V69*AG69</x:f>
        <x:v>725.07524382216</x:v>
      </x:c>
      <x:c r="AK69" s="38" t="n">
        <x:f>AB69*2%</x:f>
        <x:v>2181.0779282500002</x:v>
      </x:c>
      <x:c r="AL69" s="38" t="n">
        <x:f>AB69+AH69+AI69+AJ69+AK69</x:f>
        <x:v>126968.98805807217</x:v>
      </x:c>
      <x:c r="AM69" s="38" t="n">
        <x:f>AL69/V69</x:f>
        <x:v>905.3262731739828</x:v>
      </x:c>
      <x:c r="AN69" s="40" t="n">
        <x:f>(W69+X69)/AL69*100</x:f>
        <x:v>72.78003968790793</x:v>
      </x:c>
      <x:c r="AO69" s="28" t="str">
        <x:v>R01-R20; ilgili satırdaki bölgesel fiyat ve maliyet varsayımları</x:v>
      </x:c>
      <x:c r="AP69" s="28" t="str">
        <x:v>Girdi miktarları, alım fiyatı değişimi, fason bedeli ve parti sonucu simüle edilmiştir; işletme kaydı değildir.</x:v>
      </x:c>
    </x:row>
    <x:row r="70" ht="22" customHeight="1">
      <x:c r="A70" t="str">
        <x:v>SUC-0069</x:v>
      </x:c>
      <x:c r="B70" s="36" t="n">
        <x:v>46317</x:v>
      </x:c>
      <x:c r="C70" t="str">
        <x:v>Doğu Anadolu</x:v>
      </x:c>
      <x:c r="D70" t="str">
        <x:v>MEB_STANDART</x:v>
      </x:c>
      <x:c r="E70" t="str">
        <x:v>Kurum içi</x:v>
      </x:c>
      <x:c r="F70" s="42" t="str">
        <x:v>SENTETİK/SİMÜLE — gerçek parti kaydı değildir</x:v>
      </x:c>
      <x:c r="G70" s="38" t="n">
        <x:v>91.272</x:v>
      </x:c>
      <x:c r="H70" s="38" t="n">
        <x:v>28.601</x:v>
      </x:c>
      <x:c r="I70" s="38" t="n">
        <x:v>5.974</x:v>
      </x:c>
      <x:c r="J70" s="38" t="n">
        <x:v>3.242</x:v>
      </x:c>
      <x:c r="K70" s="38" t="n">
        <x:v>1.37</x:v>
      </x:c>
      <x:c r="L70" s="38" t="n">
        <x:f>SUM(G70:K70)</x:f>
        <x:v>130.459</x:v>
      </x:c>
      <x:c r="M70" s="38" t="n">
        <x:v>158.305</x:v>
      </x:c>
      <x:c r="N70" s="38" t="n">
        <x:v>602.98</x:v>
      </x:c>
      <x:c r="O70" s="38" t="n">
        <x:v>444.32</x:v>
      </x:c>
      <x:c r="P70" s="38" t="n">
        <x:v>669.9</x:v>
      </x:c>
      <x:c r="Q70" s="38" t="n">
        <x:v>19.88</x:v>
      </x:c>
      <x:c r="R70" s="38" t="n">
        <x:v>43.7475</x:v>
      </x:c>
      <x:c r="S70" s="38" t="n">
        <x:v>120.92</x:v>
      </x:c>
      <x:c r="T70" s="40" t="n">
        <x:v>16.41</x:v>
      </x:c>
      <x:c r="U70" s="40" t="n">
        <x:v>1.78</x:v>
      </x:c>
      <x:c r="V70" s="38" t="n">
        <x:f>L70*(1-T70/100)*(1-U70/100)</x:f>
        <x:v>107.10957602981999</x:v>
      </x:c>
      <x:c r="W70" s="38" t="n">
        <x:f>G70*N70</x:f>
        <x:v>55035.19056</x:v>
      </x:c>
      <x:c r="X70" s="38" t="n">
        <x:f>H70*O70</x:f>
        <x:v>12707.99632</x:v>
      </x:c>
      <x:c r="Y70" s="38" t="n">
        <x:f>I70*P70</x:f>
        <x:v>4001.9826</x:v>
      </x:c>
      <x:c r="Z70" s="38" t="n">
        <x:f>J70*Q70+K70*P70</x:f>
        <x:v>982.21396</x:v>
      </x:c>
      <x:c r="AA70" s="38" t="n">
        <x:f>M70*R70</x:f>
        <x:v>6925.447987500001</x:v>
      </x:c>
      <x:c r="AB70" s="38" t="n">
        <x:f>SUM(W70:AA70)</x:f>
        <x:v>79652.8314275</x:v>
      </x:c>
      <x:c r="AC70" s="38" t="n">
        <x:v>7.34</x:v>
      </x:c>
      <x:c r="AD70" s="38" t="n">
        <x:v>174.33</x:v>
      </x:c>
      <x:c r="AE70" s="38" t="n">
        <x:v>42.88</x:v>
      </x:c>
      <x:c r="AF70" s="38" t="n">
        <x:v>4.8148</x:v>
      </x:c>
      <x:c r="AG70" s="38" t="n">
        <x:v>5.85</x:v>
      </x:c>
      <x:c r="AH70" s="38" t="n">
        <x:f>IF(E70="Fason",L70*S70,0)</x:f>
        <x:v>0</x:v>
      </x:c>
      <x:c r="AI70" s="38" t="n">
        <x:f>IF(E70="Kurum içi",AC70*AD70+AE70*AF70+AB70*12%,0)</x:f>
        <x:v>11044.3805953</x:v>
      </x:c>
      <x:c r="AJ70" s="38" t="n">
        <x:f>V70*AG70</x:f>
        <x:v>626.5910197744469</x:v>
      </x:c>
      <x:c r="AK70" s="38" t="n">
        <x:f>AB70*2%</x:f>
        <x:v>1593.0566285500001</x:v>
      </x:c>
      <x:c r="AL70" s="38" t="n">
        <x:f>AB70+AH70+AI70+AJ70+AK70</x:f>
        <x:v>92916.85967112445</x:v>
      </x:c>
      <x:c r="AM70" s="38" t="n">
        <x:f>AL70/V70</x:f>
        <x:v>867.4934876528295</x:v>
      </x:c>
      <x:c r="AN70" s="40" t="n">
        <x:f>(W70+X70)/AL70*100</x:f>
        <x:v>72.90731425897769</x:v>
      </x:c>
      <x:c r="AO70" s="28" t="str">
        <x:v>R01-R20; ilgili satırdaki bölgesel fiyat ve maliyet varsayımları</x:v>
      </x:c>
      <x:c r="AP70" s="28" t="str">
        <x:v>Girdi miktarları, alım fiyatı değişimi, fason bedeli ve parti sonucu simüle edilmiştir; işletme kaydı değildir.</x:v>
      </x:c>
    </x:row>
    <x:row r="71" ht="22" customHeight="1">
      <x:c r="A71" t="str">
        <x:v>SUC-0070</x:v>
      </x:c>
      <x:c r="B71" s="36" t="n">
        <x:v>46289</x:v>
      </x:c>
      <x:c r="C71" t="str">
        <x:v>Karadeniz</x:v>
      </x:c>
      <x:c r="D71" t="str">
        <x:v>ERZURUM_CI</x:v>
      </x:c>
      <x:c r="E71" t="str">
        <x:v>Fason</x:v>
      </x:c>
      <x:c r="F71" s="42" t="str">
        <x:v>SENTETİK/SİMÜLE — gerçek parti kaydı değildir</x:v>
      </x:c>
      <x:c r="G71" s="38" t="n">
        <x:v>125.333</x:v>
      </x:c>
      <x:c r="H71" s="38" t="n">
        <x:v>23.077</x:v>
      </x:c>
      <x:c r="I71" s="38" t="n">
        <x:v>7.181</x:v>
      </x:c>
      <x:c r="J71" s="38" t="n">
        <x:v>2.605</x:v>
      </x:c>
      <x:c r="K71" s="38" t="n">
        <x:v>0.226</x:v>
      </x:c>
      <x:c r="L71" s="38" t="n">
        <x:f>SUM(G71:K71)</x:f>
        <x:v>158.422</x:v>
      </x:c>
      <x:c r="M71" s="38" t="n">
        <x:v>204.023</x:v>
      </x:c>
      <x:c r="N71" s="38" t="n">
        <x:v>614.87</x:v>
      </x:c>
      <x:c r="O71" s="38" t="n">
        <x:v>448.58</x:v>
      </x:c>
      <x:c r="P71" s="38" t="n">
        <x:v>550</x:v>
      </x:c>
      <x:c r="Q71" s="38" t="n">
        <x:v>19.88</x:v>
      </x:c>
      <x:c r="R71" s="38" t="n">
        <x:v>43.7475</x:v>
      </x:c>
      <x:c r="S71" s="38" t="n">
        <x:v>68.84</x:v>
      </x:c>
      <x:c r="T71" s="40" t="n">
        <x:v>19.89</x:v>
      </x:c>
      <x:c r="U71" s="40" t="n">
        <x:v>0.49</x:v>
      </x:c>
      <x:c r="V71" s="38" t="n">
        <x:f>L71*(1-T71/100)*(1-U71/100)</x:f>
        <x:v>126.28999606542</x:v>
      </x:c>
      <x:c r="W71" s="38" t="n">
        <x:f>G71*N71</x:f>
        <x:v>77063.50171</x:v>
      </x:c>
      <x:c r="X71" s="38" t="n">
        <x:f>H71*O71</x:f>
        <x:v>10351.88066</x:v>
      </x:c>
      <x:c r="Y71" s="38" t="n">
        <x:f>I71*P71</x:f>
        <x:v>3949.55</x:v>
      </x:c>
      <x:c r="Z71" s="38" t="n">
        <x:f>J71*Q71+K71*P71</x:f>
        <x:v>176.0874</x:v>
      </x:c>
      <x:c r="AA71" s="38" t="n">
        <x:f>M71*R71</x:f>
        <x:v>8925.4961925</x:v>
      </x:c>
      <x:c r="AB71" s="38" t="n">
        <x:f>SUM(W71:AA71)</x:f>
        <x:v>100466.5159625</x:v>
      </x:c>
      <x:c r="AC71" s="38" t="n">
        <x:v>7.82</x:v>
      </x:c>
      <x:c r="AD71" s="38" t="n">
        <x:v>174.33</x:v>
      </x:c>
      <x:c r="AE71" s="38" t="n">
        <x:v>42.12</x:v>
      </x:c>
      <x:c r="AF71" s="38" t="n">
        <x:v>4.8148</x:v>
      </x:c>
      <x:c r="AG71" s="38" t="n">
        <x:v>5.25</x:v>
      </x:c>
      <x:c r="AH71" s="38" t="n">
        <x:f>IF(E71="Fason",L71*S71,0)</x:f>
        <x:v>10905.770480000001</x:v>
      </x:c>
      <x:c r="AI71" s="38" t="n">
        <x:f>IF(E71="Kurum içi",AC71*AD71+AE71*AF71+AB71*12%,0)</x:f>
        <x:v>0</x:v>
      </x:c>
      <x:c r="AJ71" s="38" t="n">
        <x:f>V71*AG71</x:f>
        <x:v>663.022479343455</x:v>
      </x:c>
      <x:c r="AK71" s="38" t="n">
        <x:f>AB71*2%</x:f>
        <x:v>2009.33031925</x:v>
      </x:c>
      <x:c r="AL71" s="38" t="n">
        <x:f>AB71+AH71+AI71+AJ71+AK71</x:f>
        <x:v>114044.63924109346</x:v>
      </x:c>
      <x:c r="AM71" s="38" t="n">
        <x:f>AL71/V71</x:f>
        <x:v>903.0377923364313</x:v>
      </x:c>
      <x:c r="AN71" s="40" t="n">
        <x:f>(W71+X71)/AL71*100</x:f>
        <x:v>76.65014590050261</x:v>
      </x:c>
      <x:c r="AO71" s="28" t="str">
        <x:v>R01-R20; ilgili satırdaki bölgesel fiyat ve maliyet varsayımları</x:v>
      </x:c>
      <x:c r="AP71" s="28" t="str">
        <x:v>Girdi miktarları, alım fiyatı değişimi, fason bedeli ve parti sonucu simüle edilmiştir; işletme kaydı değildir.</x:v>
      </x:c>
    </x:row>
    <x:row r="72" ht="22" customHeight="1">
      <x:c r="A72" t="str">
        <x:v>SUC-0071</x:v>
      </x:c>
      <x:c r="B72" s="36" t="n">
        <x:v>46284</x:v>
      </x:c>
      <x:c r="C72" t="str">
        <x:v>İç Anadolu</x:v>
      </x:c>
      <x:c r="D72" t="str">
        <x:v>MEB_STANDART</x:v>
      </x:c>
      <x:c r="E72" t="str">
        <x:v>Kurum içi</x:v>
      </x:c>
      <x:c r="F72" s="42" t="str">
        <x:v>SENTETİK/SİMÜLE — gerçek parti kaydı değildir</x:v>
      </x:c>
      <x:c r="G72" s="38" t="n">
        <x:v>193.512</x:v>
      </x:c>
      <x:c r="H72" s="38" t="n">
        <x:v>61.327</x:v>
      </x:c>
      <x:c r="I72" s="38" t="n">
        <x:v>12.534</x:v>
      </x:c>
      <x:c r="J72" s="38" t="n">
        <x:v>6.894</x:v>
      </x:c>
      <x:c r="K72" s="38" t="n">
        <x:v>2.439</x:v>
      </x:c>
      <x:c r="L72" s="38" t="n">
        <x:f>SUM(G72:K72)</x:f>
        <x:v>276.706</x:v>
      </x:c>
      <x:c r="M72" s="38" t="n">
        <x:v>340.917</x:v>
      </x:c>
      <x:c r="N72" s="38" t="n">
        <x:v>599.55</x:v>
      </x:c>
      <x:c r="O72" s="38" t="n">
        <x:v>446.5</x:v>
      </x:c>
      <x:c r="P72" s="38" t="n">
        <x:v>400</x:v>
      </x:c>
      <x:c r="Q72" s="38" t="n">
        <x:v>19.88</x:v>
      </x:c>
      <x:c r="R72" s="38" t="n">
        <x:v>43.7475</x:v>
      </x:c>
      <x:c r="S72" s="38" t="n">
        <x:v>77.15</x:v>
      </x:c>
      <x:c r="T72" s="40" t="n">
        <x:v>19.74</x:v>
      </x:c>
      <x:c r="U72" s="40" t="n">
        <x:v>0.74</x:v>
      </x:c>
      <x:c r="V72" s="38" t="n">
        <x:f>L72*(1-T72/100)*(1-U72/100)</x:f>
        <x:v>220.44081225656</x:v>
      </x:c>
      <x:c r="W72" s="38" t="n">
        <x:f>G72*N72</x:f>
        <x:v>116020.11959999999</x:v>
      </x:c>
      <x:c r="X72" s="38" t="n">
        <x:f>H72*O72</x:f>
        <x:v>27382.5055</x:v>
      </x:c>
      <x:c r="Y72" s="38" t="n">
        <x:f>I72*P72</x:f>
        <x:v>5013.6</x:v>
      </x:c>
      <x:c r="Z72" s="38" t="n">
        <x:f>J72*Q72+K72*P72</x:f>
        <x:v>1112.65272</x:v>
      </x:c>
      <x:c r="AA72" s="38" t="n">
        <x:f>M72*R72</x:f>
        <x:v>14914.2664575</x:v>
      </x:c>
      <x:c r="AB72" s="38" t="n">
        <x:f>SUM(W72:AA72)</x:f>
        <x:v>164443.14427750002</x:v>
      </x:c>
      <x:c r="AC72" s="38" t="n">
        <x:v>11.7</x:v>
      </x:c>
      <x:c r="AD72" s="38" t="n">
        <x:v>174.33</x:v>
      </x:c>
      <x:c r="AE72" s="38" t="n">
        <x:v>65.65</x:v>
      </x:c>
      <x:c r="AF72" s="38" t="n">
        <x:v>4.8148</x:v>
      </x:c>
      <x:c r="AG72" s="38" t="n">
        <x:v>5.65</x:v>
      </x:c>
      <x:c r="AH72" s="38" t="n">
        <x:f>IF(E72="Fason",L72*S72,0)</x:f>
        <x:v>0</x:v>
      </x:c>
      <x:c r="AI72" s="38" t="n">
        <x:f>IF(E72="Kurum içi",AC72*AD72+AE72*AF72+AB72*12%,0)</x:f>
        <x:v>22088.9299333</x:v>
      </x:c>
      <x:c r="AJ72" s="38" t="n">
        <x:f>V72*AG72</x:f>
        <x:v>1245.4905892495642</x:v>
      </x:c>
      <x:c r="AK72" s="38" t="n">
        <x:f>AB72*2%</x:f>
        <x:v>3288.8628855500006</x:v>
      </x:c>
      <x:c r="AL72" s="38" t="n">
        <x:f>AB72+AH72+AI72+AJ72+AK72</x:f>
        <x:v>191066.4276855996</x:v>
      </x:c>
      <x:c r="AM72" s="38" t="n">
        <x:f>AL72/V72</x:f>
        <x:v>866.7470679759017</x:v>
      </x:c>
      <x:c r="AN72" s="40" t="n">
        <x:f>(W72+X72)/AL72*100</x:f>
        <x:v>75.05380554660783</x:v>
      </x:c>
      <x:c r="AO72" s="28" t="str">
        <x:v>R01-R20; ilgili satırdaki bölgesel fiyat ve maliyet varsayımları</x:v>
      </x:c>
      <x:c r="AP72" s="28" t="str">
        <x:v>Girdi miktarları, alım fiyatı değişimi, fason bedeli ve parti sonucu simüle edilmiştir; işletme kaydı değildir.</x:v>
      </x:c>
    </x:row>
    <x:row r="73" ht="22" customHeight="1">
      <x:c r="A73" t="str">
        <x:v>SUC-0072</x:v>
      </x:c>
      <x:c r="B73" s="36" t="n">
        <x:v>46282</x:v>
      </x:c>
      <x:c r="C73" t="str">
        <x:v>Karadeniz</x:v>
      </x:c>
      <x:c r="D73" t="str">
        <x:v>MEB_STANDART</x:v>
      </x:c>
      <x:c r="E73" t="str">
        <x:v>Fason</x:v>
      </x:c>
      <x:c r="F73" s="42" t="str">
        <x:v>SENTETİK/SİMÜLE — gerçek parti kaydı değildir</x:v>
      </x:c>
      <x:c r="G73" s="38" t="n">
        <x:v>63.366</x:v>
      </x:c>
      <x:c r="H73" s="38" t="n">
        <x:v>20.727</x:v>
      </x:c>
      <x:c r="I73" s="38" t="n">
        <x:v>3.821</x:v>
      </x:c>
      <x:c r="J73" s="38" t="n">
        <x:v>2.218</x:v>
      </x:c>
      <x:c r="K73" s="38" t="n">
        <x:v>0.818</x:v>
      </x:c>
      <x:c r="L73" s="38" t="n">
        <x:f>SUM(G73:K73)</x:f>
        <x:v>90.95</x:v>
      </x:c>
      <x:c r="M73" s="38" t="n">
        <x:v>114.016</x:v>
      </x:c>
      <x:c r="N73" s="38" t="n">
        <x:v>591.74</x:v>
      </x:c>
      <x:c r="O73" s="38" t="n">
        <x:v>416.07</x:v>
      </x:c>
      <x:c r="P73" s="38" t="n">
        <x:v>550</x:v>
      </x:c>
      <x:c r="Q73" s="38" t="n">
        <x:v>19.88</x:v>
      </x:c>
      <x:c r="R73" s="38" t="n">
        <x:v>43.7475</x:v>
      </x:c>
      <x:c r="S73" s="38" t="n">
        <x:v>80.75</x:v>
      </x:c>
      <x:c r="T73" s="40" t="n">
        <x:v>26.18</x:v>
      </x:c>
      <x:c r="U73" s="40" t="n">
        <x:v>0.92</x:v>
      </x:c>
      <x:c r="V73" s="38" t="n">
        <x:f>L73*(1-T73/100)*(1-U73/100)</x:f>
        <x:v>66.521608532</x:v>
      </x:c>
      <x:c r="W73" s="38" t="n">
        <x:f>G73*N73</x:f>
        <x:v>37496.19684</x:v>
      </x:c>
      <x:c r="X73" s="38" t="n">
        <x:f>H73*O73</x:f>
        <x:v>8623.88289</x:v>
      </x:c>
      <x:c r="Y73" s="38" t="n">
        <x:f>I73*P73</x:f>
        <x:v>2101.55</x:v>
      </x:c>
      <x:c r="Z73" s="38" t="n">
        <x:f>J73*Q73+K73*P73</x:f>
        <x:v>493.99384</x:v>
      </x:c>
      <x:c r="AA73" s="38" t="n">
        <x:f>M73*R73</x:f>
        <x:v>4987.91496</x:v>
      </x:c>
      <x:c r="AB73" s="38" t="n">
        <x:f>SUM(W73:AA73)</x:f>
        <x:v>53703.538530000005</x:v>
      </x:c>
      <x:c r="AC73" s="38" t="n">
        <x:v>5.3</x:v>
      </x:c>
      <x:c r="AD73" s="38" t="n">
        <x:v>174.33</x:v>
      </x:c>
      <x:c r="AE73" s="38" t="n">
        <x:v>21.83</x:v>
      </x:c>
      <x:c r="AF73" s="38" t="n">
        <x:v>4.8148</x:v>
      </x:c>
      <x:c r="AG73" s="38" t="n">
        <x:v>5.14</x:v>
      </x:c>
      <x:c r="AH73" s="38" t="n">
        <x:f>IF(E73="Fason",L73*S73,0)</x:f>
        <x:v>7344.212500000001</x:v>
      </x:c>
      <x:c r="AI73" s="38" t="n">
        <x:f>IF(E73="Kurum içi",AC73*AD73+AE73*AF73+AB73*12%,0)</x:f>
        <x:v>0</x:v>
      </x:c>
      <x:c r="AJ73" s="38" t="n">
        <x:f>V73*AG73</x:f>
        <x:v>341.92106785448</x:v>
      </x:c>
      <x:c r="AK73" s="38" t="n">
        <x:f>AB73*2%</x:f>
        <x:v>1074.0707706</x:v>
      </x:c>
      <x:c r="AL73" s="38" t="n">
        <x:f>AB73+AH73+AI73+AJ73+AK73</x:f>
        <x:v>62463.74286845449</x:v>
      </x:c>
      <x:c r="AM73" s="38" t="n">
        <x:f>AL73/V73</x:f>
        <x:v>938.9992852984983</x:v>
      </x:c>
      <x:c r="AN73" s="40" t="n">
        <x:f>(W73+X73)/AL73*100</x:f>
        <x:v>73.8349602698746</x:v>
      </x:c>
      <x:c r="AO73" s="28" t="str">
        <x:v>R01-R20; ilgili satırdaki bölgesel fiyat ve maliyet varsayımları</x:v>
      </x:c>
      <x:c r="AP73" s="28" t="str">
        <x:v>Girdi miktarları, alım fiyatı değişimi, fason bedeli ve parti sonucu simüle edilmiştir; işletme kaydı değildir.</x:v>
      </x:c>
    </x:row>
    <x:row r="74" ht="22" customHeight="1">
      <x:c r="A74" t="str">
        <x:v>SUC-0073</x:v>
      </x:c>
      <x:c r="B74" s="36" t="n">
        <x:v>46316</x:v>
      </x:c>
      <x:c r="C74" t="str">
        <x:v>Doğu Anadolu</x:v>
      </x:c>
      <x:c r="D74" t="str">
        <x:v>MEB_STANDART</x:v>
      </x:c>
      <x:c r="E74" t="str">
        <x:v>Kurum içi</x:v>
      </x:c>
      <x:c r="F74" s="42" t="str">
        <x:v>SENTETİK/SİMÜLE — gerçek parti kaydı değildir</x:v>
      </x:c>
      <x:c r="G74" s="38" t="n">
        <x:v>314.625</x:v>
      </x:c>
      <x:c r="H74" s="38" t="n">
        <x:v>99.582</x:v>
      </x:c>
      <x:c r="I74" s="38" t="n">
        <x:v>19.489</x:v>
      </x:c>
      <x:c r="J74" s="38" t="n">
        <x:v>10.614</x:v>
      </x:c>
      <x:c r="K74" s="38" t="n">
        <x:v>4.328</x:v>
      </x:c>
      <x:c r="L74" s="38" t="n">
        <x:f>SUM(G74:K74)</x:f>
        <x:v>448.6379999999999</x:v>
      </x:c>
      <x:c r="M74" s="38" t="n">
        <x:v>557.482</x:v>
      </x:c>
      <x:c r="N74" s="38" t="n">
        <x:v>596.02</x:v>
      </x:c>
      <x:c r="O74" s="38" t="n">
        <x:v>468.48</x:v>
      </x:c>
      <x:c r="P74" s="38" t="n">
        <x:v>550</x:v>
      </x:c>
      <x:c r="Q74" s="38" t="n">
        <x:v>19.88</x:v>
      </x:c>
      <x:c r="R74" s="38" t="n">
        <x:v>43.7475</x:v>
      </x:c>
      <x:c r="S74" s="38" t="n">
        <x:v>77.09</x:v>
      </x:c>
      <x:c r="T74" s="40" t="n">
        <x:v>20.07</x:v>
      </x:c>
      <x:c r="U74" s="40" t="n">
        <x:v>0.91</x:v>
      </x:c>
      <x:c r="V74" s="38" t="n">
        <x:f>L74*(1-T74/100)*(1-U74/100)</x:f>
        <x:v>355.3331265840599</x:v>
      </x:c>
      <x:c r="W74" s="38" t="n">
        <x:f>G74*N74</x:f>
        <x:v>187522.79249999998</x:v>
      </x:c>
      <x:c r="X74" s="38" t="n">
        <x:f>H74*O74</x:f>
        <x:v>46652.17536</x:v>
      </x:c>
      <x:c r="Y74" s="38" t="n">
        <x:f>I74*P74</x:f>
        <x:v>10718.95</x:v>
      </x:c>
      <x:c r="Z74" s="38" t="n">
        <x:f>J74*Q74+K74*P74</x:f>
        <x:v>2591.40632</x:v>
      </x:c>
      <x:c r="AA74" s="38" t="n">
        <x:f>M74*R74</x:f>
        <x:v>24388.443795</x:v>
      </x:c>
      <x:c r="AB74" s="38" t="n">
        <x:f>SUM(W74:AA74)</x:f>
        <x:v>271873.76797499997</x:v>
      </x:c>
      <x:c r="AC74" s="38" t="n">
        <x:v>30.8</x:v>
      </x:c>
      <x:c r="AD74" s="38" t="n">
        <x:v>174.33</x:v>
      </x:c>
      <x:c r="AE74" s="38" t="n">
        <x:v>153.13</x:v>
      </x:c>
      <x:c r="AF74" s="38" t="n">
        <x:v>4.8148</x:v>
      </x:c>
      <x:c r="AG74" s="38" t="n">
        <x:v>5.84</x:v>
      </x:c>
      <x:c r="AH74" s="38" t="n">
        <x:f>IF(E74="Fason",L74*S74,0)</x:f>
        <x:v>0</x:v>
      </x:c>
      <x:c r="AI74" s="38" t="n">
        <x:f>IF(E74="Kurum içi",AC74*AD74+AE74*AF74+AB74*12%,0)</x:f>
        <x:v>38731.506481</x:v>
      </x:c>
      <x:c r="AJ74" s="38" t="n">
        <x:f>V74*AG74</x:f>
        <x:v>2075.14545925091</x:v>
      </x:c>
      <x:c r="AK74" s="38" t="n">
        <x:f>AB74*2%</x:f>
        <x:v>5437.475359499999</x:v>
      </x:c>
      <x:c r="AL74" s="38" t="n">
        <x:f>AB74+AH74+AI74+AJ74+AK74</x:f>
        <x:v>318117.89527475083</x:v>
      </x:c>
      <x:c r="AM74" s="38" t="n">
        <x:f>AL74/V74</x:f>
        <x:v>895.266642693655</x:v>
      </x:c>
      <x:c r="AN74" s="40" t="n">
        <x:f>(W74+X74)/AL74*100</x:f>
        <x:v>73.61263586185513</x:v>
      </x:c>
      <x:c r="AO74" s="28" t="str">
        <x:v>R01-R20; ilgili satırdaki bölgesel fiyat ve maliyet varsayımları</x:v>
      </x:c>
      <x:c r="AP74" s="28" t="str">
        <x:v>Girdi miktarları, alım fiyatı değişimi, fason bedeli ve parti sonucu simüle edilmiştir; işletme kaydı değildir.</x:v>
      </x:c>
    </x:row>
    <x:row r="75" ht="22" customHeight="1">
      <x:c r="A75" t="str">
        <x:v>SUC-0074</x:v>
      </x:c>
      <x:c r="B75" s="36" t="n">
        <x:v>46274</x:v>
      </x:c>
      <x:c r="C75" t="str">
        <x:v>İç Anadolu</x:v>
      </x:c>
      <x:c r="D75" t="str">
        <x:v>ERZURUM_CI</x:v>
      </x:c>
      <x:c r="E75" t="str">
        <x:v>Kurum içi</x:v>
      </x:c>
      <x:c r="F75" s="42" t="str">
        <x:v>SENTETİK/SİMÜLE — gerçek parti kaydı değildir</x:v>
      </x:c>
      <x:c r="G75" s="38" t="n">
        <x:v>69.294</x:v>
      </x:c>
      <x:c r="H75" s="38" t="n">
        <x:v>12.726</x:v>
      </x:c>
      <x:c r="I75" s="38" t="n">
        <x:v>4.025</x:v>
      </x:c>
      <x:c r="J75" s="38" t="n">
        <x:v>1.463</x:v>
      </x:c>
      <x:c r="K75" s="38" t="n">
        <x:v>0.189</x:v>
      </x:c>
      <x:c r="L75" s="38" t="n">
        <x:f>SUM(G75:K75)</x:f>
        <x:v>87.69699999999999</x:v>
      </x:c>
      <x:c r="M75" s="38" t="n">
        <x:v>105.196</x:v>
      </x:c>
      <x:c r="N75" s="38" t="n">
        <x:v>583.32</x:v>
      </x:c>
      <x:c r="O75" s="38" t="n">
        <x:v>463.67</x:v>
      </x:c>
      <x:c r="P75" s="38" t="n">
        <x:v>669.9</x:v>
      </x:c>
      <x:c r="Q75" s="38" t="n">
        <x:v>19.88</x:v>
      </x:c>
      <x:c r="R75" s="38" t="n">
        <x:v>43.7475</x:v>
      </x:c>
      <x:c r="S75" s="38" t="n">
        <x:v>102.27</x:v>
      </x:c>
      <x:c r="T75" s="40" t="n">
        <x:v>27.53</x:v>
      </x:c>
      <x:c r="U75" s="40" t="n">
        <x:v>1.27</x:v>
      </x:c>
      <x:c r="V75" s="38" t="n">
        <x:f>L75*(1-T75/100)*(1-U75/100)</x:f>
        <x:v>62.74687989806999</x:v>
      </x:c>
      <x:c r="W75" s="38" t="n">
        <x:f>G75*N75</x:f>
        <x:v>40420.57608</x:v>
      </x:c>
      <x:c r="X75" s="38" t="n">
        <x:f>H75*O75</x:f>
        <x:v>5900.664420000001</x:v>
      </x:c>
      <x:c r="Y75" s="38" t="n">
        <x:f>I75*P75</x:f>
        <x:v>2696.3475000000003</x:v>
      </x:c>
      <x:c r="Z75" s="38" t="n">
        <x:f>J75*Q75+K75*P75</x:f>
        <x:v>155.69554</x:v>
      </x:c>
      <x:c r="AA75" s="38" t="n">
        <x:f>M75*R75</x:f>
        <x:v>4602.062010000001</x:v>
      </x:c>
      <x:c r="AB75" s="38" t="n">
        <x:f>SUM(W75:AA75)</x:f>
        <x:v>53775.345550000005</x:v>
      </x:c>
      <x:c r="AC75" s="38" t="n">
        <x:v>5.58</x:v>
      </x:c>
      <x:c r="AD75" s="38" t="n">
        <x:v>174.33</x:v>
      </x:c>
      <x:c r="AE75" s="38" t="n">
        <x:v>31.13</x:v>
      </x:c>
      <x:c r="AF75" s="38" t="n">
        <x:v>4.8148</x:v>
      </x:c>
      <x:c r="AG75" s="38" t="n">
        <x:v>5.29</x:v>
      </x:c>
      <x:c r="AH75" s="38" t="n">
        <x:f>IF(E75="Fason",L75*S75,0)</x:f>
        <x:v>0</x:v>
      </x:c>
      <x:c r="AI75" s="38" t="n">
        <x:f>IF(E75="Kurum içi",AC75*AD75+AE75*AF75+AB75*12%,0)</x:f>
        <x:v>7575.6875900000005</x:v>
      </x:c>
      <x:c r="AJ75" s="38" t="n">
        <x:f>V75*AG75</x:f>
        <x:v>331.93099466079025</x:v>
      </x:c>
      <x:c r="AK75" s="38" t="n">
        <x:f>AB75*2%</x:f>
        <x:v>1075.5069110000002</x:v>
      </x:c>
      <x:c r="AL75" s="38" t="n">
        <x:f>AB75+AH75+AI75+AJ75+AK75</x:f>
        <x:v>62758.47104566079</x:v>
      </x:c>
      <x:c r="AM75" s="38" t="n">
        <x:f>AL75/V75</x:f>
        <x:v>1000.1847286687344</x:v>
      </x:c>
      <x:c r="AN75" s="40" t="n">
        <x:f>(W75+X75)/AL75*100</x:f>
        <x:v>73.80874601979761</x:v>
      </x:c>
      <x:c r="AO75" s="28" t="str">
        <x:v>R01-R20; ilgili satırdaki bölgesel fiyat ve maliyet varsayımları</x:v>
      </x:c>
      <x:c r="AP75" s="28" t="str">
        <x:v>Girdi miktarları, alım fiyatı değişimi, fason bedeli ve parti sonucu simüle edilmiştir; işletme kaydı değildir.</x:v>
      </x:c>
    </x:row>
    <x:row r="76" ht="22" customHeight="1">
      <x:c r="A76" t="str">
        <x:v>SUC-0075</x:v>
      </x:c>
      <x:c r="B76" s="36" t="n">
        <x:v>46291</x:v>
      </x:c>
      <x:c r="C76" t="str">
        <x:v>Marmara</x:v>
      </x:c>
      <x:c r="D76" t="str">
        <x:v>ERZURUM_CI</x:v>
      </x:c>
      <x:c r="E76" t="str">
        <x:v>Fason</x:v>
      </x:c>
      <x:c r="F76" s="42" t="str">
        <x:v>SENTETİK/SİMÜLE — gerçek parti kaydı değildir</x:v>
      </x:c>
      <x:c r="G76" s="38" t="n">
        <x:v>154.381</x:v>
      </x:c>
      <x:c r="H76" s="38" t="n">
        <x:v>27.578</x:v>
      </x:c>
      <x:c r="I76" s="38" t="n">
        <x:v>8.474</x:v>
      </x:c>
      <x:c r="J76" s="38" t="n">
        <x:v>2.796</x:v>
      </x:c>
      <x:c r="K76" s="38" t="n">
        <x:v>0.441</x:v>
      </x:c>
      <x:c r="L76" s="38" t="n">
        <x:f>SUM(G76:K76)</x:f>
        <x:v>193.67</x:v>
      </x:c>
      <x:c r="M76" s="38" t="n">
        <x:v>233.118</x:v>
      </x:c>
      <x:c r="N76" s="38" t="n">
        <x:v>595.59</x:v>
      </x:c>
      <x:c r="O76" s="38" t="n">
        <x:v>473.51</x:v>
      </x:c>
      <x:c r="P76" s="38" t="n">
        <x:v>400</x:v>
      </x:c>
      <x:c r="Q76" s="38" t="n">
        <x:v>19.88</x:v>
      </x:c>
      <x:c r="R76" s="38" t="n">
        <x:v>43.7475</x:v>
      </x:c>
      <x:c r="S76" s="38" t="n">
        <x:v>70.69</x:v>
      </x:c>
      <x:c r="T76" s="40" t="n">
        <x:v>16.56</x:v>
      </x:c>
      <x:c r="U76" s="40" t="n">
        <x:v>1.55</x:v>
      </x:c>
      <x:c r="V76" s="38" t="n">
        <x:f>L76*(1-T76/100)*(1-U76/100)</x:f>
        <x:v>159.09347515599998</x:v>
      </x:c>
      <x:c r="W76" s="38" t="n">
        <x:f>G76*N76</x:f>
        <x:v>91947.77979</x:v>
      </x:c>
      <x:c r="X76" s="38" t="n">
        <x:f>H76*O76</x:f>
        <x:v>13058.458779999999</x:v>
      </x:c>
      <x:c r="Y76" s="38" t="n">
        <x:f>I76*P76</x:f>
        <x:v>3389.6</x:v>
      </x:c>
      <x:c r="Z76" s="38" t="n">
        <x:f>J76*Q76+K76*P76</x:f>
        <x:v>231.98448</x:v>
      </x:c>
      <x:c r="AA76" s="38" t="n">
        <x:f>M76*R76</x:f>
        <x:v>10198.329705</x:v>
      </x:c>
      <x:c r="AB76" s="38" t="n">
        <x:f>SUM(W76:AA76)</x:f>
        <x:v>118826.152755</x:v>
      </x:c>
      <x:c r="AC76" s="38" t="n">
        <x:v>8.64</x:v>
      </x:c>
      <x:c r="AD76" s="38" t="n">
        <x:v>174.33</x:v>
      </x:c>
      <x:c r="AE76" s="38" t="n">
        <x:v>44.81</x:v>
      </x:c>
      <x:c r="AF76" s="38" t="n">
        <x:v>4.8148</x:v>
      </x:c>
      <x:c r="AG76" s="38" t="n">
        <x:v>5.19</x:v>
      </x:c>
      <x:c r="AH76" s="38" t="n">
        <x:f>IF(E76="Fason",L76*S76,0)</x:f>
        <x:v>13690.532299999999</x:v>
      </x:c>
      <x:c r="AI76" s="38" t="n">
        <x:f>IF(E76="Kurum içi",AC76*AD76+AE76*AF76+AB76*12%,0)</x:f>
        <x:v>0</x:v>
      </x:c>
      <x:c r="AJ76" s="38" t="n">
        <x:f>V76*AG76</x:f>
        <x:v>825.6951360596399</x:v>
      </x:c>
      <x:c r="AK76" s="38" t="n">
        <x:f>AB76*2%</x:f>
        <x:v>2376.5230551</x:v>
      </x:c>
      <x:c r="AL76" s="38" t="n">
        <x:f>AB76+AH76+AI76+AJ76+AK76</x:f>
        <x:v>135718.90324615964</x:v>
      </x:c>
      <x:c r="AM76" s="38" t="n">
        <x:f>AL76/V76</x:f>
        <x:v>853.0764892342676</x:v>
      </x:c>
      <x:c r="AN76" s="40" t="n">
        <x:f>(W76+X76)/AL76*100</x:f>
        <x:v>77.37038544995117</x:v>
      </x:c>
      <x:c r="AO76" s="28" t="str">
        <x:v>R01-R20; ilgili satırdaki bölgesel fiyat ve maliyet varsayımları</x:v>
      </x:c>
      <x:c r="AP76" s="28" t="str">
        <x:v>Girdi miktarları, alım fiyatı değişimi, fason bedeli ve parti sonucu simüle edilmiştir; işletme kaydı değildir.</x:v>
      </x:c>
    </x:row>
    <x:row r="77" ht="22" customHeight="1">
      <x:c r="A77" t="str">
        <x:v>SUC-0076</x:v>
      </x:c>
      <x:c r="B77" s="36" t="n">
        <x:v>46311</x:v>
      </x:c>
      <x:c r="C77" t="str">
        <x:v>Karadeniz</x:v>
      </x:c>
      <x:c r="D77" t="str">
        <x:v>MEB_STANDART</x:v>
      </x:c>
      <x:c r="E77" t="str">
        <x:v>Fason</x:v>
      </x:c>
      <x:c r="F77" s="42" t="str">
        <x:v>SENTETİK/SİMÜLE — gerçek parti kaydı değildir</x:v>
      </x:c>
      <x:c r="G77" s="38" t="n">
        <x:v>288.684</x:v>
      </x:c>
      <x:c r="H77" s="38" t="n">
        <x:v>88.51</x:v>
      </x:c>
      <x:c r="I77" s="38" t="n">
        <x:v>18.421</x:v>
      </x:c>
      <x:c r="J77" s="38" t="n">
        <x:v>9.791</x:v>
      </x:c>
      <x:c r="K77" s="38" t="n">
        <x:v>3.727</x:v>
      </x:c>
      <x:c r="L77" s="38" t="n">
        <x:f>SUM(G77:K77)</x:f>
        <x:v>409.133</x:v>
      </x:c>
      <x:c r="M77" s="38" t="n">
        <x:v>504.822</x:v>
      </x:c>
      <x:c r="N77" s="38" t="n">
        <x:v>597.09</x:v>
      </x:c>
      <x:c r="O77" s="38" t="n">
        <x:v>478.59</x:v>
      </x:c>
      <x:c r="P77" s="38" t="n">
        <x:v>400</x:v>
      </x:c>
      <x:c r="Q77" s="38" t="n">
        <x:v>19.88</x:v>
      </x:c>
      <x:c r="R77" s="38" t="n">
        <x:v>43.7475</x:v>
      </x:c>
      <x:c r="S77" s="38" t="n">
        <x:v>110.27</x:v>
      </x:c>
      <x:c r="T77" s="40" t="n">
        <x:v>32.54</x:v>
      </x:c>
      <x:c r="U77" s="40" t="n">
        <x:v>1.47</x:v>
      </x:c>
      <x:c r="V77" s="38" t="n">
        <x:f>L77*(1-T77/100)*(1-U77/100)</x:f>
        <x:v>271.94390530954</x:v>
      </x:c>
      <x:c r="W77" s="38" t="n">
        <x:f>G77*N77</x:f>
        <x:v>172370.32956</x:v>
      </x:c>
      <x:c r="X77" s="38" t="n">
        <x:f>H77*O77</x:f>
        <x:v>42360.0009</x:v>
      </x:c>
      <x:c r="Y77" s="38" t="n">
        <x:f>I77*P77</x:f>
        <x:v>7368.4</x:v>
      </x:c>
      <x:c r="Z77" s="38" t="n">
        <x:f>J77*Q77+K77*P77</x:f>
        <x:v>1685.44508</x:v>
      </x:c>
      <x:c r="AA77" s="38" t="n">
        <x:f>M77*R77</x:f>
        <x:v>22084.700445000002</x:v>
      </x:c>
      <x:c r="AB77" s="38" t="n">
        <x:f>SUM(W77:AA77)</x:f>
        <x:v>245868.87598500002</x:v>
      </x:c>
      <x:c r="AC77" s="38" t="n">
        <x:v>25.13</x:v>
      </x:c>
      <x:c r="AD77" s="38" t="n">
        <x:v>174.33</x:v>
      </x:c>
      <x:c r="AE77" s="38" t="n">
        <x:v>169.58</x:v>
      </x:c>
      <x:c r="AF77" s="38" t="n">
        <x:v>4.8148</x:v>
      </x:c>
      <x:c r="AG77" s="38" t="n">
        <x:v>5.34</x:v>
      </x:c>
      <x:c r="AH77" s="38" t="n">
        <x:f>IF(E77="Fason",L77*S77,0)</x:f>
        <x:v>45115.09591</x:v>
      </x:c>
      <x:c r="AI77" s="38" t="n">
        <x:f>IF(E77="Kurum içi",AC77*AD77+AE77*AF77+AB77*12%,0)</x:f>
        <x:v>0</x:v>
      </x:c>
      <x:c r="AJ77" s="38" t="n">
        <x:f>V77*AG77</x:f>
        <x:v>1452.1804543529436</x:v>
      </x:c>
      <x:c r="AK77" s="38" t="n">
        <x:f>AB77*2%</x:f>
        <x:v>4917.3775197</x:v>
      </x:c>
      <x:c r="AL77" s="38" t="n">
        <x:f>AB77+AH77+AI77+AJ77+AK77</x:f>
        <x:v>297353.52986905293</x:v>
      </x:c>
      <x:c r="AM77" s="38" t="n">
        <x:f>AL77/V77</x:f>
        <x:v>1093.437006909901</x:v>
      </x:c>
      <x:c r="AN77" s="40" t="n">
        <x:f>(W77+X77)/AL77*100</x:f>
        <x:v>72.21381584222723</x:v>
      </x:c>
      <x:c r="AO77" s="28" t="str">
        <x:v>R01-R20; ilgili satırdaki bölgesel fiyat ve maliyet varsayımları</x:v>
      </x:c>
      <x:c r="AP77" s="28" t="str">
        <x:v>Girdi miktarları, alım fiyatı değişimi, fason bedeli ve parti sonucu simüle edilmiştir; işletme kaydı değildir.</x:v>
      </x:c>
    </x:row>
    <x:row r="78" ht="22" customHeight="1">
      <x:c r="A78" t="str">
        <x:v>SUC-0077</x:v>
      </x:c>
      <x:c r="B78" s="36" t="n">
        <x:v>46300</x:v>
      </x:c>
      <x:c r="C78" t="str">
        <x:v>Ege</x:v>
      </x:c>
      <x:c r="D78" t="str">
        <x:v>ERZURUM_CI</x:v>
      </x:c>
      <x:c r="E78" t="str">
        <x:v>Kurum içi</x:v>
      </x:c>
      <x:c r="F78" s="42" t="str">
        <x:v>SENTETİK/SİMÜLE — gerçek parti kaydı değildir</x:v>
      </x:c>
      <x:c r="G78" s="38" t="n">
        <x:v>369.124</x:v>
      </x:c>
      <x:c r="H78" s="38" t="n">
        <x:v>63.887</x:v>
      </x:c>
      <x:c r="I78" s="38" t="n">
        <x:v>22.055</x:v>
      </x:c>
      <x:c r="J78" s="38" t="n">
        <x:v>8.162</x:v>
      </x:c>
      <x:c r="K78" s="38" t="n">
        <x:v>0.718</x:v>
      </x:c>
      <x:c r="L78" s="38" t="n">
        <x:f>SUM(G78:K78)</x:f>
        <x:v>463.946</x:v>
      </x:c>
      <x:c r="M78" s="38" t="n">
        <x:v>567.667</x:v>
      </x:c>
      <x:c r="N78" s="38" t="n">
        <x:v>605.39</x:v>
      </x:c>
      <x:c r="O78" s="38" t="n">
        <x:v>432.42</x:v>
      </x:c>
      <x:c r="P78" s="38" t="n">
        <x:v>550</x:v>
      </x:c>
      <x:c r="Q78" s="38" t="n">
        <x:v>19.88</x:v>
      </x:c>
      <x:c r="R78" s="38" t="n">
        <x:v>43.7475</x:v>
      </x:c>
      <x:c r="S78" s="38" t="n">
        <x:v>88.89</x:v>
      </x:c>
      <x:c r="T78" s="40" t="n">
        <x:v>19.77</x:v>
      </x:c>
      <x:c r="U78" s="40" t="n">
        <x:v>1.17</x:v>
      </x:c>
      <x:c r="V78" s="38" t="n">
        <x:f>L78*(1-T78/100)*(1-U78/100)</x:f>
        <x:v>367.86885645314004</x:v>
      </x:c>
      <x:c r="W78" s="38" t="n">
        <x:f>G78*N78</x:f>
        <x:v>223463.97836</x:v>
      </x:c>
      <x:c r="X78" s="38" t="n">
        <x:f>H78*O78</x:f>
        <x:v>27626.01654</x:v>
      </x:c>
      <x:c r="Y78" s="38" t="n">
        <x:f>I78*P78</x:f>
        <x:v>12130.25</x:v>
      </x:c>
      <x:c r="Z78" s="38" t="n">
        <x:f>J78*Q78+K78*P78</x:f>
        <x:v>557.16056</x:v>
      </x:c>
      <x:c r="AA78" s="38" t="n">
        <x:f>M78*R78</x:f>
        <x:v>24834.0120825</x:v>
      </x:c>
      <x:c r="AB78" s="38" t="n">
        <x:f>SUM(W78:AA78)</x:f>
        <x:v>288611.4175425</x:v>
      </x:c>
      <x:c r="AC78" s="38" t="n">
        <x:v>27.24</x:v>
      </x:c>
      <x:c r="AD78" s="38" t="n">
        <x:v>174.33</x:v>
      </x:c>
      <x:c r="AE78" s="38" t="n">
        <x:v>179.09</x:v>
      </x:c>
      <x:c r="AF78" s="38" t="n">
        <x:v>4.8148</x:v>
      </x:c>
      <x:c r="AG78" s="38" t="n">
        <x:v>5.14</x:v>
      </x:c>
      <x:c r="AH78" s="38" t="n">
        <x:f>IF(E78="Fason",L78*S78,0)</x:f>
        <x:v>0</x:v>
      </x:c>
      <x:c r="AI78" s="38" t="n">
        <x:f>IF(E78="Kurum içi",AC78*AD78+AE78*AF78+AB78*12%,0)</x:f>
        <x:v>40244.401837100006</x:v>
      </x:c>
      <x:c r="AJ78" s="38" t="n">
        <x:f>V78*AG78</x:f>
        <x:v>1890.8459221691396</x:v>
      </x:c>
      <x:c r="AK78" s="38" t="n">
        <x:f>AB78*2%</x:f>
        <x:v>5772.22835085</x:v>
      </x:c>
      <x:c r="AL78" s="38" t="n">
        <x:f>AB78+AH78+AI78+AJ78+AK78</x:f>
        <x:v>336518.89365261915</x:v>
      </x:c>
      <x:c r="AM78" s="38" t="n">
        <x:f>AL78/V78</x:f>
        <x:v>914.7795138115631</x:v>
      </x:c>
      <x:c r="AN78" s="40" t="n">
        <x:f>(W78+X78)/AL78*100</x:f>
        <x:v>74.61393688022598</x:v>
      </x:c>
      <x:c r="AO78" s="28" t="str">
        <x:v>R01-R20; ilgili satırdaki bölgesel fiyat ve maliyet varsayımları</x:v>
      </x:c>
      <x:c r="AP78" s="28" t="str">
        <x:v>Girdi miktarları, alım fiyatı değişimi, fason bedeli ve parti sonucu simüle edilmiştir; işletme kaydı değildir.</x:v>
      </x:c>
    </x:row>
    <x:row r="79" ht="22" customHeight="1">
      <x:c r="A79" t="str">
        <x:v>SUC-0078</x:v>
      </x:c>
      <x:c r="B79" s="36" t="n">
        <x:v>46269</x:v>
      </x:c>
      <x:c r="C79" t="str">
        <x:v>Güneydoğu Anadolu</x:v>
      </x:c>
      <x:c r="D79" t="str">
        <x:v>MEB_STANDART</x:v>
      </x:c>
      <x:c r="E79" t="str">
        <x:v>Kurum içi</x:v>
      </x:c>
      <x:c r="F79" s="42" t="str">
        <x:v>SENTETİK/SİMÜLE — gerçek parti kaydı değildir</x:v>
      </x:c>
      <x:c r="G79" s="38" t="n">
        <x:v>114.257</x:v>
      </x:c>
      <x:c r="H79" s="38" t="n">
        <x:v>36.184</x:v>
      </x:c>
      <x:c r="I79" s="38" t="n">
        <x:v>7.191</x:v>
      </x:c>
      <x:c r="J79" s="38" t="n">
        <x:v>3.864</x:v>
      </x:c>
      <x:c r="K79" s="38" t="n">
        <x:v>1.85</x:v>
      </x:c>
      <x:c r="L79" s="38" t="n">
        <x:f>SUM(G79:K79)</x:f>
        <x:v>163.346</x:v>
      </x:c>
      <x:c r="M79" s="38" t="n">
        <x:v>201.337</x:v>
      </x:c>
      <x:c r="N79" s="38" t="n">
        <x:v>570.98</x:v>
      </x:c>
      <x:c r="O79" s="38" t="n">
        <x:v>413.49</x:v>
      </x:c>
      <x:c r="P79" s="38" t="n">
        <x:v>550</x:v>
      </x:c>
      <x:c r="Q79" s="38" t="n">
        <x:v>19.88</x:v>
      </x:c>
      <x:c r="R79" s="38" t="n">
        <x:v>43.7475</x:v>
      </x:c>
      <x:c r="S79" s="38" t="n">
        <x:v>66.08</x:v>
      </x:c>
      <x:c r="T79" s="40" t="n">
        <x:v>19.74</x:v>
      </x:c>
      <x:c r="U79" s="40" t="n">
        <x:v>0.52</x:v>
      </x:c>
      <x:c r="V79" s="38" t="n">
        <x:f>L79*(1-T79/100)*(1-U79/100)</x:f>
        <x:v>130.41977180208002</x:v>
      </x:c>
      <x:c r="W79" s="38" t="n">
        <x:f>G79*N79</x:f>
        <x:v>65238.46186</x:v>
      </x:c>
      <x:c r="X79" s="38" t="n">
        <x:f>H79*O79</x:f>
        <x:v>14961.72216</x:v>
      </x:c>
      <x:c r="Y79" s="38" t="n">
        <x:f>I79*P79</x:f>
        <x:v>3955.0499999999997</x:v>
      </x:c>
      <x:c r="Z79" s="38" t="n">
        <x:f>J79*Q79+K79*P79</x:f>
        <x:v>1094.31632</x:v>
      </x:c>
      <x:c r="AA79" s="38" t="n">
        <x:f>M79*R79</x:f>
        <x:v>8807.9904075</x:v>
      </x:c>
      <x:c r="AB79" s="38" t="n">
        <x:f>SUM(W79:AA79)</x:f>
        <x:v>94057.5407475</x:v>
      </x:c>
      <x:c r="AC79" s="38" t="n">
        <x:v>11.41</x:v>
      </x:c>
      <x:c r="AD79" s="38" t="n">
        <x:v>174.33</x:v>
      </x:c>
      <x:c r="AE79" s="38" t="n">
        <x:v>56.65</x:v>
      </x:c>
      <x:c r="AF79" s="38" t="n">
        <x:v>4.8148</x:v>
      </x:c>
      <x:c r="AG79" s="38" t="n">
        <x:v>5.21</x:v>
      </x:c>
      <x:c r="AH79" s="38" t="n">
        <x:f>IF(E79="Fason",L79*S79,0)</x:f>
        <x:v>0</x:v>
      </x:c>
      <x:c r="AI79" s="38" t="n">
        <x:f>IF(E79="Kurum içi",AC79*AD79+AE79*AF79+AB79*12%,0)</x:f>
        <x:v>13548.7686097</x:v>
      </x:c>
      <x:c r="AJ79" s="38" t="n">
        <x:f>V79*AG79</x:f>
        <x:v>679.4870110888369</x:v>
      </x:c>
      <x:c r="AK79" s="38" t="n">
        <x:f>AB79*2%</x:f>
        <x:v>1881.15081495</x:v>
      </x:c>
      <x:c r="AL79" s="38" t="n">
        <x:f>AB79+AH79+AI79+AJ79+AK79</x:f>
        <x:v>110166.94718323884</x:v>
      </x:c>
      <x:c r="AM79" s="38" t="n">
        <x:f>AL79/V79</x:f>
        <x:v>844.7104734274793</x:v>
      </x:c>
      <x:c r="AN79" s="40" t="n">
        <x:f>(W79+X79)/AL79*100</x:f>
        <x:v>72.79877138340267</x:v>
      </x:c>
      <x:c r="AO79" s="28" t="str">
        <x:v>R01-R20; ilgili satırdaki bölgesel fiyat ve maliyet varsayımları</x:v>
      </x:c>
      <x:c r="AP79" s="28" t="str">
        <x:v>Girdi miktarları, alım fiyatı değişimi, fason bedeli ve parti sonucu simüle edilmiştir; işletme kaydı değildir.</x:v>
      </x:c>
    </x:row>
    <x:row r="80" ht="22" customHeight="1">
      <x:c r="A80" t="str">
        <x:v>SUC-0079</x:v>
      </x:c>
      <x:c r="B80" s="36" t="n">
        <x:v>46306</x:v>
      </x:c>
      <x:c r="C80" t="str">
        <x:v>İç Anadolu</x:v>
      </x:c>
      <x:c r="D80" t="str">
        <x:v>MEB_STANDART</x:v>
      </x:c>
      <x:c r="E80" t="str">
        <x:v>Kurum içi</x:v>
      </x:c>
      <x:c r="F80" s="42" t="str">
        <x:v>SENTETİK/SİMÜLE — gerçek parti kaydı değildir</x:v>
      </x:c>
      <x:c r="G80" s="38" t="n">
        <x:v>353.408</x:v>
      </x:c>
      <x:c r="H80" s="38" t="n">
        <x:v>106.058</x:v>
      </x:c>
      <x:c r="I80" s="38" t="n">
        <x:v>22.791</x:v>
      </x:c>
      <x:c r="J80" s="38" t="n">
        <x:v>11.929</x:v>
      </x:c>
      <x:c r="K80" s="38" t="n">
        <x:v>5.759</x:v>
      </x:c>
      <x:c r="L80" s="38" t="n">
        <x:f>SUM(G80:K80)</x:f>
        <x:v>499.945</x:v>
      </x:c>
      <x:c r="M80" s="38" t="n">
        <x:v>647.574</x:v>
      </x:c>
      <x:c r="N80" s="38" t="n">
        <x:v>600.24</x:v>
      </x:c>
      <x:c r="O80" s="38" t="n">
        <x:v>415.63</x:v>
      </x:c>
      <x:c r="P80" s="38" t="n">
        <x:v>400</x:v>
      </x:c>
      <x:c r="Q80" s="38" t="n">
        <x:v>19.88</x:v>
      </x:c>
      <x:c r="R80" s="38" t="n">
        <x:v>43.7475</x:v>
      </x:c>
      <x:c r="S80" s="38" t="n">
        <x:v>117</x:v>
      </x:c>
      <x:c r="T80" s="40" t="n">
        <x:v>23.71</x:v>
      </x:c>
      <x:c r="U80" s="40" t="n">
        <x:v>0.87</x:v>
      </x:c>
      <x:c r="V80" s="38" t="n">
        <x:f>L80*(1-T80/100)*(1-U80/100)</x:f>
        <x:v>378.08979054765</x:v>
      </x:c>
      <x:c r="W80" s="38" t="n">
        <x:f>G80*N80</x:f>
        <x:v>212129.61792000002</x:v>
      </x:c>
      <x:c r="X80" s="38" t="n">
        <x:f>H80*O80</x:f>
        <x:v>44080.88654</x:v>
      </x:c>
      <x:c r="Y80" s="38" t="n">
        <x:f>I80*P80</x:f>
        <x:v>9116.4</x:v>
      </x:c>
      <x:c r="Z80" s="38" t="n">
        <x:f>J80*Q80+K80*P80</x:f>
        <x:v>2540.7485200000006</x:v>
      </x:c>
      <x:c r="AA80" s="38" t="n">
        <x:f>M80*R80</x:f>
        <x:v>28329.743565</x:v>
      </x:c>
      <x:c r="AB80" s="38" t="n">
        <x:f>SUM(W80:AA80)</x:f>
        <x:v>296197.3965450001</x:v>
      </x:c>
      <x:c r="AC80" s="38" t="n">
        <x:v>34.32</x:v>
      </x:c>
      <x:c r="AD80" s="38" t="n">
        <x:v>174.33</x:v>
      </x:c>
      <x:c r="AE80" s="38" t="n">
        <x:v>205.55</x:v>
      </x:c>
      <x:c r="AF80" s="38" t="n">
        <x:v>4.8148</x:v>
      </x:c>
      <x:c r="AG80" s="38" t="n">
        <x:v>5.18</x:v>
      </x:c>
      <x:c r="AH80" s="38" t="n">
        <x:f>IF(E80="Fason",L80*S80,0)</x:f>
        <x:v>0</x:v>
      </x:c>
      <x:c r="AI80" s="38" t="n">
        <x:f>IF(E80="Kurum içi",AC80*AD80+AE80*AF80+AB80*12%,0)</x:f>
        <x:v>42516.37532540001</x:v>
      </x:c>
      <x:c r="AJ80" s="38" t="n">
        <x:f>V80*AG80</x:f>
        <x:v>1958.505115036827</x:v>
      </x:c>
      <x:c r="AK80" s="38" t="n">
        <x:f>AB80*2%</x:f>
        <x:v>5923.947930900002</x:v>
      </x:c>
      <x:c r="AL80" s="38" t="n">
        <x:f>AB80+AH80+AI80+AJ80+AK80</x:f>
        <x:v>346596.22491633694</x:v>
      </x:c>
      <x:c r="AM80" s="38" t="n">
        <x:f>AL80/V80</x:f>
        <x:v>916.7034751567988</x:v>
      </x:c>
      <x:c r="AN80" s="40" t="n">
        <x:f>(W80+X80)/AL80*100</x:f>
        <x:v>73.92189702061681</x:v>
      </x:c>
      <x:c r="AO80" s="28" t="str">
        <x:v>R01-R20; ilgili satırdaki bölgesel fiyat ve maliyet varsayımları</x:v>
      </x:c>
      <x:c r="AP80" s="28" t="str">
        <x:v>Girdi miktarları, alım fiyatı değişimi, fason bedeli ve parti sonucu simüle edilmiştir; işletme kaydı değildir.</x:v>
      </x:c>
    </x:row>
    <x:row r="81" ht="22" customHeight="1">
      <x:c r="A81" t="str">
        <x:v>SUC-0080</x:v>
      </x:c>
      <x:c r="B81" s="36" t="n">
        <x:v>46308</x:v>
      </x:c>
      <x:c r="C81" t="str">
        <x:v>İç Anadolu</x:v>
      </x:c>
      <x:c r="D81" t="str">
        <x:v>MEB_STANDART</x:v>
      </x:c>
      <x:c r="E81" t="str">
        <x:v>Kurum içi</x:v>
      </x:c>
      <x:c r="F81" s="42" t="str">
        <x:v>SENTETİK/SİMÜLE — gerçek parti kaydı değildir</x:v>
      </x:c>
      <x:c r="G81" s="38" t="n">
        <x:v>109.513</x:v>
      </x:c>
      <x:c r="H81" s="38" t="n">
        <x:v>34.203</x:v>
      </x:c>
      <x:c r="I81" s="38" t="n">
        <x:v>7.408</x:v>
      </x:c>
      <x:c r="J81" s="38" t="n">
        <x:v>3.987</x:v>
      </x:c>
      <x:c r="K81" s="38" t="n">
        <x:v>1.489</x:v>
      </x:c>
      <x:c r="L81" s="38" t="n">
        <x:f>SUM(G81:K81)</x:f>
        <x:v>156.6</x:v>
      </x:c>
      <x:c r="M81" s="38" t="n">
        <x:v>188.513</x:v>
      </x:c>
      <x:c r="N81" s="38" t="n">
        <x:v>579.27</x:v>
      </x:c>
      <x:c r="O81" s="38" t="n">
        <x:v>453.1</x:v>
      </x:c>
      <x:c r="P81" s="38" t="n">
        <x:v>550</x:v>
      </x:c>
      <x:c r="Q81" s="38" t="n">
        <x:v>19.88</x:v>
      </x:c>
      <x:c r="R81" s="38" t="n">
        <x:v>43.7475</x:v>
      </x:c>
      <x:c r="S81" s="38" t="n">
        <x:v>94.8</x:v>
      </x:c>
      <x:c r="T81" s="40" t="n">
        <x:v>17.21</x:v>
      </x:c>
      <x:c r="U81" s="40" t="n">
        <x:v>1.25</x:v>
      </x:c>
      <x:c r="V81" s="38" t="n">
        <x:f>L81*(1-T81/100)*(1-U81/100)</x:f>
        <x:v>128.02852575</x:v>
      </x:c>
      <x:c r="W81" s="38" t="n">
        <x:f>G81*N81</x:f>
        <x:v>63437.59551</x:v>
      </x:c>
      <x:c r="X81" s="38" t="n">
        <x:f>H81*O81</x:f>
        <x:v>15497.379300000002</x:v>
      </x:c>
      <x:c r="Y81" s="38" t="n">
        <x:f>I81*P81</x:f>
        <x:v>4074.4</x:v>
      </x:c>
      <x:c r="Z81" s="38" t="n">
        <x:f>J81*Q81+K81*P81</x:f>
        <x:v>898.2115600000001</x:v>
      </x:c>
      <x:c r="AA81" s="38" t="n">
        <x:f>M81*R81</x:f>
        <x:v>8246.9724675</x:v>
      </x:c>
      <x:c r="AB81" s="38" t="n">
        <x:f>SUM(W81:AA81)</x:f>
        <x:v>92154.5588375</x:v>
      </x:c>
      <x:c r="AC81" s="38" t="n">
        <x:v>5.88</x:v>
      </x:c>
      <x:c r="AD81" s="38" t="n">
        <x:v>174.33</x:v>
      </x:c>
      <x:c r="AE81" s="38" t="n">
        <x:v>66.92</x:v>
      </x:c>
      <x:c r="AF81" s="38" t="n">
        <x:v>4.8148</x:v>
      </x:c>
      <x:c r="AG81" s="38" t="n">
        <x:v>5.84</x:v>
      </x:c>
      <x:c r="AH81" s="38" t="n">
        <x:f>IF(E81="Fason",L81*S81,0)</x:f>
        <x:v>0</x:v>
      </x:c>
      <x:c r="AI81" s="38" t="n">
        <x:f>IF(E81="Kurum içi",AC81*AD81+AE81*AF81+AB81*12%,0)</x:f>
        <x:v>12405.813876499999</x:v>
      </x:c>
      <x:c r="AJ81" s="38" t="n">
        <x:f>V81*AG81</x:f>
        <x:v>747.68659038</x:v>
      </x:c>
      <x:c r="AK81" s="38" t="n">
        <x:f>AB81*2%</x:f>
        <x:v>1843.09117675</x:v>
      </x:c>
      <x:c r="AL81" s="38" t="n">
        <x:f>AB81+AH81+AI81+AJ81+AK81</x:f>
        <x:v>107151.15048113</x:v>
      </x:c>
      <x:c r="AM81" s="38" t="n">
        <x:f>AL81/V81</x:f>
        <x:v>836.9318466601964</x:v>
      </x:c>
      <x:c r="AN81" s="40" t="n">
        <x:f>(W81+X81)/AL81*100</x:f>
        <x:v>73.66694100396145</x:v>
      </x:c>
      <x:c r="AO81" s="28" t="str">
        <x:v>R01-R20; ilgili satırdaki bölgesel fiyat ve maliyet varsayımları</x:v>
      </x:c>
      <x:c r="AP81" s="28" t="str">
        <x:v>Girdi miktarları, alım fiyatı değişimi, fason bedeli ve parti sonucu simüle edilmiştir; işletme kaydı değildir.</x:v>
      </x:c>
    </x:row>
    <x:row r="82" ht="22" customHeight="1">
      <x:c r="A82" t="str">
        <x:v>SUC-0081</x:v>
      </x:c>
      <x:c r="B82" s="36" t="n">
        <x:v>46283</x:v>
      </x:c>
      <x:c r="C82" t="str">
        <x:v>Ege</x:v>
      </x:c>
      <x:c r="D82" t="str">
        <x:v>ERZURUM_CI</x:v>
      </x:c>
      <x:c r="E82" t="str">
        <x:v>Fason</x:v>
      </x:c>
      <x:c r="F82" s="42" t="str">
        <x:v>SENTETİK/SİMÜLE — gerçek parti kaydı değildir</x:v>
      </x:c>
      <x:c r="G82" s="38" t="n">
        <x:v>195.039</x:v>
      </x:c>
      <x:c r="H82" s="38" t="n">
        <x:v>35.217</x:v>
      </x:c>
      <x:c r="I82" s="38" t="n">
        <x:v>11.836</x:v>
      </x:c>
      <x:c r="J82" s="38" t="n">
        <x:v>3.859</x:v>
      </x:c>
      <x:c r="K82" s="38" t="n">
        <x:v>0.521</x:v>
      </x:c>
      <x:c r="L82" s="38" t="n">
        <x:f>SUM(G82:K82)</x:f>
        <x:v>246.47199999999998</x:v>
      </x:c>
      <x:c r="M82" s="38" t="n">
        <x:v>328.842</x:v>
      </x:c>
      <x:c r="N82" s="38" t="n">
        <x:v>609.9</x:v>
      </x:c>
      <x:c r="O82" s="38" t="n">
        <x:v>410.94</x:v>
      </x:c>
      <x:c r="P82" s="38" t="n">
        <x:v>550</x:v>
      </x:c>
      <x:c r="Q82" s="38" t="n">
        <x:v>19.88</x:v>
      </x:c>
      <x:c r="R82" s="38" t="n">
        <x:v>43.7475</x:v>
      </x:c>
      <x:c r="S82" s="38" t="n">
        <x:v>90.98</x:v>
      </x:c>
      <x:c r="T82" s="40" t="n">
        <x:v>15.78</x:v>
      </x:c>
      <x:c r="U82" s="40" t="n">
        <x:v>1.03</x:v>
      </x:c>
      <x:c r="V82" s="38" t="n">
        <x:f>L82*(1-T82/100)*(1-U82/100)</x:f>
        <x:v>205.44065760048</x:v>
      </x:c>
      <x:c r="W82" s="38" t="n">
        <x:f>G82*N82</x:f>
        <x:v>118954.28609999998</x:v>
      </x:c>
      <x:c r="X82" s="38" t="n">
        <x:f>H82*O82</x:f>
        <x:v>14472.07398</x:v>
      </x:c>
      <x:c r="Y82" s="38" t="n">
        <x:f>I82*P82</x:f>
        <x:v>6509.8</x:v>
      </x:c>
      <x:c r="Z82" s="38" t="n">
        <x:f>J82*Q82+K82*P82</x:f>
        <x:v>363.26692</x:v>
      </x:c>
      <x:c r="AA82" s="38" t="n">
        <x:f>M82*R82</x:f>
        <x:v>14386.015395</x:v>
      </x:c>
      <x:c r="AB82" s="38" t="n">
        <x:f>SUM(W82:AA82)</x:f>
        <x:v>154685.44239499996</x:v>
      </x:c>
      <x:c r="AC82" s="38" t="n">
        <x:v>9.28</x:v>
      </x:c>
      <x:c r="AD82" s="38" t="n">
        <x:v>174.33</x:v>
      </x:c>
      <x:c r="AE82" s="38" t="n">
        <x:v>89.58</x:v>
      </x:c>
      <x:c r="AF82" s="38" t="n">
        <x:v>4.8148</x:v>
      </x:c>
      <x:c r="AG82" s="38" t="n">
        <x:v>5.75</x:v>
      </x:c>
      <x:c r="AH82" s="38" t="n">
        <x:f>IF(E82="Fason",L82*S82,0)</x:f>
        <x:v>22424.022559999998</x:v>
      </x:c>
      <x:c r="AI82" s="38" t="n">
        <x:f>IF(E82="Kurum içi",AC82*AD82+AE82*AF82+AB82*12%,0)</x:f>
        <x:v>0</x:v>
      </x:c>
      <x:c r="AJ82" s="38" t="n">
        <x:f>V82*AG82</x:f>
        <x:v>1181.2837812027599</x:v>
      </x:c>
      <x:c r="AK82" s="38" t="n">
        <x:f>AB82*2%</x:f>
        <x:v>3093.7088478999995</x:v>
      </x:c>
      <x:c r="AL82" s="38" t="n">
        <x:f>AB82+AH82+AI82+AJ82+AK82</x:f>
        <x:v>181384.45758410275</x:v>
      </x:c>
      <x:c r="AM82" s="38" t="n">
        <x:f>AL82/V82</x:f>
        <x:v>882.9043856393836</x:v>
      </x:c>
      <x:c r="AN82" s="40" t="n">
        <x:f>(W82+X82)/AL82*100</x:f>
        <x:v>73.5599741329182</x:v>
      </x:c>
      <x:c r="AO82" s="28" t="str">
        <x:v>R01-R20; ilgili satırdaki bölgesel fiyat ve maliyet varsayımları</x:v>
      </x:c>
      <x:c r="AP82" s="28" t="str">
        <x:v>Girdi miktarları, alım fiyatı değişimi, fason bedeli ve parti sonucu simüle edilmiştir; işletme kaydı değildir.</x:v>
      </x:c>
    </x:row>
    <x:row r="83" ht="22" customHeight="1">
      <x:c r="A83" t="str">
        <x:v>SUC-0082</x:v>
      </x:c>
      <x:c r="B83" s="36" t="n">
        <x:v>46269</x:v>
      </x:c>
      <x:c r="C83" t="str">
        <x:v>Karadeniz</x:v>
      </x:c>
      <x:c r="D83" t="str">
        <x:v>MEB_STANDART</x:v>
      </x:c>
      <x:c r="E83" t="str">
        <x:v>Kurum içi</x:v>
      </x:c>
      <x:c r="F83" s="42" t="str">
        <x:v>SENTETİK/SİMÜLE — gerçek parti kaydı değildir</x:v>
      </x:c>
      <x:c r="G83" s="38" t="n">
        <x:v>233.687</x:v>
      </x:c>
      <x:c r="H83" s="38" t="n">
        <x:v>75.287</x:v>
      </x:c>
      <x:c r="I83" s="38" t="n">
        <x:v>15.497</x:v>
      </x:c>
      <x:c r="J83" s="38" t="n">
        <x:v>7.978</x:v>
      </x:c>
      <x:c r="K83" s="38" t="n">
        <x:v>3.323</x:v>
      </x:c>
      <x:c r="L83" s="38" t="n">
        <x:f>SUM(G83:K83)</x:f>
        <x:v>335.77200000000005</x:v>
      </x:c>
      <x:c r="M83" s="38" t="n">
        <x:v>415.731</x:v>
      </x:c>
      <x:c r="N83" s="38" t="n">
        <x:v>603.22</x:v>
      </x:c>
      <x:c r="O83" s="38" t="n">
        <x:v>445.99</x:v>
      </x:c>
      <x:c r="P83" s="38" t="n">
        <x:v>400</x:v>
      </x:c>
      <x:c r="Q83" s="38" t="n">
        <x:v>19.88</x:v>
      </x:c>
      <x:c r="R83" s="38" t="n">
        <x:v>43.7475</x:v>
      </x:c>
      <x:c r="S83" s="38" t="n">
        <x:v>90.97</x:v>
      </x:c>
      <x:c r="T83" s="40" t="n">
        <x:v>16.04</x:v>
      </x:c>
      <x:c r="U83" s="40" t="n">
        <x:v>0.97</x:v>
      </x:c>
      <x:c r="V83" s="38" t="n">
        <x:f>L83*(1-T83/100)*(1-U83/100)</x:f>
        <x:v>279.17960373936006</x:v>
      </x:c>
      <x:c r="W83" s="38" t="n">
        <x:f>G83*N83</x:f>
        <x:v>140964.67214</x:v>
      </x:c>
      <x:c r="X83" s="38" t="n">
        <x:f>H83*O83</x:f>
        <x:v>33577.249130000004</x:v>
      </x:c>
      <x:c r="Y83" s="38" t="n">
        <x:f>I83*P83</x:f>
        <x:v>6198.8</x:v>
      </x:c>
      <x:c r="Z83" s="38" t="n">
        <x:f>J83*Q83+K83*P83</x:f>
        <x:v>1487.80264</x:v>
      </x:c>
      <x:c r="AA83" s="38" t="n">
        <x:f>M83*R83</x:f>
        <x:v>18187.191922500002</x:v>
      </x:c>
      <x:c r="AB83" s="38" t="n">
        <x:f>SUM(W83:AA83)</x:f>
        <x:v>200415.71583250002</x:v>
      </x:c>
      <x:c r="AC83" s="38" t="n">
        <x:v>20.93</x:v>
      </x:c>
      <x:c r="AD83" s="38" t="n">
        <x:v>174.33</x:v>
      </x:c>
      <x:c r="AE83" s="38" t="n">
        <x:v>122.65</x:v>
      </x:c>
      <x:c r="AF83" s="38" t="n">
        <x:v>4.8148</x:v>
      </x:c>
      <x:c r="AG83" s="38" t="n">
        <x:v>5.14</x:v>
      </x:c>
      <x:c r="AH83" s="38" t="n">
        <x:f>IF(E83="Fason",L83*S83,0)</x:f>
        <x:v>0</x:v>
      </x:c>
      <x:c r="AI83" s="38" t="n">
        <x:f>IF(E83="Kurum içi",AC83*AD83+AE83*AF83+AB83*12%,0)</x:f>
        <x:v>28289.1480199</x:v>
      </x:c>
      <x:c r="AJ83" s="38" t="n">
        <x:f>V83*AG83</x:f>
        <x:v>1434.9831632203106</x:v>
      </x:c>
      <x:c r="AK83" s="38" t="n">
        <x:f>AB83*2%</x:f>
        <x:v>4008.3143166500004</x:v>
      </x:c>
      <x:c r="AL83" s="38" t="n">
        <x:f>AB83+AH83+AI83+AJ83+AK83</x:f>
        <x:v>234148.16133227033</x:v>
      </x:c>
      <x:c r="AM83" s="38" t="n">
        <x:f>AL83/V83</x:f>
        <x:v>838.7008155182757</x:v>
      </x:c>
      <x:c r="AN83" s="40" t="n">
        <x:f>(W83+X83)/AL83*100</x:f>
        <x:v>74.543366164774</x:v>
      </x:c>
      <x:c r="AO83" s="28" t="str">
        <x:v>R01-R20; ilgili satırdaki bölgesel fiyat ve maliyet varsayımları</x:v>
      </x:c>
      <x:c r="AP83" s="28" t="str">
        <x:v>Girdi miktarları, alım fiyatı değişimi, fason bedeli ve parti sonucu simüle edilmiştir; işletme kaydı değildir.</x:v>
      </x:c>
    </x:row>
    <x:row r="84" ht="22" customHeight="1">
      <x:c r="A84" t="str">
        <x:v>SUC-0083</x:v>
      </x:c>
      <x:c r="B84" s="36" t="n">
        <x:v>46292</x:v>
      </x:c>
      <x:c r="C84" t="str">
        <x:v>Doğu Anadolu</x:v>
      </x:c>
      <x:c r="D84" t="str">
        <x:v>MEB_STANDART</x:v>
      </x:c>
      <x:c r="E84" t="str">
        <x:v>Kurum içi</x:v>
      </x:c>
      <x:c r="F84" s="42" t="str">
        <x:v>SENTETİK/SİMÜLE — gerçek parti kaydı değildir</x:v>
      </x:c>
      <x:c r="G84" s="38" t="n">
        <x:v>261.078</x:v>
      </x:c>
      <x:c r="H84" s="38" t="n">
        <x:v>83.329</x:v>
      </x:c>
      <x:c r="I84" s="38" t="n">
        <x:v>16.947</x:v>
      </x:c>
      <x:c r="J84" s="38" t="n">
        <x:v>9.892</x:v>
      </x:c>
      <x:c r="K84" s="38" t="n">
        <x:v>3.402</x:v>
      </x:c>
      <x:c r="L84" s="38" t="n">
        <x:f>SUM(G84:K84)</x:f>
        <x:v>374.64799999999997</x:v>
      </x:c>
      <x:c r="M84" s="38" t="n">
        <x:v>496.767</x:v>
      </x:c>
      <x:c r="N84" s="38" t="n">
        <x:v>600.79</x:v>
      </x:c>
      <x:c r="O84" s="38" t="n">
        <x:v>411.27</x:v>
      </x:c>
      <x:c r="P84" s="38" t="n">
        <x:v>550</x:v>
      </x:c>
      <x:c r="Q84" s="38" t="n">
        <x:v>19.88</x:v>
      </x:c>
      <x:c r="R84" s="38" t="n">
        <x:v>43.7475</x:v>
      </x:c>
      <x:c r="S84" s="38" t="n">
        <x:v>115.44</x:v>
      </x:c>
      <x:c r="T84" s="40" t="n">
        <x:v>22.3</x:v>
      </x:c>
      <x:c r="U84" s="40" t="n">
        <x:v>0.49</x:v>
      </x:c>
      <x:c r="V84" s="38" t="n">
        <x:f>L84*(1-T84/100)*(1-U84/100)</x:f>
        <x:v>289.6750986696</x:v>
      </x:c>
      <x:c r="W84" s="38" t="n">
        <x:f>G84*N84</x:f>
        <x:v>156853.05161999998</x:v>
      </x:c>
      <x:c r="X84" s="38" t="n">
        <x:f>H84*O84</x:f>
        <x:v>34270.717829999994</x:v>
      </x:c>
      <x:c r="Y84" s="38" t="n">
        <x:f>I84*P84</x:f>
        <x:v>9320.85</x:v>
      </x:c>
      <x:c r="Z84" s="38" t="n">
        <x:f>J84*Q84+K84*P84</x:f>
        <x:v>2067.7529600000003</x:v>
      </x:c>
      <x:c r="AA84" s="38" t="n">
        <x:f>M84*R84</x:f>
        <x:v>21732.314332500002</x:v>
      </x:c>
      <x:c r="AB84" s="38" t="n">
        <x:f>SUM(W84:AA84)</x:f>
        <x:v>224244.6867425</x:v>
      </x:c>
      <x:c r="AC84" s="38" t="n">
        <x:v>21.22</x:v>
      </x:c>
      <x:c r="AD84" s="38" t="n">
        <x:v>174.33</x:v>
      </x:c>
      <x:c r="AE84" s="38" t="n">
        <x:v>108.36</x:v>
      </x:c>
      <x:c r="AF84" s="38" t="n">
        <x:v>4.8148</x:v>
      </x:c>
      <x:c r="AG84" s="38" t="n">
        <x:v>5.56</x:v>
      </x:c>
      <x:c r="AH84" s="38" t="n">
        <x:f>IF(E84="Fason",L84*S84,0)</x:f>
        <x:v>0</x:v>
      </x:c>
      <x:c r="AI84" s="38" t="n">
        <x:f>IF(E84="Kurum içi",AC84*AD84+AE84*AF84+AB84*12%,0)</x:f>
        <x:v>31130.3767371</x:v>
      </x:c>
      <x:c r="AJ84" s="38" t="n">
        <x:f>V84*AG84</x:f>
        <x:v>1610.593548602976</x:v>
      </x:c>
      <x:c r="AK84" s="38" t="n">
        <x:f>AB84*2%</x:f>
        <x:v>4484.89373485</x:v>
      </x:c>
      <x:c r="AL84" s="38" t="n">
        <x:f>AB84+AH84+AI84+AJ84+AK84</x:f>
        <x:v>261470.55076305298</x:v>
      </x:c>
      <x:c r="AM84" s="38" t="n">
        <x:f>AL84/V84</x:f>
        <x:v>902.633854148724</x:v>
      </x:c>
      <x:c r="AN84" s="40" t="n">
        <x:f>(W84+X84)/AL84*100</x:f>
        <x:v>73.09571532711463</x:v>
      </x:c>
      <x:c r="AO84" s="28" t="str">
        <x:v>R01-R20; ilgili satırdaki bölgesel fiyat ve maliyet varsayımları</x:v>
      </x:c>
      <x:c r="AP84" s="28" t="str">
        <x:v>Girdi miktarları, alım fiyatı değişimi, fason bedeli ve parti sonucu simüle edilmiştir; işletme kaydı değildir.</x:v>
      </x:c>
    </x:row>
    <x:row r="85" ht="22" customHeight="1">
      <x:c r="A85" t="str">
        <x:v>SUC-0084</x:v>
      </x:c>
      <x:c r="B85" s="36" t="n">
        <x:v>46282</x:v>
      </x:c>
      <x:c r="C85" t="str">
        <x:v>Karadeniz</x:v>
      </x:c>
      <x:c r="D85" t="str">
        <x:v>MEB_STANDART</x:v>
      </x:c>
      <x:c r="E85" t="str">
        <x:v>Kurum içi</x:v>
      </x:c>
      <x:c r="F85" s="42" t="str">
        <x:v>SENTETİK/SİMÜLE — gerçek parti kaydı değildir</x:v>
      </x:c>
      <x:c r="G85" s="38" t="n">
        <x:v>221.117</x:v>
      </x:c>
      <x:c r="H85" s="38" t="n">
        <x:v>68.449</x:v>
      </x:c>
      <x:c r="I85" s="38" t="n">
        <x:v>13.728</x:v>
      </x:c>
      <x:c r="J85" s="38" t="n">
        <x:v>7.756</x:v>
      </x:c>
      <x:c r="K85" s="38" t="n">
        <x:v>3.604</x:v>
      </x:c>
      <x:c r="L85" s="38" t="n">
        <x:f>SUM(G85:K85)</x:f>
        <x:v>314.65399999999994</x:v>
      </x:c>
      <x:c r="M85" s="38" t="n">
        <x:v>368.478</x:v>
      </x:c>
      <x:c r="N85" s="38" t="n">
        <x:v>597.83</x:v>
      </x:c>
      <x:c r="O85" s="38" t="n">
        <x:v>459.39</x:v>
      </x:c>
      <x:c r="P85" s="38" t="n">
        <x:v>400</x:v>
      </x:c>
      <x:c r="Q85" s="38" t="n">
        <x:v>19.88</x:v>
      </x:c>
      <x:c r="R85" s="38" t="n">
        <x:v>43.7475</x:v>
      </x:c>
      <x:c r="S85" s="38" t="n">
        <x:v>121.77</x:v>
      </x:c>
      <x:c r="T85" s="40" t="n">
        <x:v>26.45</x:v>
      </x:c>
      <x:c r="U85" s="40" t="n">
        <x:v>1.65</x:v>
      </x:c>
      <x:c r="V85" s="38" t="n">
        <x:f>L85*(1-T85/100)*(1-U85/100)</x:f>
        <x:v>227.60945471949998</x:v>
      </x:c>
      <x:c r="W85" s="38" t="n">
        <x:f>G85*N85</x:f>
        <x:v>132190.37611</x:v>
      </x:c>
      <x:c r="X85" s="38" t="n">
        <x:f>H85*O85</x:f>
        <x:v>31444.786109999997</x:v>
      </x:c>
      <x:c r="Y85" s="38" t="n">
        <x:f>I85*P85</x:f>
        <x:v>5491.2</x:v>
      </x:c>
      <x:c r="Z85" s="38" t="n">
        <x:f>J85*Q85+K85*P85</x:f>
        <x:v>1595.7892800000002</x:v>
      </x:c>
      <x:c r="AA85" s="38" t="n">
        <x:f>M85*R85</x:f>
        <x:v>16119.991305000001</x:v>
      </x:c>
      <x:c r="AB85" s="38" t="n">
        <x:f>SUM(W85:AA85)</x:f>
        <x:v>186842.142805</x:v>
      </x:c>
      <x:c r="AC85" s="38" t="n">
        <x:v>19.97</x:v>
      </x:c>
      <x:c r="AD85" s="38" t="n">
        <x:v>174.33</x:v>
      </x:c>
      <x:c r="AE85" s="38" t="n">
        <x:v>94.37</x:v>
      </x:c>
      <x:c r="AF85" s="38" t="n">
        <x:v>4.8148</x:v>
      </x:c>
      <x:c r="AG85" s="38" t="n">
        <x:v>5.19</x:v>
      </x:c>
      <x:c r="AH85" s="38" t="n">
        <x:f>IF(E85="Fason",L85*S85,0)</x:f>
        <x:v>0</x:v>
      </x:c>
      <x:c r="AI85" s="38" t="n">
        <x:f>IF(E85="Kurum içi",AC85*AD85+AE85*AF85+AB85*12%,0)</x:f>
        <x:v>26356.7999126</x:v>
      </x:c>
      <x:c r="AJ85" s="38" t="n">
        <x:f>V85*AG85</x:f>
        <x:v>1181.2930699942049</x:v>
      </x:c>
      <x:c r="AK85" s="38" t="n">
        <x:f>AB85*2%</x:f>
        <x:v>3736.8428561</x:v>
      </x:c>
      <x:c r="AL85" s="38" t="n">
        <x:f>AB85+AH85+AI85+AJ85+AK85</x:f>
        <x:v>218117.0786436942</x:v>
      </x:c>
      <x:c r="AM85" s="38" t="n">
        <x:f>AL85/V85</x:f>
        <x:v>958.2953349301595</x:v>
      </x:c>
      <x:c r="AN85" s="40" t="n">
        <x:f>(W85+X85)/AL85*100</x:f>
        <x:v>75.02171000891988</x:v>
      </x:c>
      <x:c r="AO85" s="28" t="str">
        <x:v>R01-R20; ilgili satırdaki bölgesel fiyat ve maliyet varsayımları</x:v>
      </x:c>
      <x:c r="AP85" s="28" t="str">
        <x:v>Girdi miktarları, alım fiyatı değişimi, fason bedeli ve parti sonucu simüle edilmiştir; işletme kaydı değildir.</x:v>
      </x:c>
    </x:row>
    <x:row r="86" ht="22" customHeight="1">
      <x:c r="A86" t="str">
        <x:v>SUC-0085</x:v>
      </x:c>
      <x:c r="B86" s="36" t="n">
        <x:v>46268</x:v>
      </x:c>
      <x:c r="C86" t="str">
        <x:v>Doğu Anadolu</x:v>
      </x:c>
      <x:c r="D86" t="str">
        <x:v>ERZURUM_CI</x:v>
      </x:c>
      <x:c r="E86" t="str">
        <x:v>Kurum içi</x:v>
      </x:c>
      <x:c r="F86" s="42" t="str">
        <x:v>SENTETİK/SİMÜLE — gerçek parti kaydı değildir</x:v>
      </x:c>
      <x:c r="G86" s="38" t="n">
        <x:v>286.092</x:v>
      </x:c>
      <x:c r="H86" s="38" t="n">
        <x:v>53.194</x:v>
      </x:c>
      <x:c r="I86" s="38" t="n">
        <x:v>16.902</x:v>
      </x:c>
      <x:c r="J86" s="38" t="n">
        <x:v>5.615</x:v>
      </x:c>
      <x:c r="K86" s="38" t="n">
        <x:v>0.036</x:v>
      </x:c>
      <x:c r="L86" s="38" t="n">
        <x:f>SUM(G86:K86)</x:f>
        <x:v>361.839</x:v>
      </x:c>
      <x:c r="M86" s="38" t="n">
        <x:v>438.104</x:v>
      </x:c>
      <x:c r="N86" s="38" t="n">
        <x:v>591.98</x:v>
      </x:c>
      <x:c r="O86" s="38" t="n">
        <x:v>481.23</x:v>
      </x:c>
      <x:c r="P86" s="38" t="n">
        <x:v>400</x:v>
      </x:c>
      <x:c r="Q86" s="38" t="n">
        <x:v>19.88</x:v>
      </x:c>
      <x:c r="R86" s="38" t="n">
        <x:v>43.7475</x:v>
      </x:c>
      <x:c r="S86" s="38" t="n">
        <x:v>88.6</x:v>
      </x:c>
      <x:c r="T86" s="40" t="n">
        <x:v>31.54</x:v>
      </x:c>
      <x:c r="U86" s="40" t="n">
        <x:v>1.05</x:v>
      </x:c>
      <x:c r="V86" s="38" t="n">
        <x:f>L86*(1-T86/100)*(1-U86/100)</x:f>
        <x:v>245.1139721163</x:v>
      </x:c>
      <x:c r="W86" s="38" t="n">
        <x:f>G86*N86</x:f>
        <x:v>169360.74216</x:v>
      </x:c>
      <x:c r="X86" s="38" t="n">
        <x:f>H86*O86</x:f>
        <x:v>25598.54862</x:v>
      </x:c>
      <x:c r="Y86" s="38" t="n">
        <x:f>I86*P86</x:f>
        <x:v>6760.8</x:v>
      </x:c>
      <x:c r="Z86" s="38" t="n">
        <x:f>J86*Q86+K86*P86</x:f>
        <x:v>126.02619999999999</x:v>
      </x:c>
      <x:c r="AA86" s="38" t="n">
        <x:f>M86*R86</x:f>
        <x:v>19165.95474</x:v>
      </x:c>
      <x:c r="AB86" s="38" t="n">
        <x:f>SUM(W86:AA86)</x:f>
        <x:v>221012.07171999995</x:v>
      </x:c>
      <x:c r="AC86" s="38" t="n">
        <x:v>16.98</x:v>
      </x:c>
      <x:c r="AD86" s="38" t="n">
        <x:v>174.33</x:v>
      </x:c>
      <x:c r="AE86" s="38" t="n">
        <x:v>149</x:v>
      </x:c>
      <x:c r="AF86" s="38" t="n">
        <x:v>4.8148</x:v>
      </x:c>
      <x:c r="AG86" s="38" t="n">
        <x:v>5.36</x:v>
      </x:c>
      <x:c r="AH86" s="38" t="n">
        <x:f>IF(E86="Fason",L86*S86,0)</x:f>
        <x:v>0</x:v>
      </x:c>
      <x:c r="AI86" s="38" t="n">
        <x:f>IF(E86="Kurum içi",AC86*AD86+AE86*AF86+AB86*12%,0)</x:f>
        <x:v>30198.977206399995</x:v>
      </x:c>
      <x:c r="AJ86" s="38" t="n">
        <x:f>V86*AG86</x:f>
        <x:v>1313.810890543368</x:v>
      </x:c>
      <x:c r="AK86" s="38" t="n">
        <x:f>AB86*2%</x:f>
        <x:v>4420.241434399999</x:v>
      </x:c>
      <x:c r="AL86" s="38" t="n">
        <x:f>AB86+AH86+AI86+AJ86+AK86</x:f>
        <x:v>256945.1012513433</x:v>
      </x:c>
      <x:c r="AM86" s="38" t="n">
        <x:f>AL86/V86</x:f>
        <x:v>1048.2678691585552</x:v>
      </x:c>
      <x:c r="AN86" s="40" t="n">
        <x:f>(W86+X86)/AL86*100</x:f>
        <x:v>75.87585434808159</x:v>
      </x:c>
      <x:c r="AO86" s="28" t="str">
        <x:v>R01-R20; ilgili satırdaki bölgesel fiyat ve maliyet varsayımları</x:v>
      </x:c>
      <x:c r="AP86" s="28" t="str">
        <x:v>Girdi miktarları, alım fiyatı değişimi, fason bedeli ve parti sonucu simüle edilmiştir; işletme kaydı değildir.</x:v>
      </x:c>
    </x:row>
    <x:row r="87" ht="22" customHeight="1">
      <x:c r="A87" t="str">
        <x:v>SUC-0086</x:v>
      </x:c>
      <x:c r="B87" s="36" t="n">
        <x:v>46288</x:v>
      </x:c>
      <x:c r="C87" t="str">
        <x:v>İç Anadolu</x:v>
      </x:c>
      <x:c r="D87" t="str">
        <x:v>ERZURUM_CI</x:v>
      </x:c>
      <x:c r="E87" t="str">
        <x:v>Fason</x:v>
      </x:c>
      <x:c r="F87" s="42" t="str">
        <x:v>SENTETİK/SİMÜLE — gerçek parti kaydı değildir</x:v>
      </x:c>
      <x:c r="G87" s="38" t="n">
        <x:v>202.415</x:v>
      </x:c>
      <x:c r="H87" s="38" t="n">
        <x:v>36.346</x:v>
      </x:c>
      <x:c r="I87" s="38" t="n">
        <x:v>12.055</x:v>
      </x:c>
      <x:c r="J87" s="38" t="n">
        <x:v>4.519</x:v>
      </x:c>
      <x:c r="K87" s="38" t="n">
        <x:v>0.025</x:v>
      </x:c>
      <x:c r="L87" s="38" t="n">
        <x:f>SUM(G87:K87)</x:f>
        <x:v>255.36</x:v>
      </x:c>
      <x:c r="M87" s="38" t="n">
        <x:v>303.51</x:v>
      </x:c>
      <x:c r="N87" s="38" t="n">
        <x:v>602.9</x:v>
      </x:c>
      <x:c r="O87" s="38" t="n">
        <x:v>411.71</x:v>
      </x:c>
      <x:c r="P87" s="38" t="n">
        <x:v>550</x:v>
      </x:c>
      <x:c r="Q87" s="38" t="n">
        <x:v>19.88</x:v>
      </x:c>
      <x:c r="R87" s="38" t="n">
        <x:v>43.7475</x:v>
      </x:c>
      <x:c r="S87" s="38" t="n">
        <x:v>77.05</x:v>
      </x:c>
      <x:c r="T87" s="40" t="n">
        <x:v>29.1</x:v>
      </x:c>
      <x:c r="U87" s="40" t="n">
        <x:v>1.53</x:v>
      </x:c>
      <x:c r="V87" s="38" t="n">
        <x:f>L87*(1-T87/100)*(1-U87/100)</x:f>
        <x:v>178.280171328</x:v>
      </x:c>
      <x:c r="W87" s="38" t="n">
        <x:f>G87*N87</x:f>
        <x:v>122036.00349999999</x:v>
      </x:c>
      <x:c r="X87" s="38" t="n">
        <x:f>H87*O87</x:f>
        <x:v>14964.011659999998</x:v>
      </x:c>
      <x:c r="Y87" s="38" t="n">
        <x:f>I87*P87</x:f>
        <x:v>6630.25</x:v>
      </x:c>
      <x:c r="Z87" s="38" t="n">
        <x:f>J87*Q87+K87*P87</x:f>
        <x:v>103.58772</x:v>
      </x:c>
      <x:c r="AA87" s="38" t="n">
        <x:f>M87*R87</x:f>
        <x:v>13277.803725</x:v>
      </x:c>
      <x:c r="AB87" s="38" t="n">
        <x:f>SUM(W87:AA87)</x:f>
        <x:v>157011.656605</x:v>
      </x:c>
      <x:c r="AC87" s="38" t="n">
        <x:v>15.45</x:v>
      </x:c>
      <x:c r="AD87" s="38" t="n">
        <x:v>174.33</x:v>
      </x:c>
      <x:c r="AE87" s="38" t="n">
        <x:v>69.37</x:v>
      </x:c>
      <x:c r="AF87" s="38" t="n">
        <x:v>4.8148</x:v>
      </x:c>
      <x:c r="AG87" s="38" t="n">
        <x:v>5.85</x:v>
      </x:c>
      <x:c r="AH87" s="38" t="n">
        <x:f>IF(E87="Fason",L87*S87,0)</x:f>
        <x:v>19675.488</x:v>
      </x:c>
      <x:c r="AI87" s="38" t="n">
        <x:f>IF(E87="Kurum içi",AC87*AD87+AE87*AF87+AB87*12%,0)</x:f>
        <x:v>0</x:v>
      </x:c>
      <x:c r="AJ87" s="38" t="n">
        <x:f>V87*AG87</x:f>
        <x:v>1042.9390022687999</x:v>
      </x:c>
      <x:c r="AK87" s="38" t="n">
        <x:f>AB87*2%</x:f>
        <x:v>3140.2331321</x:v>
      </x:c>
      <x:c r="AL87" s="38" t="n">
        <x:f>AB87+AH87+AI87+AJ87+AK87</x:f>
        <x:v>180870.3167393688</x:v>
      </x:c>
      <x:c r="AM87" s="38" t="n">
        <x:f>AL87/V87</x:f>
        <x:v>1014.5285108942568</x:v>
      </x:c>
      <x:c r="AN87" s="40" t="n">
        <x:f>(W87+X87)/AL87*100</x:f>
        <x:v>75.74488596568048</x:v>
      </x:c>
      <x:c r="AO87" s="28" t="str">
        <x:v>R01-R20; ilgili satırdaki bölgesel fiyat ve maliyet varsayımları</x:v>
      </x:c>
      <x:c r="AP87" s="28" t="str">
        <x:v>Girdi miktarları, alım fiyatı değişimi, fason bedeli ve parti sonucu simüle edilmiştir; işletme kaydı değildir.</x:v>
      </x:c>
    </x:row>
    <x:row r="88" ht="22" customHeight="1">
      <x:c r="A88" t="str">
        <x:v>SUC-0087</x:v>
      </x:c>
      <x:c r="B88" s="36" t="n">
        <x:v>46309</x:v>
      </x:c>
      <x:c r="C88" t="str">
        <x:v>Akdeniz</x:v>
      </x:c>
      <x:c r="D88" t="str">
        <x:v>ERZURUM_CI</x:v>
      </x:c>
      <x:c r="E88" t="str">
        <x:v>Kurum içi</x:v>
      </x:c>
      <x:c r="F88" s="42" t="str">
        <x:v>SENTETİK/SİMÜLE — gerçek parti kaydı değildir</x:v>
      </x:c>
      <x:c r="G88" s="38" t="n">
        <x:v>306.685</x:v>
      </x:c>
      <x:c r="H88" s="38" t="n">
        <x:v>55.77</x:v>
      </x:c>
      <x:c r="I88" s="38" t="n">
        <x:v>18.843</x:v>
      </x:c>
      <x:c r="J88" s="38" t="n">
        <x:v>6.273</x:v>
      </x:c>
      <x:c r="K88" s="38" t="n">
        <x:v>0.88</x:v>
      </x:c>
      <x:c r="L88" s="38" t="n">
        <x:f>SUM(G88:K88)</x:f>
        <x:v>388.451</x:v>
      </x:c>
      <x:c r="M88" s="38" t="n">
        <x:v>480.459</x:v>
      </x:c>
      <x:c r="N88" s="38" t="n">
        <x:v>604.03</x:v>
      </x:c>
      <x:c r="O88" s="38" t="n">
        <x:v>483.02</x:v>
      </x:c>
      <x:c r="P88" s="38" t="n">
        <x:v>669.9</x:v>
      </x:c>
      <x:c r="Q88" s="38" t="n">
        <x:v>19.88</x:v>
      </x:c>
      <x:c r="R88" s="38" t="n">
        <x:v>43.7475</x:v>
      </x:c>
      <x:c r="S88" s="38" t="n">
        <x:v>83.39</x:v>
      </x:c>
      <x:c r="T88" s="40" t="n">
        <x:v>16.29</x:v>
      </x:c>
      <x:c r="U88" s="40" t="n">
        <x:v>0.84</x:v>
      </x:c>
      <x:c r="V88" s="38" t="n">
        <x:f>L88*(1-T88/100)*(1-U88/100)</x:f>
        <x:v>322.44088451036004</x:v>
      </x:c>
      <x:c r="W88" s="38" t="n">
        <x:f>G88*N88</x:f>
        <x:v>185246.94055</x:v>
      </x:c>
      <x:c r="X88" s="38" t="n">
        <x:f>H88*O88</x:f>
        <x:v>26938.025400000002</x:v>
      </x:c>
      <x:c r="Y88" s="38" t="n">
        <x:f>I88*P88</x:f>
        <x:v>12622.9257</x:v>
      </x:c>
      <x:c r="Z88" s="38" t="n">
        <x:f>J88*Q88+K88*P88</x:f>
        <x:v>714.2192399999999</x:v>
      </x:c>
      <x:c r="AA88" s="38" t="n">
        <x:f>M88*R88</x:f>
        <x:v>21018.880102500003</x:v>
      </x:c>
      <x:c r="AB88" s="38" t="n">
        <x:f>SUM(W88:AA88)</x:f>
        <x:v>246540.9909925</x:v>
      </x:c>
      <x:c r="AC88" s="38" t="n">
        <x:v>17.71</x:v>
      </x:c>
      <x:c r="AD88" s="38" t="n">
        <x:v>174.33</x:v>
      </x:c>
      <x:c r="AE88" s="38" t="n">
        <x:v>153.01</x:v>
      </x:c>
      <x:c r="AF88" s="38" t="n">
        <x:v>4.8148</x:v>
      </x:c>
      <x:c r="AG88" s="38" t="n">
        <x:v>5.83</x:v>
      </x:c>
      <x:c r="AH88" s="38" t="n">
        <x:f>IF(E88="Fason",L88*S88,0)</x:f>
        <x:v>0</x:v>
      </x:c>
      <x:c r="AI88" s="38" t="n">
        <x:f>IF(E88="Kurum içi",AC88*AD88+AE88*AF88+AB88*12%,0)</x:f>
        <x:v>33409.0157671</x:v>
      </x:c>
      <x:c r="AJ88" s="38" t="n">
        <x:f>V88*AG88</x:f>
        <x:v>1879.8303566953991</x:v>
      </x:c>
      <x:c r="AK88" s="38" t="n">
        <x:f>AB88*2%</x:f>
        <x:v>4930.81981985</x:v>
      </x:c>
      <x:c r="AL88" s="38" t="n">
        <x:f>AB88+AH88+AI88+AJ88+AK88</x:f>
        <x:v>286760.6569361454</x:v>
      </x:c>
      <x:c r="AM88" s="38" t="n">
        <x:f>AL88/V88</x:f>
        <x:v>889.3433516398004</x:v>
      </x:c>
      <x:c r="AN88" s="40" t="n">
        <x:f>(W88+X88)/AL88*100</x:f>
        <x:v>73.99375082239696</x:v>
      </x:c>
      <x:c r="AO88" s="28" t="str">
        <x:v>R01-R20; ilgili satırdaki bölgesel fiyat ve maliyet varsayımları</x:v>
      </x:c>
      <x:c r="AP88" s="28" t="str">
        <x:v>Girdi miktarları, alım fiyatı değişimi, fason bedeli ve parti sonucu simüle edilmiştir; işletme kaydı değildir.</x:v>
      </x:c>
    </x:row>
    <x:row r="89" ht="22" customHeight="1">
      <x:c r="A89" t="str">
        <x:v>SUC-0088</x:v>
      </x:c>
      <x:c r="B89" s="36" t="n">
        <x:v>46314</x:v>
      </x:c>
      <x:c r="C89" t="str">
        <x:v>Marmara</x:v>
      </x:c>
      <x:c r="D89" t="str">
        <x:v>ERZURUM_CI</x:v>
      </x:c>
      <x:c r="E89" t="str">
        <x:v>Kurum içi</x:v>
      </x:c>
      <x:c r="F89" s="42" t="str">
        <x:v>SENTETİK/SİMÜLE — gerçek parti kaydı değildir</x:v>
      </x:c>
      <x:c r="G89" s="38" t="n">
        <x:v>315.078</x:v>
      </x:c>
      <x:c r="H89" s="38" t="n">
        <x:v>53.281</x:v>
      </x:c>
      <x:c r="I89" s="38" t="n">
        <x:v>18.255</x:v>
      </x:c>
      <x:c r="J89" s="38" t="n">
        <x:v>5.816</x:v>
      </x:c>
      <x:c r="K89" s="38" t="n">
        <x:v>0.081</x:v>
      </x:c>
      <x:c r="L89" s="38" t="n">
        <x:f>SUM(G89:K89)</x:f>
        <x:v>392.51099999999997</x:v>
      </x:c>
      <x:c r="M89" s="38" t="n">
        <x:v>462.642</x:v>
      </x:c>
      <x:c r="N89" s="38" t="n">
        <x:v>592.27</x:v>
      </x:c>
      <x:c r="O89" s="38" t="n">
        <x:v>451.64</x:v>
      </x:c>
      <x:c r="P89" s="38" t="n">
        <x:v>669.9</x:v>
      </x:c>
      <x:c r="Q89" s="38" t="n">
        <x:v>19.88</x:v>
      </x:c>
      <x:c r="R89" s="38" t="n">
        <x:v>43.7475</x:v>
      </x:c>
      <x:c r="S89" s="38" t="n">
        <x:v>67.04</x:v>
      </x:c>
      <x:c r="T89" s="40" t="n">
        <x:v>18.52</x:v>
      </x:c>
      <x:c r="U89" s="40" t="n">
        <x:v>1.1</x:v>
      </x:c>
      <x:c r="V89" s="38" t="n">
        <x:f>L89*(1-T89/100)*(1-U89/100)</x:f>
        <x:v>316.29996520919997</x:v>
      </x:c>
      <x:c r="W89" s="38" t="n">
        <x:f>G89*N89</x:f>
        <x:v>186611.24705999997</x:v>
      </x:c>
      <x:c r="X89" s="38" t="n">
        <x:f>H89*O89</x:f>
        <x:v>24063.83084</x:v>
      </x:c>
      <x:c r="Y89" s="38" t="n">
        <x:f>I89*P89</x:f>
        <x:v>12229.0245</x:v>
      </x:c>
      <x:c r="Z89" s="38" t="n">
        <x:f>J89*Q89+K89*P89</x:f>
        <x:v>169.88398</x:v>
      </x:c>
      <x:c r="AA89" s="38" t="n">
        <x:f>M89*R89</x:f>
        <x:v>20239.430895</x:v>
      </x:c>
      <x:c r="AB89" s="38" t="n">
        <x:f>SUM(W89:AA89)</x:f>
        <x:v>243313.41727499999</x:v>
      </x:c>
      <x:c r="AC89" s="38" t="n">
        <x:v>17.67</x:v>
      </x:c>
      <x:c r="AD89" s="38" t="n">
        <x:v>174.33</x:v>
      </x:c>
      <x:c r="AE89" s="38" t="n">
        <x:v>142.49</x:v>
      </x:c>
      <x:c r="AF89" s="38" t="n">
        <x:v>4.8148</x:v>
      </x:c>
      <x:c r="AG89" s="38" t="n">
        <x:v>5.86</x:v>
      </x:c>
      <x:c r="AH89" s="38" t="n">
        <x:f>IF(E89="Fason",L89*S89,0)</x:f>
        <x:v>0</x:v>
      </x:c>
      <x:c r="AI89" s="38" t="n">
        <x:f>IF(E89="Kurum içi",AC89*AD89+AE89*AF89+AB89*12%,0)</x:f>
        <x:v>32964.082024999996</x:v>
      </x:c>
      <x:c r="AJ89" s="38" t="n">
        <x:f>V89*AG89</x:f>
        <x:v>1853.517796125912</x:v>
      </x:c>
      <x:c r="AK89" s="38" t="n">
        <x:f>AB89*2%</x:f>
        <x:v>4866.2683455</x:v>
      </x:c>
      <x:c r="AL89" s="38" t="n">
        <x:f>AB89+AH89+AI89+AJ89+AK89</x:f>
        <x:v>282997.28544162586</x:v>
      </x:c>
      <x:c r="AM89" s="38" t="n">
        <x:f>AL89/V89</x:f>
        <x:v>894.7117185246992</x:v>
      </x:c>
      <x:c r="AN89" s="40" t="n">
        <x:f>(W89+X89)/AL89*100</x:f>
        <x:v>74.44420449872341</x:v>
      </x:c>
      <x:c r="AO89" s="28" t="str">
        <x:v>R01-R20; ilgili satırdaki bölgesel fiyat ve maliyet varsayımları</x:v>
      </x:c>
      <x:c r="AP89" s="28" t="str">
        <x:v>Girdi miktarları, alım fiyatı değişimi, fason bedeli ve parti sonucu simüle edilmiştir; işletme kaydı değildir.</x:v>
      </x:c>
    </x:row>
    <x:row r="90" ht="22" customHeight="1">
      <x:c r="A90" t="str">
        <x:v>SUC-0089</x:v>
      </x:c>
      <x:c r="B90" s="36" t="n">
        <x:v>46276</x:v>
      </x:c>
      <x:c r="C90" t="str">
        <x:v>Akdeniz</x:v>
      </x:c>
      <x:c r="D90" t="str">
        <x:v>ERZURUM_CI</x:v>
      </x:c>
      <x:c r="E90" t="str">
        <x:v>Kurum içi</x:v>
      </x:c>
      <x:c r="F90" s="42" t="str">
        <x:v>SENTETİK/SİMÜLE — gerçek parti kaydı değildir</x:v>
      </x:c>
      <x:c r="G90" s="38" t="n">
        <x:v>305.363</x:v>
      </x:c>
      <x:c r="H90" s="38" t="n">
        <x:v>54.57</x:v>
      </x:c>
      <x:c r="I90" s="38" t="n">
        <x:v>17.752</x:v>
      </x:c>
      <x:c r="J90" s="38" t="n">
        <x:v>6.252</x:v>
      </x:c>
      <x:c r="K90" s="38" t="n">
        <x:v>0.421</x:v>
      </x:c>
      <x:c r="L90" s="38" t="n">
        <x:f>SUM(G90:K90)</x:f>
        <x:v>384.358</x:v>
      </x:c>
      <x:c r="M90" s="38" t="n">
        <x:v>460.88</x:v>
      </x:c>
      <x:c r="N90" s="38" t="n">
        <x:v>597.81</x:v>
      </x:c>
      <x:c r="O90" s="38" t="n">
        <x:v>477.48</x:v>
      </x:c>
      <x:c r="P90" s="38" t="n">
        <x:v>669.9</x:v>
      </x:c>
      <x:c r="Q90" s="38" t="n">
        <x:v>19.88</x:v>
      </x:c>
      <x:c r="R90" s="38" t="n">
        <x:v>43.7475</x:v>
      </x:c>
      <x:c r="S90" s="38" t="n">
        <x:v>77.99</x:v>
      </x:c>
      <x:c r="T90" s="40" t="n">
        <x:v>24.69</x:v>
      </x:c>
      <x:c r="U90" s="40" t="n">
        <x:v>1.57</x:v>
      </x:c>
      <x:c r="V90" s="38" t="n">
        <x:f>L90*(1-T90/100)*(1-U90/100)</x:f>
        <x:v>284.91548764614004</x:v>
      </x:c>
      <x:c r="W90" s="38" t="n">
        <x:f>G90*N90</x:f>
        <x:v>182549.05503</x:v>
      </x:c>
      <x:c r="X90" s="38" t="n">
        <x:f>H90*O90</x:f>
        <x:v>26056.0836</x:v>
      </x:c>
      <x:c r="Y90" s="38" t="n">
        <x:f>I90*P90</x:f>
        <x:v>11892.064799999998</x:v>
      </x:c>
      <x:c r="Z90" s="38" t="n">
        <x:f>J90*Q90+K90*P90</x:f>
        <x:v>406.31766</x:v>
      </x:c>
      <x:c r="AA90" s="38" t="n">
        <x:f>M90*R90</x:f>
        <x:v>20162.3478</x:v>
      </x:c>
      <x:c r="AB90" s="38" t="n">
        <x:f>SUM(W90:AA90)</x:f>
        <x:v>241065.86888999998</x:v>
      </x:c>
      <x:c r="AC90" s="38" t="n">
        <x:v>26.26</x:v>
      </x:c>
      <x:c r="AD90" s="38" t="n">
        <x:v>174.33</x:v>
      </x:c>
      <x:c r="AE90" s="38" t="n">
        <x:v>114.29</x:v>
      </x:c>
      <x:c r="AF90" s="38" t="n">
        <x:v>4.8148</x:v>
      </x:c>
      <x:c r="AG90" s="38" t="n">
        <x:v>5.48</x:v>
      </x:c>
      <x:c r="AH90" s="38" t="n">
        <x:f>IF(E90="Fason",L90*S90,0)</x:f>
        <x:v>0</x:v>
      </x:c>
      <x:c r="AI90" s="38" t="n">
        <x:f>IF(E90="Kurum içi",AC90*AD90+AE90*AF90+AB90*12%,0)</x:f>
        <x:v>34056.0935588</x:v>
      </x:c>
      <x:c r="AJ90" s="38" t="n">
        <x:f>V90*AG90</x:f>
        <x:v>1561.3368723008475</x:v>
      </x:c>
      <x:c r="AK90" s="38" t="n">
        <x:f>AB90*2%</x:f>
        <x:v>4821.3173778</x:v>
      </x:c>
      <x:c r="AL90" s="38" t="n">
        <x:f>AB90+AH90+AI90+AJ90+AK90</x:f>
        <x:v>281504.6166989008</x:v>
      </x:c>
      <x:c r="AM90" s="38" t="n">
        <x:f>AL90/V90</x:f>
        <x:v>988.0284817950105</x:v>
      </x:c>
      <x:c r="AN90" s="40" t="n">
        <x:f>(W90+X90)/AL90*100</x:f>
        <x:v>74.1036296584526</x:v>
      </x:c>
      <x:c r="AO90" s="28" t="str">
        <x:v>R01-R20; ilgili satırdaki bölgesel fiyat ve maliyet varsayımları</x:v>
      </x:c>
      <x:c r="AP90" s="28" t="str">
        <x:v>Girdi miktarları, alım fiyatı değişimi, fason bedeli ve parti sonucu simüle edilmiştir; işletme kaydı değildir.</x:v>
      </x:c>
    </x:row>
    <x:row r="91" ht="22" customHeight="1">
      <x:c r="A91" t="str">
        <x:v>SUC-0090</x:v>
      </x:c>
      <x:c r="B91" s="36" t="n">
        <x:v>46279</x:v>
      </x:c>
      <x:c r="C91" t="str">
        <x:v>Akdeniz</x:v>
      </x:c>
      <x:c r="D91" t="str">
        <x:v>MEB_STANDART</x:v>
      </x:c>
      <x:c r="E91" t="str">
        <x:v>Kurum içi</x:v>
      </x:c>
      <x:c r="F91" s="42" t="str">
        <x:v>SENTETİK/SİMÜLE — gerçek parti kaydı değildir</x:v>
      </x:c>
      <x:c r="G91" s="38" t="n">
        <x:v>224.65</x:v>
      </x:c>
      <x:c r="H91" s="38" t="n">
        <x:v>74.194</x:v>
      </x:c>
      <x:c r="I91" s="38" t="n">
        <x:v>13.565</x:v>
      </x:c>
      <x:c r="J91" s="38" t="n">
        <x:v>8.704</x:v>
      </x:c>
      <x:c r="K91" s="38" t="n">
        <x:v>2.795</x:v>
      </x:c>
      <x:c r="L91" s="38" t="n">
        <x:f>SUM(G91:K91)</x:f>
        <x:v>323.908</x:v>
      </x:c>
      <x:c r="M91" s="38" t="n">
        <x:v>393.539</x:v>
      </x:c>
      <x:c r="N91" s="38" t="n">
        <x:v>573.13</x:v>
      </x:c>
      <x:c r="O91" s="38" t="n">
        <x:v>436.87</x:v>
      </x:c>
      <x:c r="P91" s="38" t="n">
        <x:v>550</x:v>
      </x:c>
      <x:c r="Q91" s="38" t="n">
        <x:v>19.88</x:v>
      </x:c>
      <x:c r="R91" s="38" t="n">
        <x:v>43.7475</x:v>
      </x:c>
      <x:c r="S91" s="38" t="n">
        <x:v>116.05</x:v>
      </x:c>
      <x:c r="T91" s="40" t="n">
        <x:v>20.59</x:v>
      </x:c>
      <x:c r="U91" s="40" t="n">
        <x:v>1.33</x:v>
      </x:c>
      <x:c r="V91" s="38" t="n">
        <x:f>L91*(1-T91/100)*(1-U91/100)</x:f>
        <x:v>253.79437874076004</x:v>
      </x:c>
      <x:c r="W91" s="38" t="n">
        <x:f>G91*N91</x:f>
        <x:v>128753.6545</x:v>
      </x:c>
      <x:c r="X91" s="38" t="n">
        <x:f>H91*O91</x:f>
        <x:v>32413.13278</x:v>
      </x:c>
      <x:c r="Y91" s="38" t="n">
        <x:f>I91*P91</x:f>
        <x:v>7460.75</x:v>
      </x:c>
      <x:c r="Z91" s="38" t="n">
        <x:f>J91*Q91+K91*P91</x:f>
        <x:v>1710.28552</x:v>
      </x:c>
      <x:c r="AA91" s="38" t="n">
        <x:f>M91*R91</x:f>
        <x:v>17216.3474025</x:v>
      </x:c>
      <x:c r="AB91" s="38" t="n">
        <x:f>SUM(W91:AA91)</x:f>
        <x:v>187554.17020249998</x:v>
      </x:c>
      <x:c r="AC91" s="38" t="n">
        <x:v>13.89</x:v>
      </x:c>
      <x:c r="AD91" s="38" t="n">
        <x:v>174.33</x:v>
      </x:c>
      <x:c r="AE91" s="38" t="n">
        <x:v>83.57</x:v>
      </x:c>
      <x:c r="AF91" s="38" t="n">
        <x:v>4.8148</x:v>
      </x:c>
      <x:c r="AG91" s="38" t="n">
        <x:v>5.29</x:v>
      </x:c>
      <x:c r="AH91" s="38" t="n">
        <x:f>IF(E91="Fason",L91*S91,0)</x:f>
        <x:v>0</x:v>
      </x:c>
      <x:c r="AI91" s="38" t="n">
        <x:f>IF(E91="Kurum içi",AC91*AD91+AE91*AF91+AB91*12%,0)</x:f>
        <x:v>25330.3169603</x:v>
      </x:c>
      <x:c r="AJ91" s="38" t="n">
        <x:f>V91*AG91</x:f>
        <x:v>1342.5722635386205</x:v>
      </x:c>
      <x:c r="AK91" s="38" t="n">
        <x:f>AB91*2%</x:f>
        <x:v>3751.08340405</x:v>
      </x:c>
      <x:c r="AL91" s="38" t="n">
        <x:f>AB91+AH91+AI91+AJ91+AK91</x:f>
        <x:v>217978.14283038862</x:v>
      </x:c>
      <x:c r="AM91" s="38" t="n">
        <x:f>AL91/V91</x:f>
        <x:v>858.8769535082723</x:v>
      </x:c>
      <x:c r="AN91" s="40" t="n">
        <x:f>(W91+X91)/AL91*100</x:f>
        <x:v>73.93713203869517</x:v>
      </x:c>
      <x:c r="AO91" s="28" t="str">
        <x:v>R01-R20; ilgili satırdaki bölgesel fiyat ve maliyet varsayımları</x:v>
      </x:c>
      <x:c r="AP91" s="28" t="str">
        <x:v>Girdi miktarları, alım fiyatı değişimi, fason bedeli ve parti sonucu simüle edilmiştir; işletme kaydı değildir.</x:v>
      </x:c>
    </x:row>
    <x:row r="92" ht="22" customHeight="1">
      <x:c r="A92" t="str">
        <x:v>SUC-0091</x:v>
      </x:c>
      <x:c r="B92" s="36" t="n">
        <x:v>46288</x:v>
      </x:c>
      <x:c r="C92" t="str">
        <x:v>Ege</x:v>
      </x:c>
      <x:c r="D92" t="str">
        <x:v>MEB_STANDART</x:v>
      </x:c>
      <x:c r="E92" t="str">
        <x:v>Kurum içi</x:v>
      </x:c>
      <x:c r="F92" s="42" t="str">
        <x:v>SENTETİK/SİMÜLE — gerçek parti kaydı değildir</x:v>
      </x:c>
      <x:c r="G92" s="38" t="n">
        <x:v>114.533</x:v>
      </x:c>
      <x:c r="H92" s="38" t="n">
        <x:v>36.788</x:v>
      </x:c>
      <x:c r="I92" s="38" t="n">
        <x:v>7.685</x:v>
      </x:c>
      <x:c r="J92" s="38" t="n">
        <x:v>4.424</x:v>
      </x:c>
      <x:c r="K92" s="38" t="n">
        <x:v>1.772</x:v>
      </x:c>
      <x:c r="L92" s="38" t="n">
        <x:f>SUM(G92:K92)</x:f>
        <x:v>165.202</x:v>
      </x:c>
      <x:c r="M92" s="38" t="n">
        <x:v>214.495</x:v>
      </x:c>
      <x:c r="N92" s="38" t="n">
        <x:v>604.78</x:v>
      </x:c>
      <x:c r="O92" s="38" t="n">
        <x:v>422.48</x:v>
      </x:c>
      <x:c r="P92" s="38" t="n">
        <x:v>550</x:v>
      </x:c>
      <x:c r="Q92" s="38" t="n">
        <x:v>19.88</x:v>
      </x:c>
      <x:c r="R92" s="38" t="n">
        <x:v>43.7475</x:v>
      </x:c>
      <x:c r="S92" s="38" t="n">
        <x:v>96.98</x:v>
      </x:c>
      <x:c r="T92" s="40" t="n">
        <x:v>17.62</x:v>
      </x:c>
      <x:c r="U92" s="40" t="n">
        <x:v>1.07</x:v>
      </x:c>
      <x:c r="V92" s="38" t="n">
        <x:f>L92*(1-T92/100)*(1-U92/100)</x:f>
        <x:v>134.63720813868</x:v>
      </x:c>
      <x:c r="W92" s="38" t="n">
        <x:f>G92*N92</x:f>
        <x:v>69267.26774</x:v>
      </x:c>
      <x:c r="X92" s="38" t="n">
        <x:f>H92*O92</x:f>
        <x:v>15542.194239999999</x:v>
      </x:c>
      <x:c r="Y92" s="38" t="n">
        <x:f>I92*P92</x:f>
        <x:v>4226.75</x:v>
      </x:c>
      <x:c r="Z92" s="38" t="n">
        <x:f>J92*Q92+K92*P92</x:f>
        <x:v>1062.5491200000001</x:v>
      </x:c>
      <x:c r="AA92" s="38" t="n">
        <x:f>M92*R92</x:f>
        <x:v>9383.620012500001</x:v>
      </x:c>
      <x:c r="AB92" s="38" t="n">
        <x:f>SUM(W92:AA92)</x:f>
        <x:v>99482.38111249999</x:v>
      </x:c>
      <x:c r="AC92" s="38" t="n">
        <x:v>10.91</x:v>
      </x:c>
      <x:c r="AD92" s="38" t="n">
        <x:v>174.33</x:v>
      </x:c>
      <x:c r="AE92" s="38" t="n">
        <x:v>67.5</x:v>
      </x:c>
      <x:c r="AF92" s="38" t="n">
        <x:v>4.8148</x:v>
      </x:c>
      <x:c r="AG92" s="38" t="n">
        <x:v>5.33</x:v>
      </x:c>
      <x:c r="AH92" s="38" t="n">
        <x:f>IF(E92="Fason",L92*S92,0)</x:f>
        <x:v>0</x:v>
      </x:c>
      <x:c r="AI92" s="38" t="n">
        <x:f>IF(E92="Kurum içi",AC92*AD92+AE92*AF92+AB92*12%,0)</x:f>
        <x:v>14164.8250335</x:v>
      </x:c>
      <x:c r="AJ92" s="38" t="n">
        <x:f>V92*AG92</x:f>
        <x:v>717.6163193791643</x:v>
      </x:c>
      <x:c r="AK92" s="38" t="n">
        <x:f>AB92*2%</x:f>
        <x:v>1989.6476222499998</x:v>
      </x:c>
      <x:c r="AL92" s="38" t="n">
        <x:f>AB92+AH92+AI92+AJ92+AK92</x:f>
        <x:v>116354.47008762916</x:v>
      </x:c>
      <x:c r="AM92" s="38" t="n">
        <x:f>AL92/V92</x:f>
        <x:v>864.2073888503458</x:v>
      </x:c>
      <x:c r="AN92" s="40" t="n">
        <x:f>(W92+X92)/AL92*100</x:f>
        <x:v>72.88887304125753</x:v>
      </x:c>
      <x:c r="AO92" s="28" t="str">
        <x:v>R01-R20; ilgili satırdaki bölgesel fiyat ve maliyet varsayımları</x:v>
      </x:c>
      <x:c r="AP92" s="28" t="str">
        <x:v>Girdi miktarları, alım fiyatı değişimi, fason bedeli ve parti sonucu simüle edilmiştir; işletme kaydı değildir.</x:v>
      </x:c>
    </x:row>
    <x:row r="93" ht="22" customHeight="1">
      <x:c r="A93" t="str">
        <x:v>SUC-0092</x:v>
      </x:c>
      <x:c r="B93" s="36" t="n">
        <x:v>46292</x:v>
      </x:c>
      <x:c r="C93" t="str">
        <x:v>Güneydoğu Anadolu</x:v>
      </x:c>
      <x:c r="D93" t="str">
        <x:v>MEB_STANDART</x:v>
      </x:c>
      <x:c r="E93" t="str">
        <x:v>Kurum içi</x:v>
      </x:c>
      <x:c r="F93" s="42" t="str">
        <x:v>SENTETİK/SİMÜLE — gerçek parti kaydı değildir</x:v>
      </x:c>
      <x:c r="G93" s="38" t="n">
        <x:v>140.601</x:v>
      </x:c>
      <x:c r="H93" s="38" t="n">
        <x:v>43.72</x:v>
      </x:c>
      <x:c r="I93" s="38" t="n">
        <x:v>8.951</x:v>
      </x:c>
      <x:c r="J93" s="38" t="n">
        <x:v>5.086</x:v>
      </x:c>
      <x:c r="K93" s="38" t="n">
        <x:v>2.161</x:v>
      </x:c>
      <x:c r="L93" s="38" t="n">
        <x:f>SUM(G93:K93)</x:f>
        <x:v>200.519</x:v>
      </x:c>
      <x:c r="M93" s="38" t="n">
        <x:v>267.698</x:v>
      </x:c>
      <x:c r="N93" s="38" t="n">
        <x:v>574.97</x:v>
      </x:c>
      <x:c r="O93" s="38" t="n">
        <x:v>415.95</x:v>
      </x:c>
      <x:c r="P93" s="38" t="n">
        <x:v>400</x:v>
      </x:c>
      <x:c r="Q93" s="38" t="n">
        <x:v>19.88</x:v>
      </x:c>
      <x:c r="R93" s="38" t="n">
        <x:v>43.7475</x:v>
      </x:c>
      <x:c r="S93" s="38" t="n">
        <x:v>94.73</x:v>
      </x:c>
      <x:c r="T93" s="40" t="n">
        <x:v>24.36</x:v>
      </x:c>
      <x:c r="U93" s="40" t="n">
        <x:v>0.95</x:v>
      </x:c>
      <x:c r="V93" s="38" t="n">
        <x:f>L93*(1-T93/100)*(1-U93/100)</x:f>
        <x:v>150.2316821698</x:v>
      </x:c>
      <x:c r="W93" s="38" t="n">
        <x:f>G93*N93</x:f>
        <x:v>80841.35697000001</x:v>
      </x:c>
      <x:c r="X93" s="38" t="n">
        <x:f>H93*O93</x:f>
        <x:v>18185.334</x:v>
      </x:c>
      <x:c r="Y93" s="38" t="n">
        <x:f>I93*P93</x:f>
        <x:v>3580.4</x:v>
      </x:c>
      <x:c r="Z93" s="38" t="n">
        <x:f>J93*Q93+K93*P93</x:f>
        <x:v>965.50968</x:v>
      </x:c>
      <x:c r="AA93" s="38" t="n">
        <x:f>M93*R93</x:f>
        <x:v>11711.118255</x:v>
      </x:c>
      <x:c r="AB93" s="38" t="n">
        <x:f>SUM(W93:AA93)</x:f>
        <x:v>115283.718905</x:v>
      </x:c>
      <x:c r="AC93" s="38" t="n">
        <x:v>8.28</x:v>
      </x:c>
      <x:c r="AD93" s="38" t="n">
        <x:v>174.33</x:v>
      </x:c>
      <x:c r="AE93" s="38" t="n">
        <x:v>88.92</x:v>
      </x:c>
      <x:c r="AF93" s="38" t="n">
        <x:v>4.8148</x:v>
      </x:c>
      <x:c r="AG93" s="38" t="n">
        <x:v>5.24</x:v>
      </x:c>
      <x:c r="AH93" s="38" t="n">
        <x:f>IF(E93="Fason",L93*S93,0)</x:f>
        <x:v>0</x:v>
      </x:c>
      <x:c r="AI93" s="38" t="n">
        <x:f>IF(E93="Kurum içi",AC93*AD93+AE93*AF93+AB93*12%,0)</x:f>
        <x:v>15705.630684599999</x:v>
      </x:c>
      <x:c r="AJ93" s="38" t="n">
        <x:f>V93*AG93</x:f>
        <x:v>787.214014569752</x:v>
      </x:c>
      <x:c r="AK93" s="38" t="n">
        <x:f>AB93*2%</x:f>
        <x:v>2305.6743781</x:v>
      </x:c>
      <x:c r="AL93" s="38" t="n">
        <x:f>AB93+AH93+AI93+AJ93+AK93</x:f>
        <x:v>134082.23798226975</x:v>
      </x:c>
      <x:c r="AM93" s="38" t="n">
        <x:f>AL93/V93</x:f>
        <x:v>892.5030728919266</x:v>
      </x:c>
      <x:c r="AN93" s="40" t="n">
        <x:f>(W93+X93)/AL93*100</x:f>
        <x:v>73.85518951667164</x:v>
      </x:c>
      <x:c r="AO93" s="28" t="str">
        <x:v>R01-R20; ilgili satırdaki bölgesel fiyat ve maliyet varsayımları</x:v>
      </x:c>
      <x:c r="AP93" s="28" t="str">
        <x:v>Girdi miktarları, alım fiyatı değişimi, fason bedeli ve parti sonucu simüle edilmiştir; işletme kaydı değildir.</x:v>
      </x:c>
    </x:row>
    <x:row r="94" ht="22" customHeight="1">
      <x:c r="A94" t="str">
        <x:v>SUC-0093</x:v>
      </x:c>
      <x:c r="B94" s="36" t="n">
        <x:v>46290</x:v>
      </x:c>
      <x:c r="C94" t="str">
        <x:v>Akdeniz</x:v>
      </x:c>
      <x:c r="D94" t="str">
        <x:v>ERZURUM_CI</x:v>
      </x:c>
      <x:c r="E94" t="str">
        <x:v>Kurum içi</x:v>
      </x:c>
      <x:c r="F94" s="42" t="str">
        <x:v>SENTETİK/SİMÜLE — gerçek parti kaydı değildir</x:v>
      </x:c>
      <x:c r="G94" s="38" t="n">
        <x:v>272.53</x:v>
      </x:c>
      <x:c r="H94" s="38" t="n">
        <x:v>44.249</x:v>
      </x:c>
      <x:c r="I94" s="38" t="n">
        <x:v>16.082</x:v>
      </x:c>
      <x:c r="J94" s="38" t="n">
        <x:v>4.732</x:v>
      </x:c>
      <x:c r="K94" s="38" t="n">
        <x:v>0.223</x:v>
      </x:c>
      <x:c r="L94" s="38" t="n">
        <x:f>SUM(G94:K94)</x:f>
        <x:v>337.81600000000003</x:v>
      </x:c>
      <x:c r="M94" s="38" t="n">
        <x:v>391.929</x:v>
      </x:c>
      <x:c r="N94" s="38" t="n">
        <x:v>578.67</x:v>
      </x:c>
      <x:c r="O94" s="38" t="n">
        <x:v>445.44</x:v>
      </x:c>
      <x:c r="P94" s="38" t="n">
        <x:v>669.9</x:v>
      </x:c>
      <x:c r="Q94" s="38" t="n">
        <x:v>19.88</x:v>
      </x:c>
      <x:c r="R94" s="38" t="n">
        <x:v>43.7475</x:v>
      </x:c>
      <x:c r="S94" s="38" t="n">
        <x:v>103.61</x:v>
      </x:c>
      <x:c r="T94" s="40" t="n">
        <x:v>20.55</x:v>
      </x:c>
      <x:c r="U94" s="40" t="n">
        <x:v>1.03</x:v>
      </x:c>
      <x:c r="V94" s="38" t="n">
        <x:f>L94*(1-T94/100)*(1-U94/100)</x:f>
        <x:v>265.63034543640003</x:v>
      </x:c>
      <x:c r="W94" s="38" t="n">
        <x:f>G94*N94</x:f>
        <x:v>157704.93509999997</x:v>
      </x:c>
      <x:c r="X94" s="38" t="n">
        <x:f>H94*O94</x:f>
        <x:v>19710.27456</x:v>
      </x:c>
      <x:c r="Y94" s="38" t="n">
        <x:f>I94*P94</x:f>
        <x:v>10773.3318</x:v>
      </x:c>
      <x:c r="Z94" s="38" t="n">
        <x:f>J94*Q94+K94*P94</x:f>
        <x:v>243.45986</x:v>
      </x:c>
      <x:c r="AA94" s="38" t="n">
        <x:f>M94*R94</x:f>
        <x:v>17145.913927499998</x:v>
      </x:c>
      <x:c r="AB94" s="38" t="n">
        <x:f>SUM(W94:AA94)</x:f>
        <x:v>205577.91524749997</x:v>
      </x:c>
      <x:c r="AC94" s="38" t="n">
        <x:v>17.78</x:v>
      </x:c>
      <x:c r="AD94" s="38" t="n">
        <x:v>174.33</x:v>
      </x:c>
      <x:c r="AE94" s="38" t="n">
        <x:v>161.11</x:v>
      </x:c>
      <x:c r="AF94" s="38" t="n">
        <x:v>4.8148</x:v>
      </x:c>
      <x:c r="AG94" s="38" t="n">
        <x:v>5.84</x:v>
      </x:c>
      <x:c r="AH94" s="38" t="n">
        <x:f>IF(E94="Fason",L94*S94,0)</x:f>
        <x:v>0</x:v>
      </x:c>
      <x:c r="AI94" s="38" t="n">
        <x:f>IF(E94="Kurum içi",AC94*AD94+AE94*AF94+AB94*12%,0)</x:f>
        <x:v>28544.649657699996</x:v>
      </x:c>
      <x:c r="AJ94" s="38" t="n">
        <x:f>V94*AG94</x:f>
        <x:v>1551.281217348576</x:v>
      </x:c>
      <x:c r="AK94" s="38" t="n">
        <x:f>AB94*2%</x:f>
        <x:v>4111.558304949999</x:v>
      </x:c>
      <x:c r="AL94" s="38" t="n">
        <x:f>AB94+AH94+AI94+AJ94+AK94</x:f>
        <x:v>239785.40442749858</x:v>
      </x:c>
      <x:c r="AM94" s="38" t="n">
        <x:f>AL94/V94</x:f>
        <x:v>902.7033565519738</x:v>
      </x:c>
      <x:c r="AN94" s="40" t="n">
        <x:f>(W94+X94)/AL94*100</x:f>
        <x:v>73.98916130178522</x:v>
      </x:c>
      <x:c r="AO94" s="28" t="str">
        <x:v>R01-R20; ilgili satırdaki bölgesel fiyat ve maliyet varsayımları</x:v>
      </x:c>
      <x:c r="AP94" s="28" t="str">
        <x:v>Girdi miktarları, alım fiyatı değişimi, fason bedeli ve parti sonucu simüle edilmiştir; işletme kaydı değildir.</x:v>
      </x:c>
    </x:row>
    <x:row r="95" ht="22" customHeight="1">
      <x:c r="A95" t="str">
        <x:v>SUC-0094</x:v>
      </x:c>
      <x:c r="B95" s="36" t="n">
        <x:v>46277</x:v>
      </x:c>
      <x:c r="C95" t="str">
        <x:v>Güneydoğu Anadolu</x:v>
      </x:c>
      <x:c r="D95" t="str">
        <x:v>ERZURUM_CI</x:v>
      </x:c>
      <x:c r="E95" t="str">
        <x:v>Fason</x:v>
      </x:c>
      <x:c r="F95" s="42" t="str">
        <x:v>SENTETİK/SİMÜLE — gerçek parti kaydı değildir</x:v>
      </x:c>
      <x:c r="G95" s="38" t="n">
        <x:v>364.379</x:v>
      </x:c>
      <x:c r="H95" s="38" t="n">
        <x:v>63.048</x:v>
      </x:c>
      <x:c r="I95" s="38" t="n">
        <x:v>22.738</x:v>
      </x:c>
      <x:c r="J95" s="38" t="n">
        <x:v>8.085</x:v>
      </x:c>
      <x:c r="K95" s="38" t="n">
        <x:v>0.046</x:v>
      </x:c>
      <x:c r="L95" s="38" t="n">
        <x:f>SUM(G95:K95)</x:f>
        <x:v>458.296</x:v>
      </x:c>
      <x:c r="M95" s="38" t="n">
        <x:v>599.551</x:v>
      </x:c>
      <x:c r="N95" s="38" t="n">
        <x:v>585.53</x:v>
      </x:c>
      <x:c r="O95" s="38" t="n">
        <x:v>473.26</x:v>
      </x:c>
      <x:c r="P95" s="38" t="n">
        <x:v>550</x:v>
      </x:c>
      <x:c r="Q95" s="38" t="n">
        <x:v>19.88</x:v>
      </x:c>
      <x:c r="R95" s="38" t="n">
        <x:v>43.7475</x:v>
      </x:c>
      <x:c r="S95" s="38" t="n">
        <x:v>82.68</x:v>
      </x:c>
      <x:c r="T95" s="40" t="n">
        <x:v>25.95</x:v>
      </x:c>
      <x:c r="U95" s="40" t="n">
        <x:v>0.76</x:v>
      </x:c>
      <x:c r="V95" s="38" t="n">
        <x:f>L95*(1-T95/100)*(1-U95/100)</x:f>
        <x:v>336.78898977119997</x:v>
      </x:c>
      <x:c r="W95" s="38" t="n">
        <x:f>G95*N95</x:f>
        <x:v>213354.83587</x:v>
      </x:c>
      <x:c r="X95" s="38" t="n">
        <x:f>H95*O95</x:f>
        <x:v>29838.09648</x:v>
      </x:c>
      <x:c r="Y95" s="38" t="n">
        <x:f>I95*P95</x:f>
        <x:v>12505.9</x:v>
      </x:c>
      <x:c r="Z95" s="38" t="n">
        <x:f>J95*Q95+K95*P95</x:f>
        <x:v>186.02980000000002</x:v>
      </x:c>
      <x:c r="AA95" s="38" t="n">
        <x:f>M95*R95</x:f>
        <x:v>26228.857372500002</x:v>
      </x:c>
      <x:c r="AB95" s="38" t="n">
        <x:f>SUM(W95:AA95)</x:f>
        <x:v>282113.7195225</x:v>
      </x:c>
      <x:c r="AC95" s="38" t="n">
        <x:v>29.17</x:v>
      </x:c>
      <x:c r="AD95" s="38" t="n">
        <x:v>174.33</x:v>
      </x:c>
      <x:c r="AE95" s="38" t="n">
        <x:v>199.3</x:v>
      </x:c>
      <x:c r="AF95" s="38" t="n">
        <x:v>4.8148</x:v>
      </x:c>
      <x:c r="AG95" s="38" t="n">
        <x:v>5.79</x:v>
      </x:c>
      <x:c r="AH95" s="38" t="n">
        <x:f>IF(E95="Fason",L95*S95,0)</x:f>
        <x:v>37891.91328</x:v>
      </x:c>
      <x:c r="AI95" s="38" t="n">
        <x:f>IF(E95="Kurum içi",AC95*AD95+AE95*AF95+AB95*12%,0)</x:f>
        <x:v>0</x:v>
      </x:c>
      <x:c r="AJ95" s="38" t="n">
        <x:f>V95*AG95</x:f>
        <x:v>1950.008250775248</x:v>
      </x:c>
      <x:c r="AK95" s="38" t="n">
        <x:f>AB95*2%</x:f>
        <x:v>5642.27439045</x:v>
      </x:c>
      <x:c r="AL95" s="38" t="n">
        <x:f>AB95+AH95+AI95+AJ95+AK95</x:f>
        <x:v>327597.9154437252</x:v>
      </x:c>
      <x:c r="AM95" s="38" t="n">
        <x:f>AL95/V95</x:f>
        <x:v>972.7096947744081</x:v>
      </x:c>
      <x:c r="AN95" s="40" t="n">
        <x:f>(W95+X95)/AL95*100</x:f>
        <x:v>74.23518920155514</x:v>
      </x:c>
      <x:c r="AO95" s="28" t="str">
        <x:v>R01-R20; ilgili satırdaki bölgesel fiyat ve maliyet varsayımları</x:v>
      </x:c>
      <x:c r="AP95" s="28" t="str">
        <x:v>Girdi miktarları, alım fiyatı değişimi, fason bedeli ve parti sonucu simüle edilmiştir; işletme kaydı değildir.</x:v>
      </x:c>
    </x:row>
    <x:row r="96" ht="22" customHeight="1">
      <x:c r="A96" t="str">
        <x:v>SUC-0095</x:v>
      </x:c>
      <x:c r="B96" s="36" t="n">
        <x:v>46306</x:v>
      </x:c>
      <x:c r="C96" t="str">
        <x:v>Doğu Anadolu</x:v>
      </x:c>
      <x:c r="D96" t="str">
        <x:v>MEB_STANDART</x:v>
      </x:c>
      <x:c r="E96" t="str">
        <x:v>Kurum içi</x:v>
      </x:c>
      <x:c r="F96" s="42" t="str">
        <x:v>SENTETİK/SİMÜLE — gerçek parti kaydı değildir</x:v>
      </x:c>
      <x:c r="G96" s="38" t="n">
        <x:v>203.111</x:v>
      </x:c>
      <x:c r="H96" s="38" t="n">
        <x:v>63.138</x:v>
      </x:c>
      <x:c r="I96" s="38" t="n">
        <x:v>13.072</x:v>
      </x:c>
      <x:c r="J96" s="38" t="n">
        <x:v>7.137</x:v>
      </x:c>
      <x:c r="K96" s="38" t="n">
        <x:v>3.272</x:v>
      </x:c>
      <x:c r="L96" s="38" t="n">
        <x:f>SUM(G96:K96)</x:f>
        <x:v>289.72999999999996</x:v>
      </x:c>
      <x:c r="M96" s="38" t="n">
        <x:v>379.629</x:v>
      </x:c>
      <x:c r="N96" s="38" t="n">
        <x:v>577.43</x:v>
      </x:c>
      <x:c r="O96" s="38" t="n">
        <x:v>469.08</x:v>
      </x:c>
      <x:c r="P96" s="38" t="n">
        <x:v>400</x:v>
      </x:c>
      <x:c r="Q96" s="38" t="n">
        <x:v>19.88</x:v>
      </x:c>
      <x:c r="R96" s="38" t="n">
        <x:v>43.7475</x:v>
      </x:c>
      <x:c r="S96" s="38" t="n">
        <x:v>103.56</x:v>
      </x:c>
      <x:c r="T96" s="40" t="n">
        <x:v>18.71</x:v>
      </x:c>
      <x:c r="U96" s="40" t="n">
        <x:v>1.76</x:v>
      </x:c>
      <x:c r="V96" s="38" t="n">
        <x:f>L96*(1-T96/100)*(1-U96/100)</x:f>
        <x:v>231.37633830079997</x:v>
      </x:c>
      <x:c r="W96" s="38" t="n">
        <x:f>G96*N96</x:f>
        <x:v>117282.38472999999</x:v>
      </x:c>
      <x:c r="X96" s="38" t="n">
        <x:f>H96*O96</x:f>
        <x:v>29616.773039999996</x:v>
      </x:c>
      <x:c r="Y96" s="38" t="n">
        <x:f>I96*P96</x:f>
        <x:v>5228.799999999999</x:v>
      </x:c>
      <x:c r="Z96" s="38" t="n">
        <x:f>J96*Q96+K96*P96</x:f>
        <x:v>1450.68356</x:v>
      </x:c>
      <x:c r="AA96" s="38" t="n">
        <x:f>M96*R96</x:f>
        <x:v>16607.819677500003</x:v>
      </x:c>
      <x:c r="AB96" s="38" t="n">
        <x:f>SUM(W96:AA96)</x:f>
        <x:v>170186.46100749998</x:v>
      </x:c>
      <x:c r="AC96" s="38" t="n">
        <x:v>10.47</x:v>
      </x:c>
      <x:c r="AD96" s="38" t="n">
        <x:v>174.33</x:v>
      </x:c>
      <x:c r="AE96" s="38" t="n">
        <x:v>99.27</x:v>
      </x:c>
      <x:c r="AF96" s="38" t="n">
        <x:v>4.8148</x:v>
      </x:c>
      <x:c r="AG96" s="38" t="n">
        <x:v>5.24</x:v>
      </x:c>
      <x:c r="AH96" s="38" t="n">
        <x:f>IF(E96="Fason",L96*S96,0)</x:f>
        <x:v>0</x:v>
      </x:c>
      <x:c r="AI96" s="38" t="n">
        <x:f>IF(E96="Kurum içi",AC96*AD96+AE96*AF96+AB96*12%,0)</x:f>
        <x:v>22725.575616899994</x:v>
      </x:c>
      <x:c r="AJ96" s="38" t="n">
        <x:f>V96*AG96</x:f>
        <x:v>1212.4120126961918</x:v>
      </x:c>
      <x:c r="AK96" s="38" t="n">
        <x:f>AB96*2%</x:f>
        <x:v>3403.7292201499995</x:v>
      </x:c>
      <x:c r="AL96" s="38" t="n">
        <x:f>AB96+AH96+AI96+AJ96+AK96</x:f>
        <x:v>197528.17785724616</x:v>
      </x:c>
      <x:c r="AM96" s="38" t="n">
        <x:f>AL96/V96</x:f>
        <x:v>853.7094990259997</x:v>
      </x:c>
      <x:c r="AN96" s="40" t="n">
        <x:f>(W96+X96)/AL96*100</x:f>
        <x:v>74.3687100055994</x:v>
      </x:c>
      <x:c r="AO96" s="28" t="str">
        <x:v>R01-R20; ilgili satırdaki bölgesel fiyat ve maliyet varsayımları</x:v>
      </x:c>
      <x:c r="AP96" s="28" t="str">
        <x:v>Girdi miktarları, alım fiyatı değişimi, fason bedeli ve parti sonucu simüle edilmiştir; işletme kaydı değildir.</x:v>
      </x:c>
    </x:row>
    <x:row r="97" ht="22" customHeight="1">
      <x:c r="A97" t="str">
        <x:v>SUC-0096</x:v>
      </x:c>
      <x:c r="B97" s="36" t="n">
        <x:v>46304</x:v>
      </x:c>
      <x:c r="C97" t="str">
        <x:v>Ege</x:v>
      </x:c>
      <x:c r="D97" t="str">
        <x:v>ERZURUM_CI</x:v>
      </x:c>
      <x:c r="E97" t="str">
        <x:v>Fason</x:v>
      </x:c>
      <x:c r="F97" s="42" t="str">
        <x:v>SENTETİK/SİMÜLE — gerçek parti kaydı değildir</x:v>
      </x:c>
      <x:c r="G97" s="38" t="n">
        <x:v>52.72</x:v>
      </x:c>
      <x:c r="H97" s="38" t="n">
        <x:v>10.054</x:v>
      </x:c>
      <x:c r="I97" s="38" t="n">
        <x:v>3.053</x:v>
      </x:c>
      <x:c r="J97" s="38" t="n">
        <x:v>0.978</x:v>
      </x:c>
      <x:c r="K97" s="38" t="n">
        <x:v>0.136</x:v>
      </x:c>
      <x:c r="L97" s="38" t="n">
        <x:f>SUM(G97:K97)</x:f>
        <x:v>66.94099999999999</x:v>
      </x:c>
      <x:c r="M97" s="38" t="n">
        <x:v>85.09</x:v>
      </x:c>
      <x:c r="N97" s="38" t="n">
        <x:v>596.07</x:v>
      </x:c>
      <x:c r="O97" s="38" t="n">
        <x:v>411.55</x:v>
      </x:c>
      <x:c r="P97" s="38" t="n">
        <x:v>400</x:v>
      </x:c>
      <x:c r="Q97" s="38" t="n">
        <x:v>19.88</x:v>
      </x:c>
      <x:c r="R97" s="38" t="n">
        <x:v>43.7475</x:v>
      </x:c>
      <x:c r="S97" s="38" t="n">
        <x:v>73.2</x:v>
      </x:c>
      <x:c r="T97" s="40" t="n">
        <x:v>19.26</x:v>
      </x:c>
      <x:c r="U97" s="40" t="n">
        <x:v>0.51</x:v>
      </x:c>
      <x:c r="V97" s="38" t="n">
        <x:f>L97*(1-T97/100)*(1-U97/100)</x:f>
        <x:v>53.772517766659995</x:v>
      </x:c>
      <x:c r="W97" s="38" t="n">
        <x:f>G97*N97</x:f>
        <x:v>31424.810400000002</x:v>
      </x:c>
      <x:c r="X97" s="38" t="n">
        <x:f>H97*O97</x:f>
        <x:v>4137.7237000000005</x:v>
      </x:c>
      <x:c r="Y97" s="38" t="n">
        <x:f>I97*P97</x:f>
        <x:v>1221.2</x:v>
      </x:c>
      <x:c r="Z97" s="38" t="n">
        <x:f>J97*Q97+K97*P97</x:f>
        <x:v>73.84264</x:v>
      </x:c>
      <x:c r="AA97" s="38" t="n">
        <x:f>M97*R97</x:f>
        <x:v>3722.474775</x:v>
      </x:c>
      <x:c r="AB97" s="38" t="n">
        <x:f>SUM(W97:AA97)</x:f>
        <x:v>40580.05151500001</x:v>
      </x:c>
      <x:c r="AC97" s="38" t="n">
        <x:v>3.61</x:v>
      </x:c>
      <x:c r="AD97" s="38" t="n">
        <x:v>174.33</x:v>
      </x:c>
      <x:c r="AE97" s="38" t="n">
        <x:v>25.34</x:v>
      </x:c>
      <x:c r="AF97" s="38" t="n">
        <x:v>4.8148</x:v>
      </x:c>
      <x:c r="AG97" s="38" t="n">
        <x:v>5.57</x:v>
      </x:c>
      <x:c r="AH97" s="38" t="n">
        <x:f>IF(E97="Fason",L97*S97,0)</x:f>
        <x:v>4900.0812</x:v>
      </x:c>
      <x:c r="AI97" s="38" t="n">
        <x:f>IF(E97="Kurum içi",AC97*AD97+AE97*AF97+AB97*12%,0)</x:f>
        <x:v>0</x:v>
      </x:c>
      <x:c r="AJ97" s="38" t="n">
        <x:f>V97*AG97</x:f>
        <x:v>299.5129239602962</x:v>
      </x:c>
      <x:c r="AK97" s="38" t="n">
        <x:f>AB97*2%</x:f>
        <x:v>811.6010303000002</x:v>
      </x:c>
      <x:c r="AL97" s="38" t="n">
        <x:f>AB97+AH97+AI97+AJ97+AK97</x:f>
        <x:v>46591.246669260305</x:v>
      </x:c>
      <x:c r="AM97" s="38" t="n">
        <x:f>AL97/V97</x:f>
        <x:v>866.4509047435339</x:v>
      </x:c>
      <x:c r="AN97" s="40" t="n">
        <x:f>(W97+X97)/AL97*100</x:f>
        <x:v>76.32878843626916</x:v>
      </x:c>
      <x:c r="AO97" s="28" t="str">
        <x:v>R01-R20; ilgili satırdaki bölgesel fiyat ve maliyet varsayımları</x:v>
      </x:c>
      <x:c r="AP97" s="28" t="str">
        <x:v>Girdi miktarları, alım fiyatı değişimi, fason bedeli ve parti sonucu simüle edilmiştir; işletme kaydı değildir.</x:v>
      </x:c>
    </x:row>
    <x:row r="98" ht="22" customHeight="1">
      <x:c r="A98" t="str">
        <x:v>SUC-0097</x:v>
      </x:c>
      <x:c r="B98" s="36" t="n">
        <x:v>46281</x:v>
      </x:c>
      <x:c r="C98" t="str">
        <x:v>Karadeniz</x:v>
      </x:c>
      <x:c r="D98" t="str">
        <x:v>ERZURUM_CI</x:v>
      </x:c>
      <x:c r="E98" t="str">
        <x:v>Kurum içi</x:v>
      </x:c>
      <x:c r="F98" s="42" t="str">
        <x:v>SENTETİK/SİMÜLE — gerçek parti kaydı değildir</x:v>
      </x:c>
      <x:c r="G98" s="38" t="n">
        <x:v>189.67</x:v>
      </x:c>
      <x:c r="H98" s="38" t="n">
        <x:v>32.98</x:v>
      </x:c>
      <x:c r="I98" s="38" t="n">
        <x:v>10.901</x:v>
      </x:c>
      <x:c r="J98" s="38" t="n">
        <x:v>3.371</x:v>
      </x:c>
      <x:c r="K98" s="38" t="n">
        <x:v>0.114</x:v>
      </x:c>
      <x:c r="L98" s="38" t="n">
        <x:f>SUM(G98:K98)</x:f>
        <x:v>237.036</x:v>
      </x:c>
      <x:c r="M98" s="38" t="n">
        <x:v>292.165</x:v>
      </x:c>
      <x:c r="N98" s="38" t="n">
        <x:v>620.45</x:v>
      </x:c>
      <x:c r="O98" s="38" t="n">
        <x:v>461.73</x:v>
      </x:c>
      <x:c r="P98" s="38" t="n">
        <x:v>400</x:v>
      </x:c>
      <x:c r="Q98" s="38" t="n">
        <x:v>19.88</x:v>
      </x:c>
      <x:c r="R98" s="38" t="n">
        <x:v>43.7475</x:v>
      </x:c>
      <x:c r="S98" s="38" t="n">
        <x:v>115.02</x:v>
      </x:c>
      <x:c r="T98" s="40" t="n">
        <x:v>23.5</x:v>
      </x:c>
      <x:c r="U98" s="40" t="n">
        <x:v>1.45</x:v>
      </x:c>
      <x:c r="V98" s="38" t="n">
        <x:f>L98*(1-T98/100)*(1-U98/100)</x:f>
        <x:v>178.70321817</x:v>
      </x:c>
      <x:c r="W98" s="38" t="n">
        <x:f>G98*N98</x:f>
        <x:v>117680.7515</x:v>
      </x:c>
      <x:c r="X98" s="38" t="n">
        <x:f>H98*O98</x:f>
        <x:v>15227.855399999999</x:v>
      </x:c>
      <x:c r="Y98" s="38" t="n">
        <x:f>I98*P98</x:f>
        <x:v>4360.4</x:v>
      </x:c>
      <x:c r="Z98" s="38" t="n">
        <x:f>J98*Q98+K98*P98</x:f>
        <x:v>112.61547999999999</x:v>
      </x:c>
      <x:c r="AA98" s="38" t="n">
        <x:f>M98*R98</x:f>
        <x:v>12781.4883375</x:v>
      </x:c>
      <x:c r="AB98" s="38" t="n">
        <x:f>SUM(W98:AA98)</x:f>
        <x:v>150163.11071749998</x:v>
      </x:c>
      <x:c r="AC98" s="38" t="n">
        <x:v>10.58</x:v>
      </x:c>
      <x:c r="AD98" s="38" t="n">
        <x:v>174.33</x:v>
      </x:c>
      <x:c r="AE98" s="38" t="n">
        <x:v>107.28</x:v>
      </x:c>
      <x:c r="AF98" s="38" t="n">
        <x:v>4.8148</x:v>
      </x:c>
      <x:c r="AG98" s="38" t="n">
        <x:v>5.34</x:v>
      </x:c>
      <x:c r="AH98" s="38" t="n">
        <x:f>IF(E98="Fason",L98*S98,0)</x:f>
        <x:v>0</x:v>
      </x:c>
      <x:c r="AI98" s="38" t="n">
        <x:f>IF(E98="Kurum içi",AC98*AD98+AE98*AF98+AB98*12%,0)</x:f>
        <x:v>20380.516430099997</x:v>
      </x:c>
      <x:c r="AJ98" s="38" t="n">
        <x:f>V98*AG98</x:f>
        <x:v>954.2751850278</x:v>
      </x:c>
      <x:c r="AK98" s="38" t="n">
        <x:f>AB98*2%</x:f>
        <x:v>3003.26221435</x:v>
      </x:c>
      <x:c r="AL98" s="38" t="n">
        <x:f>AB98+AH98+AI98+AJ98+AK98</x:f>
        <x:v>174501.16454697776</x:v>
      </x:c>
      <x:c r="AM98" s="38" t="n">
        <x:f>AL98/V98</x:f>
        <x:v>976.4858536625521</x:v>
      </x:c>
      <x:c r="AN98" s="40" t="n">
        <x:f>(W98+X98)/AL98*100</x:f>
        <x:v>76.16488247803036</x:v>
      </x:c>
      <x:c r="AO98" s="28" t="str">
        <x:v>R01-R20; ilgili satırdaki bölgesel fiyat ve maliyet varsayımları</x:v>
      </x:c>
      <x:c r="AP98" s="28" t="str">
        <x:v>Girdi miktarları, alım fiyatı değişimi, fason bedeli ve parti sonucu simüle edilmiştir; işletme kaydı değildir.</x:v>
      </x:c>
    </x:row>
    <x:row r="99" ht="22" customHeight="1">
      <x:c r="A99" t="str">
        <x:v>SUC-0098</x:v>
      </x:c>
      <x:c r="B99" s="36" t="n">
        <x:v>46307</x:v>
      </x:c>
      <x:c r="C99" t="str">
        <x:v>Güneydoğu Anadolu</x:v>
      </x:c>
      <x:c r="D99" t="str">
        <x:v>MEB_STANDART</x:v>
      </x:c>
      <x:c r="E99" t="str">
        <x:v>Fason</x:v>
      </x:c>
      <x:c r="F99" s="42" t="str">
        <x:v>SENTETİK/SİMÜLE — gerçek parti kaydı değildir</x:v>
      </x:c>
      <x:c r="G99" s="38" t="n">
        <x:v>146.708</x:v>
      </x:c>
      <x:c r="H99" s="38" t="n">
        <x:v>45.155</x:v>
      </x:c>
      <x:c r="I99" s="38" t="n">
        <x:v>9.331</x:v>
      </x:c>
      <x:c r="J99" s="38" t="n">
        <x:v>5.536</x:v>
      </x:c>
      <x:c r="K99" s="38" t="n">
        <x:v>2.286</x:v>
      </x:c>
      <x:c r="L99" s="38" t="n">
        <x:f>SUM(G99:K99)</x:f>
        <x:v>209.016</x:v>
      </x:c>
      <x:c r="M99" s="38" t="n">
        <x:v>248.437</x:v>
      </x:c>
      <x:c r="N99" s="38" t="n">
        <x:v>600.74</x:v>
      </x:c>
      <x:c r="O99" s="38" t="n">
        <x:v>411.03</x:v>
      </x:c>
      <x:c r="P99" s="38" t="n">
        <x:v>550</x:v>
      </x:c>
      <x:c r="Q99" s="38" t="n">
        <x:v>19.88</x:v>
      </x:c>
      <x:c r="R99" s="38" t="n">
        <x:v>43.7475</x:v>
      </x:c>
      <x:c r="S99" s="38" t="n">
        <x:v>104.62</x:v>
      </x:c>
      <x:c r="T99" s="40" t="n">
        <x:v>22.43</x:v>
      </x:c>
      <x:c r="U99" s="40" t="n">
        <x:v>0.69</x:v>
      </x:c>
      <x:c r="V99" s="38" t="n">
        <x:f>L99*(1-T99/100)*(1-U99/100)</x:f>
        <x:v>161.01498859272</x:v>
      </x:c>
      <x:c r="W99" s="38" t="n">
        <x:f>G99*N99</x:f>
        <x:v>88133.36392</x:v>
      </x:c>
      <x:c r="X99" s="38" t="n">
        <x:f>H99*O99</x:f>
        <x:v>18560.05965</x:v>
      </x:c>
      <x:c r="Y99" s="38" t="n">
        <x:f>I99*P99</x:f>
        <x:v>5132.05</x:v>
      </x:c>
      <x:c r="Z99" s="38" t="n">
        <x:f>J99*Q99+K99*P99</x:f>
        <x:v>1367.35568</x:v>
      </x:c>
      <x:c r="AA99" s="38" t="n">
        <x:f>M99*R99</x:f>
        <x:v>10868.497657500002</x:v>
      </x:c>
      <x:c r="AB99" s="38" t="n">
        <x:f>SUM(W99:AA99)</x:f>
        <x:v>124061.3269075</x:v>
      </x:c>
      <x:c r="AC99" s="38" t="n">
        <x:v>9.4</x:v>
      </x:c>
      <x:c r="AD99" s="38" t="n">
        <x:v>174.33</x:v>
      </x:c>
      <x:c r="AE99" s="38" t="n">
        <x:v>86.21</x:v>
      </x:c>
      <x:c r="AF99" s="38" t="n">
        <x:v>4.8148</x:v>
      </x:c>
      <x:c r="AG99" s="38" t="n">
        <x:v>5.41</x:v>
      </x:c>
      <x:c r="AH99" s="38" t="n">
        <x:f>IF(E99="Fason",L99*S99,0)</x:f>
        <x:v>21867.25392</x:v>
      </x:c>
      <x:c r="AI99" s="38" t="n">
        <x:f>IF(E99="Kurum içi",AC99*AD99+AE99*AF99+AB99*12%,0)</x:f>
        <x:v>0</x:v>
      </x:c>
      <x:c r="AJ99" s="38" t="n">
        <x:f>V99*AG99</x:f>
        <x:v>871.0910882866151</x:v>
      </x:c>
      <x:c r="AK99" s="38" t="n">
        <x:f>AB99*2%</x:f>
        <x:v>2481.22653815</x:v>
      </x:c>
      <x:c r="AL99" s="38" t="n">
        <x:f>AB99+AH99+AI99+AJ99+AK99</x:f>
        <x:v>149280.8984539366</x:v>
      </x:c>
      <x:c r="AM99" s="38" t="n">
        <x:f>AL99/V99</x:f>
        <x:v>927.1242370580528</x:v>
      </x:c>
      <x:c r="AN99" s="40" t="n">
        <x:f>(W99+X99)/AL99*100</x:f>
        <x:v>71.47158455970992</x:v>
      </x:c>
      <x:c r="AO99" s="28" t="str">
        <x:v>R01-R20; ilgili satırdaki bölgesel fiyat ve maliyet varsayımları</x:v>
      </x:c>
      <x:c r="AP99" s="28" t="str">
        <x:v>Girdi miktarları, alım fiyatı değişimi, fason bedeli ve parti sonucu simüle edilmiştir; işletme kaydı değildir.</x:v>
      </x:c>
    </x:row>
    <x:row r="100" ht="22" customHeight="1">
      <x:c r="A100" t="str">
        <x:v>SUC-0099</x:v>
      </x:c>
      <x:c r="B100" s="36" t="n">
        <x:v>46298</x:v>
      </x:c>
      <x:c r="C100" t="str">
        <x:v>Doğu Anadolu</x:v>
      </x:c>
      <x:c r="D100" t="str">
        <x:v>MEB_STANDART</x:v>
      </x:c>
      <x:c r="E100" t="str">
        <x:v>Kurum içi</x:v>
      </x:c>
      <x:c r="F100" s="42" t="str">
        <x:v>SENTETİK/SİMÜLE — gerçek parti kaydı değildir</x:v>
      </x:c>
      <x:c r="G100" s="38" t="n">
        <x:v>89.629</x:v>
      </x:c>
      <x:c r="H100" s="38" t="n">
        <x:v>27.704</x:v>
      </x:c>
      <x:c r="I100" s="38" t="n">
        <x:v>5.47</x:v>
      </x:c>
      <x:c r="J100" s="38" t="n">
        <x:v>3.199</x:v>
      </x:c>
      <x:c r="K100" s="38" t="n">
        <x:v>1.369</x:v>
      </x:c>
      <x:c r="L100" s="38" t="n">
        <x:f>SUM(G100:K100)</x:f>
        <x:v>127.371</x:v>
      </x:c>
      <x:c r="M100" s="38" t="n">
        <x:v>148.267</x:v>
      </x:c>
      <x:c r="N100" s="38" t="n">
        <x:v>591.61</x:v>
      </x:c>
      <x:c r="O100" s="38" t="n">
        <x:v>449.23</x:v>
      </x:c>
      <x:c r="P100" s="38" t="n">
        <x:v>669.9</x:v>
      </x:c>
      <x:c r="Q100" s="38" t="n">
        <x:v>19.88</x:v>
      </x:c>
      <x:c r="R100" s="38" t="n">
        <x:v>43.7475</x:v>
      </x:c>
      <x:c r="S100" s="38" t="n">
        <x:v>72.48</x:v>
      </x:c>
      <x:c r="T100" s="40" t="n">
        <x:v>18.79</x:v>
      </x:c>
      <x:c r="U100" s="40" t="n">
        <x:v>1.5</x:v>
      </x:c>
      <x:c r="V100" s="38" t="n">
        <x:f>L100*(1-T100/100)*(1-U100/100)</x:f>
        <x:v>101.88641926349999</x:v>
      </x:c>
      <x:c r="W100" s="38" t="n">
        <x:f>G100*N100</x:f>
        <x:v>53025.412690000005</x:v>
      </x:c>
      <x:c r="X100" s="38" t="n">
        <x:f>H100*O100</x:f>
        <x:v>12445.467920000001</x:v>
      </x:c>
      <x:c r="Y100" s="38" t="n">
        <x:f>I100*P100</x:f>
        <x:v>3664.3529999999996</x:v>
      </x:c>
      <x:c r="Z100" s="38" t="n">
        <x:f>J100*Q100+K100*P100</x:f>
        <x:v>980.68922</x:v>
      </x:c>
      <x:c r="AA100" s="38" t="n">
        <x:f>M100*R100</x:f>
        <x:v>6486.3105825</x:v>
      </x:c>
      <x:c r="AB100" s="38" t="n">
        <x:f>SUM(W100:AA100)</x:f>
        <x:v>76602.2334125</x:v>
      </x:c>
      <x:c r="AC100" s="38" t="n">
        <x:v>8.52</x:v>
      </x:c>
      <x:c r="AD100" s="38" t="n">
        <x:v>174.33</x:v>
      </x:c>
      <x:c r="AE100" s="38" t="n">
        <x:v>55.39</x:v>
      </x:c>
      <x:c r="AF100" s="38" t="n">
        <x:v>4.8148</x:v>
      </x:c>
      <x:c r="AG100" s="38" t="n">
        <x:v>5.72</x:v>
      </x:c>
      <x:c r="AH100" s="38" t="n">
        <x:f>IF(E100="Fason",L100*S100,0)</x:f>
        <x:v>0</x:v>
      </x:c>
      <x:c r="AI100" s="38" t="n">
        <x:f>IF(E100="Kurum içi",AC100*AD100+AE100*AF100+AB100*12%,0)</x:f>
        <x:v>10944.2513815</x:v>
      </x:c>
      <x:c r="AJ100" s="38" t="n">
        <x:f>V100*AG100</x:f>
        <x:v>582.7903181872199</x:v>
      </x:c>
      <x:c r="AK100" s="38" t="n">
        <x:f>AB100*2%</x:f>
        <x:v>1532.04466825</x:v>
      </x:c>
      <x:c r="AL100" s="38" t="n">
        <x:f>AB100+AH100+AI100+AJ100+AK100</x:f>
        <x:v>89661.31978043723</x:v>
      </x:c>
      <x:c r="AM100" s="38" t="n">
        <x:f>AL100/V100</x:f>
        <x:v>880.0124729926366</x:v>
      </x:c>
      <x:c r="AN100" s="40" t="n">
        <x:f>(W100+X100)/AL100*100</x:f>
        <x:v>73.02020622752956</x:v>
      </x:c>
      <x:c r="AO100" s="28" t="str">
        <x:v>R01-R20; ilgili satırdaki bölgesel fiyat ve maliyet varsayımları</x:v>
      </x:c>
      <x:c r="AP100" s="28" t="str">
        <x:v>Girdi miktarları, alım fiyatı değişimi, fason bedeli ve parti sonucu simüle edilmiştir; işletme kaydı değildir.</x:v>
      </x:c>
    </x:row>
    <x:row r="101" ht="22" customHeight="1">
      <x:c r="A101" t="str">
        <x:v>SUC-0100</x:v>
      </x:c>
      <x:c r="B101" s="36" t="n">
        <x:v>46300</x:v>
      </x:c>
      <x:c r="C101" t="str">
        <x:v>Karadeniz</x:v>
      </x:c>
      <x:c r="D101" t="str">
        <x:v>MEB_STANDART</x:v>
      </x:c>
      <x:c r="E101" t="str">
        <x:v>Kurum içi</x:v>
      </x:c>
      <x:c r="F101" s="42" t="str">
        <x:v>SENTETİK/SİMÜLE — gerçek parti kaydı değildir</x:v>
      </x:c>
      <x:c r="G101" s="38" t="n">
        <x:v>335.704</x:v>
      </x:c>
      <x:c r="H101" s="38" t="n">
        <x:v>104.402</x:v>
      </x:c>
      <x:c r="I101" s="38" t="n">
        <x:v>22.636</x:v>
      </x:c>
      <x:c r="J101" s="38" t="n">
        <x:v>11.047</x:v>
      </x:c>
      <x:c r="K101" s="38" t="n">
        <x:v>4.236</x:v>
      </x:c>
      <x:c r="L101" s="38" t="n">
        <x:f>SUM(G101:K101)</x:f>
        <x:v>478.02500000000003</x:v>
      </x:c>
      <x:c r="M101" s="38" t="n">
        <x:v>633.181</x:v>
      </x:c>
      <x:c r="N101" s="38" t="n">
        <x:v>620.42</x:v>
      </x:c>
      <x:c r="O101" s="38" t="n">
        <x:v>438.58</x:v>
      </x:c>
      <x:c r="P101" s="38" t="n">
        <x:v>550</x:v>
      </x:c>
      <x:c r="Q101" s="38" t="n">
        <x:v>19.88</x:v>
      </x:c>
      <x:c r="R101" s="38" t="n">
        <x:v>43.7475</x:v>
      </x:c>
      <x:c r="S101" s="38" t="n">
        <x:v>109.36</x:v>
      </x:c>
      <x:c r="T101" s="40" t="n">
        <x:v>16.01</x:v>
      </x:c>
      <x:c r="U101" s="40" t="n">
        <x:v>0.6</x:v>
      </x:c>
      <x:c r="V101" s="38" t="n">
        <x:f>L101*(1-T101/100)*(1-U101/100)</x:f>
        <x:v>399.084238315</x:v>
      </x:c>
      <x:c r="W101" s="38" t="n">
        <x:f>G101*N101</x:f>
        <x:v>208277.47568</x:v>
      </x:c>
      <x:c r="X101" s="38" t="n">
        <x:f>H101*O101</x:f>
        <x:v>45788.62916</x:v>
      </x:c>
      <x:c r="Y101" s="38" t="n">
        <x:f>I101*P101</x:f>
        <x:v>12449.8</x:v>
      </x:c>
      <x:c r="Z101" s="38" t="n">
        <x:f>J101*Q101+K101*P101</x:f>
        <x:v>2549.4143599999998</x:v>
      </x:c>
      <x:c r="AA101" s="38" t="n">
        <x:f>M101*R101</x:f>
        <x:v>27700.085797500004</x:v>
      </x:c>
      <x:c r="AB101" s="38" t="n">
        <x:f>SUM(W101:AA101)</x:f>
        <x:v>296765.40499749995</x:v>
      </x:c>
      <x:c r="AC101" s="38" t="n">
        <x:v>21.02</x:v>
      </x:c>
      <x:c r="AD101" s="38" t="n">
        <x:v>174.33</x:v>
      </x:c>
      <x:c r="AE101" s="38" t="n">
        <x:v>188.58</x:v>
      </x:c>
      <x:c r="AF101" s="38" t="n">
        <x:v>4.8148</x:v>
      </x:c>
      <x:c r="AG101" s="38" t="n">
        <x:v>5.41</x:v>
      </x:c>
      <x:c r="AH101" s="38" t="n">
        <x:f>IF(E101="Fason",L101*S101,0)</x:f>
        <x:v>0</x:v>
      </x:c>
      <x:c r="AI101" s="38" t="n">
        <x:f>IF(E101="Kurum içi",AC101*AD101+AE101*AF101+AB101*12%,0)</x:f>
        <x:v>40184.24018369999</x:v>
      </x:c>
      <x:c r="AJ101" s="38" t="n">
        <x:f>V101*AG101</x:f>
        <x:v>2159.04572928415</x:v>
      </x:c>
      <x:c r="AK101" s="38" t="n">
        <x:f>AB101*2%</x:f>
        <x:v>5935.308099949999</x:v>
      </x:c>
      <x:c r="AL101" s="38" t="n">
        <x:f>AB101+AH101+AI101+AJ101+AK101</x:f>
        <x:v>345043.99901043414</x:v>
      </x:c>
      <x:c r="AM101" s="38" t="n">
        <x:f>AL101/V101</x:f>
        <x:v>864.5893921224935</x:v>
      </x:c>
      <x:c r="AN101" s="40" t="n">
        <x:f>(W101+X101)/AL101*100</x:f>
        <x:v>73.63295857010893</x:v>
      </x:c>
      <x:c r="AO101" s="28" t="str">
        <x:v>R01-R20; ilgili satırdaki bölgesel fiyat ve maliyet varsayımları</x:v>
      </x:c>
      <x:c r="AP101" s="28" t="str">
        <x:v>Girdi miktarları, alım fiyatı değişimi, fason bedeli ve parti sonucu simüle edilmiştir; işletme kaydı değildir.</x:v>
      </x:c>
    </x:row>
    <x:row r="102" ht="22" customHeight="1">
      <x:c r="A102" t="str">
        <x:v>SUC-0101</x:v>
      </x:c>
      <x:c r="B102" s="36" t="n">
        <x:v>46293</x:v>
      </x:c>
      <x:c r="C102" t="str">
        <x:v>Güneydoğu Anadolu</x:v>
      </x:c>
      <x:c r="D102" t="str">
        <x:v>ERZURUM_CI</x:v>
      </x:c>
      <x:c r="E102" t="str">
        <x:v>Kurum içi</x:v>
      </x:c>
      <x:c r="F102" s="42" t="str">
        <x:v>SENTETİK/SİMÜLE — gerçek parti kaydı değildir</x:v>
      </x:c>
      <x:c r="G102" s="38" t="n">
        <x:v>366.277</x:v>
      </x:c>
      <x:c r="H102" s="38" t="n">
        <x:v>69.482</x:v>
      </x:c>
      <x:c r="I102" s="38" t="n">
        <x:v>21.925</x:v>
      </x:c>
      <x:c r="J102" s="38" t="n">
        <x:v>7.823</x:v>
      </x:c>
      <x:c r="K102" s="38" t="n">
        <x:v>0.733</x:v>
      </x:c>
      <x:c r="L102" s="38" t="n">
        <x:f>SUM(G102:K102)</x:f>
        <x:v>466.24</x:v>
      </x:c>
      <x:c r="M102" s="38" t="n">
        <x:v>622.218</x:v>
      </x:c>
      <x:c r="N102" s="38" t="n">
        <x:v>569.34</x:v>
      </x:c>
      <x:c r="O102" s="38" t="n">
        <x:v>482.08</x:v>
      </x:c>
      <x:c r="P102" s="38" t="n">
        <x:v>400</x:v>
      </x:c>
      <x:c r="Q102" s="38" t="n">
        <x:v>19.88</x:v>
      </x:c>
      <x:c r="R102" s="38" t="n">
        <x:v>43.7475</x:v>
      </x:c>
      <x:c r="S102" s="38" t="n">
        <x:v>110.47</x:v>
      </x:c>
      <x:c r="T102" s="40" t="n">
        <x:v>18.84</x:v>
      </x:c>
      <x:c r="U102" s="40" t="n">
        <x:v>1.52</x:v>
      </x:c>
      <x:c r="V102" s="38" t="n">
        <x:f>L102*(1-T102/100)*(1-U102/100)</x:f>
        <x:v>372.6486981632</x:v>
      </x:c>
      <x:c r="W102" s="38" t="n">
        <x:f>G102*N102</x:f>
        <x:v>208536.14718</x:v>
      </x:c>
      <x:c r="X102" s="38" t="n">
        <x:f>H102*O102</x:f>
        <x:v>33495.88256</x:v>
      </x:c>
      <x:c r="Y102" s="38" t="n">
        <x:f>I102*P102</x:f>
        <x:v>8770</x:v>
      </x:c>
      <x:c r="Z102" s="38" t="n">
        <x:f>J102*Q102+K102*P102</x:f>
        <x:v>448.72123999999997</x:v>
      </x:c>
      <x:c r="AA102" s="38" t="n">
        <x:f>M102*R102</x:f>
        <x:v>27220.481955</x:v>
      </x:c>
      <x:c r="AB102" s="38" t="n">
        <x:f>SUM(W102:AA102)</x:f>
        <x:v>278471.23293500004</x:v>
      </x:c>
      <x:c r="AC102" s="38" t="n">
        <x:v>17.46</x:v>
      </x:c>
      <x:c r="AD102" s="38" t="n">
        <x:v>174.33</x:v>
      </x:c>
      <x:c r="AE102" s="38" t="n">
        <x:v>156.24</x:v>
      </x:c>
      <x:c r="AF102" s="38" t="n">
        <x:v>4.8148</x:v>
      </x:c>
      <x:c r="AG102" s="38" t="n">
        <x:v>5.72</x:v>
      </x:c>
      <x:c r="AH102" s="38" t="n">
        <x:f>IF(E102="Fason",L102*S102,0)</x:f>
        <x:v>0</x:v>
      </x:c>
      <x:c r="AI102" s="38" t="n">
        <x:f>IF(E102="Kurum içi",AC102*AD102+AE102*AF102+AB102*12%,0)</x:f>
        <x:v>37212.6141042</x:v>
      </x:c>
      <x:c r="AJ102" s="38" t="n">
        <x:f>V102*AG102</x:f>
        <x:v>2131.5505534935037</x:v>
      </x:c>
      <x:c r="AK102" s="38" t="n">
        <x:f>AB102*2%</x:f>
        <x:v>5569.424658700001</x:v>
      </x:c>
      <x:c r="AL102" s="38" t="n">
        <x:f>AB102+AH102+AI102+AJ102+AK102</x:f>
        <x:v>323384.8222513935</x:v>
      </x:c>
      <x:c r="AM102" s="38" t="n">
        <x:f>AL102/V102</x:f>
        <x:v>867.8007567056318</x:v>
      </x:c>
      <x:c r="AN102" s="40" t="n">
        <x:f>(W102+X102)/AL102*100</x:f>
        <x:v>74.8433485699736</x:v>
      </x:c>
      <x:c r="AO102" s="28" t="str">
        <x:v>R01-R20; ilgili satırdaki bölgesel fiyat ve maliyet varsayımları</x:v>
      </x:c>
      <x:c r="AP102" s="28" t="str">
        <x:v>Girdi miktarları, alım fiyatı değişimi, fason bedeli ve parti sonucu simüle edilmiştir; işletme kaydı değildir.</x:v>
      </x:c>
    </x:row>
    <x:row r="103" ht="22" customHeight="1">
      <x:c r="A103" t="str">
        <x:v>SUC-0102</x:v>
      </x:c>
      <x:c r="B103" s="36" t="n">
        <x:v>46290</x:v>
      </x:c>
      <x:c r="C103" t="str">
        <x:v>Doğu Anadolu</x:v>
      </x:c>
      <x:c r="D103" t="str">
        <x:v>MEB_STANDART</x:v>
      </x:c>
      <x:c r="E103" t="str">
        <x:v>Fason</x:v>
      </x:c>
      <x:c r="F103" s="42" t="str">
        <x:v>SENTETİK/SİMÜLE — gerçek parti kaydı değildir</x:v>
      </x:c>
      <x:c r="G103" s="38" t="n">
        <x:v>202.204</x:v>
      </x:c>
      <x:c r="H103" s="38" t="n">
        <x:v>63.635</x:v>
      </x:c>
      <x:c r="I103" s="38" t="n">
        <x:v>12.61</x:v>
      </x:c>
      <x:c r="J103" s="38" t="n">
        <x:v>6.751</x:v>
      </x:c>
      <x:c r="K103" s="38" t="n">
        <x:v>2.937</x:v>
      </x:c>
      <x:c r="L103" s="38" t="n">
        <x:f>SUM(G103:K103)</x:f>
        <x:v>288.137</x:v>
      </x:c>
      <x:c r="M103" s="38" t="n">
        <x:v>347.055</x:v>
      </x:c>
      <x:c r="N103" s="38" t="n">
        <x:v>582.77</x:v>
      </x:c>
      <x:c r="O103" s="38" t="n">
        <x:v>455.18</x:v>
      </x:c>
      <x:c r="P103" s="38" t="n">
        <x:v>400</x:v>
      </x:c>
      <x:c r="Q103" s="38" t="n">
        <x:v>19.88</x:v>
      </x:c>
      <x:c r="R103" s="38" t="n">
        <x:v>43.7475</x:v>
      </x:c>
      <x:c r="S103" s="38" t="n">
        <x:v>74.41</x:v>
      </x:c>
      <x:c r="T103" s="40" t="n">
        <x:v>25.1</x:v>
      </x:c>
      <x:c r="U103" s="40" t="n">
        <x:v>1.37</x:v>
      </x:c>
      <x:c r="V103" s="38" t="n">
        <x:f>L103*(1-T103/100)*(1-U103/100)</x:f>
        <x:v>212.8579528019</x:v>
      </x:c>
      <x:c r="W103" s="38" t="n">
        <x:f>G103*N103</x:f>
        <x:v>117838.42508</x:v>
      </x:c>
      <x:c r="X103" s="38" t="n">
        <x:f>H103*O103</x:f>
        <x:v>28965.3793</x:v>
      </x:c>
      <x:c r="Y103" s="38" t="n">
        <x:f>I103*P103</x:f>
        <x:v>5044</x:v>
      </x:c>
      <x:c r="Z103" s="38" t="n">
        <x:f>J103*Q103+K103*P103</x:f>
        <x:v>1309.00988</x:v>
      </x:c>
      <x:c r="AA103" s="38" t="n">
        <x:f>M103*R103</x:f>
        <x:v>15182.7886125</x:v>
      </x:c>
      <x:c r="AB103" s="38" t="n">
        <x:f>SUM(W103:AA103)</x:f>
        <x:v>168339.6028725</x:v>
      </x:c>
      <x:c r="AC103" s="38" t="n">
        <x:v>16.21</x:v>
      </x:c>
      <x:c r="AD103" s="38" t="n">
        <x:v>174.33</x:v>
      </x:c>
      <x:c r="AE103" s="38" t="n">
        <x:v>112.04</x:v>
      </x:c>
      <x:c r="AF103" s="38" t="n">
        <x:v>4.8148</x:v>
      </x:c>
      <x:c r="AG103" s="38" t="n">
        <x:v>5.16</x:v>
      </x:c>
      <x:c r="AH103" s="38" t="n">
        <x:f>IF(E103="Fason",L103*S103,0)</x:f>
        <x:v>21440.27417</x:v>
      </x:c>
      <x:c r="AI103" s="38" t="n">
        <x:f>IF(E103="Kurum içi",AC103*AD103+AE103*AF103+AB103*12%,0)</x:f>
        <x:v>0</x:v>
      </x:c>
      <x:c r="AJ103" s="38" t="n">
        <x:f>V103*AG103</x:f>
        <x:v>1098.347036457804</x:v>
      </x:c>
      <x:c r="AK103" s="38" t="n">
        <x:f>AB103*2%</x:f>
        <x:v>3366.79205745</x:v>
      </x:c>
      <x:c r="AL103" s="38" t="n">
        <x:f>AB103+AH103+AI103+AJ103+AK103</x:f>
        <x:v>194245.01613640776</x:v>
      </x:c>
      <x:c r="AM103" s="38" t="n">
        <x:f>AL103/V103</x:f>
        <x:v>912.5570061137687</x:v>
      </x:c>
      <x:c r="AN103" s="40" t="n">
        <x:f>(W103+X103)/AL103*100</x:f>
        <x:v>75.57661313529282</x:v>
      </x:c>
      <x:c r="AO103" s="28" t="str">
        <x:v>R01-R20; ilgili satırdaki bölgesel fiyat ve maliyet varsayımları</x:v>
      </x:c>
      <x:c r="AP103" s="28" t="str">
        <x:v>Girdi miktarları, alım fiyatı değişimi, fason bedeli ve parti sonucu simüle edilmiştir; işletme kaydı değildir.</x:v>
      </x:c>
    </x:row>
    <x:row r="104" ht="22" customHeight="1">
      <x:c r="A104" t="str">
        <x:v>SUC-0103</x:v>
      </x:c>
      <x:c r="B104" s="36" t="n">
        <x:v>46311</x:v>
      </x:c>
      <x:c r="C104" t="str">
        <x:v>Güneydoğu Anadolu</x:v>
      </x:c>
      <x:c r="D104" t="str">
        <x:v>MEB_STANDART</x:v>
      </x:c>
      <x:c r="E104" t="str">
        <x:v>Kurum içi</x:v>
      </x:c>
      <x:c r="F104" s="42" t="str">
        <x:v>SENTETİK/SİMÜLE — gerçek parti kaydı değildir</x:v>
      </x:c>
      <x:c r="G104" s="38" t="n">
        <x:v>54.29</x:v>
      </x:c>
      <x:c r="H104" s="38" t="n">
        <x:v>17.712</x:v>
      </x:c>
      <x:c r="I104" s="38" t="n">
        <x:v>3.402</x:v>
      </x:c>
      <x:c r="J104" s="38" t="n">
        <x:v>1.899</x:v>
      </x:c>
      <x:c r="K104" s="38" t="n">
        <x:v>0.676</x:v>
      </x:c>
      <x:c r="L104" s="38" t="n">
        <x:f>SUM(G104:K104)</x:f>
        <x:v>77.979</x:v>
      </x:c>
      <x:c r="M104" s="38" t="n">
        <x:v>101.948</x:v>
      </x:c>
      <x:c r="N104" s="38" t="n">
        <x:v>586.35</x:v>
      </x:c>
      <x:c r="O104" s="38" t="n">
        <x:v>461.34</x:v>
      </x:c>
      <x:c r="P104" s="38" t="n">
        <x:v>400</x:v>
      </x:c>
      <x:c r="Q104" s="38" t="n">
        <x:v>19.88</x:v>
      </x:c>
      <x:c r="R104" s="38" t="n">
        <x:v>43.7475</x:v>
      </x:c>
      <x:c r="S104" s="38" t="n">
        <x:v>91.71</x:v>
      </x:c>
      <x:c r="T104" s="40" t="n">
        <x:v>17.35</x:v>
      </x:c>
      <x:c r="U104" s="40" t="n">
        <x:v>1.48</x:v>
      </x:c>
      <x:c r="V104" s="38" t="n">
        <x:f>L104*(1-T104/100)*(1-U104/100)</x:f>
        <x:v>63.495788776199994</x:v>
      </x:c>
      <x:c r="W104" s="38" t="n">
        <x:f>G104*N104</x:f>
        <x:v>31832.9415</x:v>
      </x:c>
      <x:c r="X104" s="38" t="n">
        <x:f>H104*O104</x:f>
        <x:v>8171.25408</x:v>
      </x:c>
      <x:c r="Y104" s="38" t="n">
        <x:f>I104*P104</x:f>
        <x:v>1360.8</x:v>
      </x:c>
      <x:c r="Z104" s="38" t="n">
        <x:f>J104*Q104+K104*P104</x:f>
        <x:v>308.15212</x:v>
      </x:c>
      <x:c r="AA104" s="38" t="n">
        <x:f>M104*R104</x:f>
        <x:v>4459.97013</x:v>
      </x:c>
      <x:c r="AB104" s="38" t="n">
        <x:f>SUM(W104:AA104)</x:f>
        <x:v>46133.11783</x:v>
      </x:c>
      <x:c r="AC104" s="38" t="n">
        <x:v>3.68</x:v>
      </x:c>
      <x:c r="AD104" s="38" t="n">
        <x:v>174.33</x:v>
      </x:c>
      <x:c r="AE104" s="38" t="n">
        <x:v>20.17</x:v>
      </x:c>
      <x:c r="AF104" s="38" t="n">
        <x:v>4.8148</x:v>
      </x:c>
      <x:c r="AG104" s="38" t="n">
        <x:v>5.21</x:v>
      </x:c>
      <x:c r="AH104" s="38" t="n">
        <x:f>IF(E104="Fason",L104*S104,0)</x:f>
        <x:v>0</x:v>
      </x:c>
      <x:c r="AI104" s="38" t="n">
        <x:f>IF(E104="Kurum içi",AC104*AD104+AE104*AF104+AB104*12%,0)</x:f>
        <x:v>6274.6230556</x:v>
      </x:c>
      <x:c r="AJ104" s="38" t="n">
        <x:f>V104*AG104</x:f>
        <x:v>330.81305952400197</x:v>
      </x:c>
      <x:c r="AK104" s="38" t="n">
        <x:f>AB104*2%</x:f>
        <x:v>922.6623566000001</x:v>
      </x:c>
      <x:c r="AL104" s="38" t="n">
        <x:f>AB104+AH104+AI104+AJ104+AK104</x:f>
        <x:v>53661.216301724</x:v>
      </x:c>
      <x:c r="AM104" s="38" t="n">
        <x:f>AL104/V104</x:f>
        <x:v>845.1145711546422</x:v>
      </x:c>
      <x:c r="AN104" s="40" t="n">
        <x:f>(W104+X104)/AL104*100</x:f>
        <x:v>74.54955056379288</x:v>
      </x:c>
      <x:c r="AO104" s="28" t="str">
        <x:v>R01-R20; ilgili satırdaki bölgesel fiyat ve maliyet varsayımları</x:v>
      </x:c>
      <x:c r="AP104" s="28" t="str">
        <x:v>Girdi miktarları, alım fiyatı değişimi, fason bedeli ve parti sonucu simüle edilmiştir; işletme kaydı değildir.</x:v>
      </x:c>
    </x:row>
    <x:row r="105" ht="22" customHeight="1">
      <x:c r="A105" t="str">
        <x:v>SUC-0104</x:v>
      </x:c>
      <x:c r="B105" s="36" t="n">
        <x:v>46294</x:v>
      </x:c>
      <x:c r="C105" t="str">
        <x:v>Ege</x:v>
      </x:c>
      <x:c r="D105" t="str">
        <x:v>ERZURUM_CI</x:v>
      </x:c>
      <x:c r="E105" t="str">
        <x:v>Kurum içi</x:v>
      </x:c>
      <x:c r="F105" s="42" t="str">
        <x:v>SENTETİK/SİMÜLE — gerçek parti kaydı değildir</x:v>
      </x:c>
      <x:c r="G105" s="38" t="n">
        <x:v>94.261</x:v>
      </x:c>
      <x:c r="H105" s="38" t="n">
        <x:v>17.16</x:v>
      </x:c>
      <x:c r="I105" s="38" t="n">
        <x:v>5.198</x:v>
      </x:c>
      <x:c r="J105" s="38" t="n">
        <x:v>1.81</x:v>
      </x:c>
      <x:c r="K105" s="38" t="n">
        <x:v>0.045</x:v>
      </x:c>
      <x:c r="L105" s="38" t="n">
        <x:f>SUM(G105:K105)</x:f>
        <x:v>118.474</x:v>
      </x:c>
      <x:c r="M105" s="38" t="n">
        <x:v>150.436</x:v>
      </x:c>
      <x:c r="N105" s="38" t="n">
        <x:v>596.95</x:v>
      </x:c>
      <x:c r="O105" s="38" t="n">
        <x:v>444.84</x:v>
      </x:c>
      <x:c r="P105" s="38" t="n">
        <x:v>669.9</x:v>
      </x:c>
      <x:c r="Q105" s="38" t="n">
        <x:v>19.88</x:v>
      </x:c>
      <x:c r="R105" s="38" t="n">
        <x:v>43.7475</x:v>
      </x:c>
      <x:c r="S105" s="38" t="n">
        <x:v>106.36</x:v>
      </x:c>
      <x:c r="T105" s="40" t="n">
        <x:v>26.14</x:v>
      </x:c>
      <x:c r="U105" s="40" t="n">
        <x:v>1.12</x:v>
      </x:c>
      <x:c r="V105" s="38" t="n">
        <x:f>L105*(1-T105/100)*(1-U105/100)</x:f>
        <x:v>86.52484156032</x:v>
      </x:c>
      <x:c r="W105" s="38" t="n">
        <x:f>G105*N105</x:f>
        <x:v>56269.103950000004</x:v>
      </x:c>
      <x:c r="X105" s="38" t="n">
        <x:f>H105*O105</x:f>
        <x:v>7633.4544</x:v>
      </x:c>
      <x:c r="Y105" s="38" t="n">
        <x:f>I105*P105</x:f>
        <x:v>3482.1402000000003</x:v>
      </x:c>
      <x:c r="Z105" s="38" t="n">
        <x:f>J105*Q105+K105*P105</x:f>
        <x:v>66.1283</x:v>
      </x:c>
      <x:c r="AA105" s="38" t="n">
        <x:f>M105*R105</x:f>
        <x:v>6581.198910000001</x:v>
      </x:c>
      <x:c r="AB105" s="38" t="n">
        <x:f>SUM(W105:AA105)</x:f>
        <x:v>74032.02576</x:v>
      </x:c>
      <x:c r="AC105" s="38" t="n">
        <x:v>6.46</x:v>
      </x:c>
      <x:c r="AD105" s="38" t="n">
        <x:v>174.33</x:v>
      </x:c>
      <x:c r="AE105" s="38" t="n">
        <x:v>35.1</x:v>
      </x:c>
      <x:c r="AF105" s="38" t="n">
        <x:v>4.8148</x:v>
      </x:c>
      <x:c r="AG105" s="38" t="n">
        <x:v>5.35</x:v>
      </x:c>
      <x:c r="AH105" s="38" t="n">
        <x:f>IF(E105="Fason",L105*S105,0)</x:f>
        <x:v>0</x:v>
      </x:c>
      <x:c r="AI105" s="38" t="n">
        <x:f>IF(E105="Kurum içi",AC105*AD105+AE105*AF105+AB105*12%,0)</x:f>
        <x:v>10179.0143712</x:v>
      </x:c>
      <x:c r="AJ105" s="38" t="n">
        <x:f>V105*AG105</x:f>
        <x:v>462.90790234771197</x:v>
      </x:c>
      <x:c r="AK105" s="38" t="n">
        <x:f>AB105*2%</x:f>
        <x:v>1480.6405152000002</x:v>
      </x:c>
      <x:c r="AL105" s="38" t="n">
        <x:f>AB105+AH105+AI105+AJ105+AK105</x:f>
        <x:v>86154.5885487477</x:v>
      </x:c>
      <x:c r="AM105" s="38" t="n">
        <x:f>AL105/V105</x:f>
        <x:v>995.7208472746619</x:v>
      </x:c>
      <x:c r="AN105" s="40" t="n">
        <x:f>(W105+X105)/AL105*100</x:f>
        <x:v>74.17197322443583</x:v>
      </x:c>
      <x:c r="AO105" s="28" t="str">
        <x:v>R01-R20; ilgili satırdaki bölgesel fiyat ve maliyet varsayımları</x:v>
      </x:c>
      <x:c r="AP105" s="28" t="str">
        <x:v>Girdi miktarları, alım fiyatı değişimi, fason bedeli ve parti sonucu simüle edilmiştir; işletme kaydı değildir.</x:v>
      </x:c>
    </x:row>
    <x:row r="106" ht="22" customHeight="1">
      <x:c r="A106" t="str">
        <x:v>SUC-0105</x:v>
      </x:c>
      <x:c r="B106" s="36" t="n">
        <x:v>46281</x:v>
      </x:c>
      <x:c r="C106" t="str">
        <x:v>Marmara</x:v>
      </x:c>
      <x:c r="D106" t="str">
        <x:v>ERZURUM_CI</x:v>
      </x:c>
      <x:c r="E106" t="str">
        <x:v>Fason</x:v>
      </x:c>
      <x:c r="F106" s="42" t="str">
        <x:v>SENTETİK/SİMÜLE — gerçek parti kaydı değildir</x:v>
      </x:c>
      <x:c r="G106" s="38" t="n">
        <x:v>92.342</x:v>
      </x:c>
      <x:c r="H106" s="38" t="n">
        <x:v>15.009</x:v>
      </x:c>
      <x:c r="I106" s="38" t="n">
        <x:v>5.177</x:v>
      </x:c>
      <x:c r="J106" s="38" t="n">
        <x:v>1.942</x:v>
      </x:c>
      <x:c r="K106" s="38" t="n">
        <x:v>0.022</x:v>
      </x:c>
      <x:c r="L106" s="38" t="n">
        <x:f>SUM(G106:K106)</x:f>
        <x:v>114.49199999999999</x:v>
      </x:c>
      <x:c r="M106" s="38" t="n">
        <x:v>152.147</x:v>
      </x:c>
      <x:c r="N106" s="38" t="n">
        <x:v>623.4</x:v>
      </x:c>
      <x:c r="O106" s="38" t="n">
        <x:v>442.61</x:v>
      </x:c>
      <x:c r="P106" s="38" t="n">
        <x:v>550</x:v>
      </x:c>
      <x:c r="Q106" s="38" t="n">
        <x:v>19.88</x:v>
      </x:c>
      <x:c r="R106" s="38" t="n">
        <x:v>43.7475</x:v>
      </x:c>
      <x:c r="S106" s="38" t="n">
        <x:v>121.86</x:v>
      </x:c>
      <x:c r="T106" s="40" t="n">
        <x:v>19.2</x:v>
      </x:c>
      <x:c r="U106" s="40" t="n">
        <x:v>1.19</x:v>
      </x:c>
      <x:c r="V106" s="38" t="n">
        <x:f>L106*(1-T106/100)*(1-U106/100)</x:f>
        <x:v>91.4086725216</x:v>
      </x:c>
      <x:c r="W106" s="38" t="n">
        <x:f>G106*N106</x:f>
        <x:v>57566.002799999995</x:v>
      </x:c>
      <x:c r="X106" s="38" t="n">
        <x:f>H106*O106</x:f>
        <x:v>6643.13349</x:v>
      </x:c>
      <x:c r="Y106" s="38" t="n">
        <x:f>I106*P106</x:f>
        <x:v>2847.35</x:v>
      </x:c>
      <x:c r="Z106" s="38" t="n">
        <x:f>J106*Q106+K106*P106</x:f>
        <x:v>50.706959999999995</x:v>
      </x:c>
      <x:c r="AA106" s="38" t="n">
        <x:f>M106*R106</x:f>
        <x:v>6656.0508825</x:v>
      </x:c>
      <x:c r="AB106" s="38" t="n">
        <x:f>SUM(W106:AA106)</x:f>
        <x:v>73763.2441325</x:v>
      </x:c>
      <x:c r="AC106" s="38" t="n">
        <x:v>7.21</x:v>
      </x:c>
      <x:c r="AD106" s="38" t="n">
        <x:v>174.33</x:v>
      </x:c>
      <x:c r="AE106" s="38" t="n">
        <x:v>47.62</x:v>
      </x:c>
      <x:c r="AF106" s="38" t="n">
        <x:v>4.8148</x:v>
      </x:c>
      <x:c r="AG106" s="38" t="n">
        <x:v>5.21</x:v>
      </x:c>
      <x:c r="AH106" s="38" t="n">
        <x:f>IF(E106="Fason",L106*S106,0)</x:f>
        <x:v>13951.99512</x:v>
      </x:c>
      <x:c r="AI106" s="38" t="n">
        <x:f>IF(E106="Kurum içi",AC106*AD106+AE106*AF106+AB106*12%,0)</x:f>
        <x:v>0</x:v>
      </x:c>
      <x:c r="AJ106" s="38" t="n">
        <x:f>V106*AG106</x:f>
        <x:v>476.23918383753596</x:v>
      </x:c>
      <x:c r="AK106" s="38" t="n">
        <x:f>AB106*2%</x:f>
        <x:v>1475.26488265</x:v>
      </x:c>
      <x:c r="AL106" s="38" t="n">
        <x:f>AB106+AH106+AI106+AJ106+AK106</x:f>
        <x:v>89666.74331898753</x:v>
      </x:c>
      <x:c r="AM106" s="38" t="n">
        <x:f>AL106/V106</x:f>
        <x:v>980.943501808312</x:v>
      </x:c>
      <x:c r="AN106" s="40" t="n">
        <x:f>(W106+X106)/AL106*100</x:f>
        <x:v>71.60864096689377</x:v>
      </x:c>
      <x:c r="AO106" s="28" t="str">
        <x:v>R01-R20; ilgili satırdaki bölgesel fiyat ve maliyet varsayımları</x:v>
      </x:c>
      <x:c r="AP106" s="28" t="str">
        <x:v>Girdi miktarları, alım fiyatı değişimi, fason bedeli ve parti sonucu simüle edilmiştir; işletme kaydı değildir.</x:v>
      </x:c>
    </x:row>
    <x:row r="107" ht="22" customHeight="1">
      <x:c r="A107" t="str">
        <x:v>SUC-0106</x:v>
      </x:c>
      <x:c r="B107" s="36" t="n">
        <x:v>46297</x:v>
      </x:c>
      <x:c r="C107" t="str">
        <x:v>İç Anadolu</x:v>
      </x:c>
      <x:c r="D107" t="str">
        <x:v>MEB_STANDART</x:v>
      </x:c>
      <x:c r="E107" t="str">
        <x:v>Fason</x:v>
      </x:c>
      <x:c r="F107" s="42" t="str">
        <x:v>SENTETİK/SİMÜLE — gerçek parti kaydı değildir</x:v>
      </x:c>
      <x:c r="G107" s="38" t="n">
        <x:v>85.859</x:v>
      </x:c>
      <x:c r="H107" s="38" t="n">
        <x:v>26.458</x:v>
      </x:c>
      <x:c r="I107" s="38" t="n">
        <x:v>5.692</x:v>
      </x:c>
      <x:c r="J107" s="38" t="n">
        <x:v>2.916</x:v>
      </x:c>
      <x:c r="K107" s="38" t="n">
        <x:v>1.091</x:v>
      </x:c>
      <x:c r="L107" s="38" t="n">
        <x:f>SUM(G107:K107)</x:f>
        <x:v>122.01599999999998</x:v>
      </x:c>
      <x:c r="M107" s="38" t="n">
        <x:v>162.988</x:v>
      </x:c>
      <x:c r="N107" s="38" t="n">
        <x:v>583.36</x:v>
      </x:c>
      <x:c r="O107" s="38" t="n">
        <x:v>437.69</x:v>
      </x:c>
      <x:c r="P107" s="38" t="n">
        <x:v>550</x:v>
      </x:c>
      <x:c r="Q107" s="38" t="n">
        <x:v>19.88</x:v>
      </x:c>
      <x:c r="R107" s="38" t="n">
        <x:v>43.7475</x:v>
      </x:c>
      <x:c r="S107" s="38" t="n">
        <x:v>68.21</x:v>
      </x:c>
      <x:c r="T107" s="40" t="n">
        <x:v>26.48</x:v>
      </x:c>
      <x:c r="U107" s="40" t="n">
        <x:v>1.17</x:v>
      </x:c>
      <x:c r="V107" s="38" t="n">
        <x:f>L107*(1-T107/100)*(1-U107/100)</x:f>
        <x:v>88.65660109055999</x:v>
      </x:c>
      <x:c r="W107" s="38" t="n">
        <x:f>G107*N107</x:f>
        <x:v>50086.70624</x:v>
      </x:c>
      <x:c r="X107" s="38" t="n">
        <x:f>H107*O107</x:f>
        <x:v>11580.40202</x:v>
      </x:c>
      <x:c r="Y107" s="38" t="n">
        <x:f>I107*P107</x:f>
        <x:v>3130.6</x:v>
      </x:c>
      <x:c r="Z107" s="38" t="n">
        <x:f>J107*Q107+K107*P107</x:f>
        <x:v>658.02008</x:v>
      </x:c>
      <x:c r="AA107" s="38" t="n">
        <x:f>M107*R107</x:f>
        <x:v>7130.31753</x:v>
      </x:c>
      <x:c r="AB107" s="38" t="n">
        <x:f>SUM(W107:AA107)</x:f>
        <x:v>72586.04587</x:v>
      </x:c>
      <x:c r="AC107" s="38" t="n">
        <x:v>6.43</x:v>
      </x:c>
      <x:c r="AD107" s="38" t="n">
        <x:v>174.33</x:v>
      </x:c>
      <x:c r="AE107" s="38" t="n">
        <x:v>51.35</x:v>
      </x:c>
      <x:c r="AF107" s="38" t="n">
        <x:v>4.8148</x:v>
      </x:c>
      <x:c r="AG107" s="38" t="n">
        <x:v>5.5</x:v>
      </x:c>
      <x:c r="AH107" s="38" t="n">
        <x:f>IF(E107="Fason",L107*S107,0)</x:f>
        <x:v>8322.711359999998</x:v>
      </x:c>
      <x:c r="AI107" s="38" t="n">
        <x:f>IF(E107="Kurum içi",AC107*AD107+AE107*AF107+AB107*12%,0)</x:f>
        <x:v>0</x:v>
      </x:c>
      <x:c r="AJ107" s="38" t="n">
        <x:f>V107*AG107</x:f>
        <x:v>487.61130599807996</x:v>
      </x:c>
      <x:c r="AK107" s="38" t="n">
        <x:f>AB107*2%</x:f>
        <x:v>1451.7209174</x:v>
      </x:c>
      <x:c r="AL107" s="38" t="n">
        <x:f>AB107+AH107+AI107+AJ107+AK107</x:f>
        <x:v>82848.08945339809</x:v>
      </x:c>
      <x:c r="AM107" s="38" t="n">
        <x:f>AL107/V107</x:f>
        <x:v>934.4830326708703</x:v>
      </x:c>
      <x:c r="AN107" s="40" t="n">
        <x:f>(W107+X107)/AL107*100</x:f>
        <x:v>74.43395335590407</x:v>
      </x:c>
      <x:c r="AO107" s="28" t="str">
        <x:v>R01-R20; ilgili satırdaki bölgesel fiyat ve maliyet varsayımları</x:v>
      </x:c>
      <x:c r="AP107" s="28" t="str">
        <x:v>Girdi miktarları, alım fiyatı değişimi, fason bedeli ve parti sonucu simüle edilmiştir; işletme kaydı değildir.</x:v>
      </x:c>
    </x:row>
    <x:row r="108" ht="22" customHeight="1">
      <x:c r="A108" t="str">
        <x:v>SUC-0107</x:v>
      </x:c>
      <x:c r="B108" s="36" t="n">
        <x:v>46292</x:v>
      </x:c>
      <x:c r="C108" t="str">
        <x:v>Marmara</x:v>
      </x:c>
      <x:c r="D108" t="str">
        <x:v>MEB_STANDART</x:v>
      </x:c>
      <x:c r="E108" t="str">
        <x:v>Fason</x:v>
      </x:c>
      <x:c r="F108" s="42" t="str">
        <x:v>SENTETİK/SİMÜLE — gerçek parti kaydı değildir</x:v>
      </x:c>
      <x:c r="G108" s="38" t="n">
        <x:v>118.183</x:v>
      </x:c>
      <x:c r="H108" s="38" t="n">
        <x:v>35.636</x:v>
      </x:c>
      <x:c r="I108" s="38" t="n">
        <x:v>7.07</x:v>
      </x:c>
      <x:c r="J108" s="38" t="n">
        <x:v>3.893</x:v>
      </x:c>
      <x:c r="K108" s="38" t="n">
        <x:v>1.883</x:v>
      </x:c>
      <x:c r="L108" s="38" t="n">
        <x:f>SUM(G108:K108)</x:f>
        <x:v>166.66500000000002</x:v>
      </x:c>
      <x:c r="M108" s="38" t="n">
        <x:v>213.701</x:v>
      </x:c>
      <x:c r="N108" s="38" t="n">
        <x:v>620.22</x:v>
      </x:c>
      <x:c r="O108" s="38" t="n">
        <x:v>426.71</x:v>
      </x:c>
      <x:c r="P108" s="38" t="n">
        <x:v>400</x:v>
      </x:c>
      <x:c r="Q108" s="38" t="n">
        <x:v>19.88</x:v>
      </x:c>
      <x:c r="R108" s="38" t="n">
        <x:v>43.7475</x:v>
      </x:c>
      <x:c r="S108" s="38" t="n">
        <x:v>121.45</x:v>
      </x:c>
      <x:c r="T108" s="40" t="n">
        <x:v>30.9</x:v>
      </x:c>
      <x:c r="U108" s="40" t="n">
        <x:v>0.83</x:v>
      </x:c>
      <x:c r="V108" s="38" t="n">
        <x:f>L108*(1-T108/100)*(1-U108/100)</x:f>
        <x:v>114.20964122550004</x:v>
      </x:c>
      <x:c r="W108" s="38" t="n">
        <x:f>G108*N108</x:f>
        <x:v>73299.46026</x:v>
      </x:c>
      <x:c r="X108" s="38" t="n">
        <x:f>H108*O108</x:f>
        <x:v>15206.23756</x:v>
      </x:c>
      <x:c r="Y108" s="38" t="n">
        <x:f>I108*P108</x:f>
        <x:v>2828</x:v>
      </x:c>
      <x:c r="Z108" s="38" t="n">
        <x:f>J108*Q108+K108*P108</x:f>
        <x:v>830.59284</x:v>
      </x:c>
      <x:c r="AA108" s="38" t="n">
        <x:f>M108*R108</x:f>
        <x:v>9348.884497500001</x:v>
      </x:c>
      <x:c r="AB108" s="38" t="n">
        <x:f>SUM(W108:AA108)</x:f>
        <x:v>101513.1751575</x:v>
      </x:c>
      <x:c r="AC108" s="38" t="n">
        <x:v>11.59</x:v>
      </x:c>
      <x:c r="AD108" s="38" t="n">
        <x:v>174.33</x:v>
      </x:c>
      <x:c r="AE108" s="38" t="n">
        <x:v>67.21</x:v>
      </x:c>
      <x:c r="AF108" s="38" t="n">
        <x:v>4.8148</x:v>
      </x:c>
      <x:c r="AG108" s="38" t="n">
        <x:v>5.37</x:v>
      </x:c>
      <x:c r="AH108" s="38" t="n">
        <x:f>IF(E108="Fason",L108*S108,0)</x:f>
        <x:v>20241.464250000005</x:v>
      </x:c>
      <x:c r="AI108" s="38" t="n">
        <x:f>IF(E108="Kurum içi",AC108*AD108+AE108*AF108+AB108*12%,0)</x:f>
        <x:v>0</x:v>
      </x:c>
      <x:c r="AJ108" s="38" t="n">
        <x:f>V108*AG108</x:f>
        <x:v>613.3057733809352</x:v>
      </x:c>
      <x:c r="AK108" s="38" t="n">
        <x:f>AB108*2%</x:f>
        <x:v>2030.26350315</x:v>
      </x:c>
      <x:c r="AL108" s="38" t="n">
        <x:f>AB108+AH108+AI108+AJ108+AK108</x:f>
        <x:v>124398.20868403093</x:v>
      </x:c>
      <x:c r="AM108" s="38" t="n">
        <x:f>AL108/V108</x:f>
        <x:v>1089.2093465070448</x:v>
      </x:c>
      <x:c r="AN108" s="40" t="n">
        <x:f>(W108+X108)/AL108*100</x:f>
        <x:v>71.14708383366096</x:v>
      </x:c>
      <x:c r="AO108" s="28" t="str">
        <x:v>R01-R20; ilgili satırdaki bölgesel fiyat ve maliyet varsayımları</x:v>
      </x:c>
      <x:c r="AP108" s="28" t="str">
        <x:v>Girdi miktarları, alım fiyatı değişimi, fason bedeli ve parti sonucu simüle edilmiştir; işletme kaydı değildir.</x:v>
      </x:c>
    </x:row>
    <x:row r="109" ht="22" customHeight="1">
      <x:c r="A109" t="str">
        <x:v>SUC-0108</x:v>
      </x:c>
      <x:c r="B109" s="36" t="n">
        <x:v>46286</x:v>
      </x:c>
      <x:c r="C109" t="str">
        <x:v>İç Anadolu</x:v>
      </x:c>
      <x:c r="D109" t="str">
        <x:v>MEB_STANDART</x:v>
      </x:c>
      <x:c r="E109" t="str">
        <x:v>Kurum içi</x:v>
      </x:c>
      <x:c r="F109" s="42" t="str">
        <x:v>SENTETİK/SİMÜLE — gerçek parti kaydı değildir</x:v>
      </x:c>
      <x:c r="G109" s="38" t="n">
        <x:v>268.442</x:v>
      </x:c>
      <x:c r="H109" s="38" t="n">
        <x:v>80.777</x:v>
      </x:c>
      <x:c r="I109" s="38" t="n">
        <x:v>17.34</x:v>
      </x:c>
      <x:c r="J109" s="38" t="n">
        <x:v>10.025</x:v>
      </x:c>
      <x:c r="K109" s="38" t="n">
        <x:v>4.091</x:v>
      </x:c>
      <x:c r="L109" s="38" t="n">
        <x:f>SUM(G109:K109)</x:f>
        <x:v>380.67499999999995</x:v>
      </x:c>
      <x:c r="M109" s="38" t="n">
        <x:v>489.415</x:v>
      </x:c>
      <x:c r="N109" s="38" t="n">
        <x:v>590.33</x:v>
      </x:c>
      <x:c r="O109" s="38" t="n">
        <x:v>444.97</x:v>
      </x:c>
      <x:c r="P109" s="38" t="n">
        <x:v>550</x:v>
      </x:c>
      <x:c r="Q109" s="38" t="n">
        <x:v>19.88</x:v>
      </x:c>
      <x:c r="R109" s="38" t="n">
        <x:v>43.7475</x:v>
      </x:c>
      <x:c r="S109" s="38" t="n">
        <x:v>121.16</x:v>
      </x:c>
      <x:c r="T109" s="40" t="n">
        <x:v>20.71</x:v>
      </x:c>
      <x:c r="U109" s="40" t="n">
        <x:v>1.39</x:v>
      </x:c>
      <x:c r="V109" s="38" t="n">
        <x:f>L109*(1-T109/100)*(1-U109/100)</x:f>
        <x:v>297.64167031574993</x:v>
      </x:c>
      <x:c r="W109" s="38" t="n">
        <x:f>G109*N109</x:f>
        <x:v>158469.36586000002</x:v>
      </x:c>
      <x:c r="X109" s="38" t="n">
        <x:f>H109*O109</x:f>
        <x:v>35943.34169</x:v>
      </x:c>
      <x:c r="Y109" s="38" t="n">
        <x:f>I109*P109</x:f>
        <x:v>9537</x:v>
      </x:c>
      <x:c r="Z109" s="38" t="n">
        <x:f>J109*Q109+K109*P109</x:f>
        <x:v>2449.347</x:v>
      </x:c>
      <x:c r="AA109" s="38" t="n">
        <x:f>M109*R109</x:f>
        <x:v>21410.6827125</x:v>
      </x:c>
      <x:c r="AB109" s="38" t="n">
        <x:f>SUM(W109:AA109)</x:f>
        <x:v>227809.73726250004</x:v>
      </x:c>
      <x:c r="AC109" s="38" t="n">
        <x:v>17.48</x:v>
      </x:c>
      <x:c r="AD109" s="38" t="n">
        <x:v>174.33</x:v>
      </x:c>
      <x:c r="AE109" s="38" t="n">
        <x:v>182.37</x:v>
      </x:c>
      <x:c r="AF109" s="38" t="n">
        <x:v>4.8148</x:v>
      </x:c>
      <x:c r="AG109" s="38" t="n">
        <x:v>5.12</x:v>
      </x:c>
      <x:c r="AH109" s="38" t="n">
        <x:f>IF(E109="Fason",L109*S109,0)</x:f>
        <x:v>0</x:v>
      </x:c>
      <x:c r="AI109" s="38" t="n">
        <x:f>IF(E109="Kurum içi",AC109*AD109+AE109*AF109+AB109*12%,0)</x:f>
        <x:v>31262.531947500007</x:v>
      </x:c>
      <x:c r="AJ109" s="38" t="n">
        <x:f>V109*AG109</x:f>
        <x:v>1523.9253520166396</x:v>
      </x:c>
      <x:c r="AK109" s="38" t="n">
        <x:f>AB109*2%</x:f>
        <x:v>4556.194745250001</x:v>
      </x:c>
      <x:c r="AL109" s="38" t="n">
        <x:f>AB109+AH109+AI109+AJ109+AK109</x:f>
        <x:v>265152.3893072667</x:v>
      </x:c>
      <x:c r="AM109" s="38" t="n">
        <x:f>AL109/V109</x:f>
        <x:v>890.8443129820588</x:v>
      </x:c>
      <x:c r="AN109" s="40" t="n">
        <x:f>(W109+X109)/AL109*100</x:f>
        <x:v>73.32112226403838</x:v>
      </x:c>
      <x:c r="AO109" s="28" t="str">
        <x:v>R01-R20; ilgili satırdaki bölgesel fiyat ve maliyet varsayımları</x:v>
      </x:c>
      <x:c r="AP109" s="28" t="str">
        <x:v>Girdi miktarları, alım fiyatı değişimi, fason bedeli ve parti sonucu simüle edilmiştir; işletme kaydı değildir.</x:v>
      </x:c>
    </x:row>
    <x:row r="110" ht="22" customHeight="1">
      <x:c r="A110" t="str">
        <x:v>SUC-0109</x:v>
      </x:c>
      <x:c r="B110" s="36" t="n">
        <x:v>46296</x:v>
      </x:c>
      <x:c r="C110" t="str">
        <x:v>Ege</x:v>
      </x:c>
      <x:c r="D110" t="str">
        <x:v>ERZURUM_CI</x:v>
      </x:c>
      <x:c r="E110" t="str">
        <x:v>Fason</x:v>
      </x:c>
      <x:c r="F110" s="42" t="str">
        <x:v>SENTETİK/SİMÜLE — gerçek parti kaydı değildir</x:v>
      </x:c>
      <x:c r="G110" s="38" t="n">
        <x:v>317.77</x:v>
      </x:c>
      <x:c r="H110" s="38" t="n">
        <x:v>56.458</x:v>
      </x:c>
      <x:c r="I110" s="38" t="n">
        <x:v>17.851</x:v>
      </x:c>
      <x:c r="J110" s="38" t="n">
        <x:v>6.907</x:v>
      </x:c>
      <x:c r="K110" s="38" t="n">
        <x:v>0.04</x:v>
      </x:c>
      <x:c r="L110" s="38" t="n">
        <x:f>SUM(G110:K110)</x:f>
        <x:v>399.02599999999995</x:v>
      </x:c>
      <x:c r="M110" s="38" t="n">
        <x:v>499.08</x:v>
      </x:c>
      <x:c r="N110" s="38" t="n">
        <x:v>610.64</x:v>
      </x:c>
      <x:c r="O110" s="38" t="n">
        <x:v>420.42</x:v>
      </x:c>
      <x:c r="P110" s="38" t="n">
        <x:v>669.9</x:v>
      </x:c>
      <x:c r="Q110" s="38" t="n">
        <x:v>19.88</x:v>
      </x:c>
      <x:c r="R110" s="38" t="n">
        <x:v>43.7475</x:v>
      </x:c>
      <x:c r="S110" s="38" t="n">
        <x:v>92.32</x:v>
      </x:c>
      <x:c r="T110" s="40" t="n">
        <x:v>18.23</x:v>
      </x:c>
      <x:c r="U110" s="40" t="n">
        <x:v>1.6</x:v>
      </x:c>
      <x:c r="V110" s="38" t="n">
        <x:f>L110*(1-T110/100)*(1-U110/100)</x:f>
        <x:v>321.06302323679995</x:v>
      </x:c>
      <x:c r="W110" s="38" t="n">
        <x:f>G110*N110</x:f>
        <x:v>194043.0728</x:v>
      </x:c>
      <x:c r="X110" s="38" t="n">
        <x:f>H110*O110</x:f>
        <x:v>23736.072360000002</x:v>
      </x:c>
      <x:c r="Y110" s="38" t="n">
        <x:f>I110*P110</x:f>
        <x:v>11958.3849</x:v>
      </x:c>
      <x:c r="Z110" s="38" t="n">
        <x:f>J110*Q110+K110*P110</x:f>
        <x:v>164.10716</x:v>
      </x:c>
      <x:c r="AA110" s="38" t="n">
        <x:f>M110*R110</x:f>
        <x:v>21833.5023</x:v>
      </x:c>
      <x:c r="AB110" s="38" t="n">
        <x:f>SUM(W110:AA110)</x:f>
        <x:v>251735.13952</x:v>
      </x:c>
      <x:c r="AC110" s="38" t="n">
        <x:v>25.32</x:v>
      </x:c>
      <x:c r="AD110" s="38" t="n">
        <x:v>174.33</x:v>
      </x:c>
      <x:c r="AE110" s="38" t="n">
        <x:v>170.07</x:v>
      </x:c>
      <x:c r="AF110" s="38" t="n">
        <x:v>4.8148</x:v>
      </x:c>
      <x:c r="AG110" s="38" t="n">
        <x:v>5.19</x:v>
      </x:c>
      <x:c r="AH110" s="38" t="n">
        <x:f>IF(E110="Fason",L110*S110,0)</x:f>
        <x:v>36838.080319999994</x:v>
      </x:c>
      <x:c r="AI110" s="38" t="n">
        <x:f>IF(E110="Kurum içi",AC110*AD110+AE110*AF110+AB110*12%,0)</x:f>
        <x:v>0</x:v>
      </x:c>
      <x:c r="AJ110" s="38" t="n">
        <x:f>V110*AG110</x:f>
        <x:v>1666.3170905989919</x:v>
      </x:c>
      <x:c r="AK110" s="38" t="n">
        <x:f>AB110*2%</x:f>
        <x:v>5034.7027904</x:v>
      </x:c>
      <x:c r="AL110" s="38" t="n">
        <x:f>AB110+AH110+AI110+AJ110+AK110</x:f>
        <x:v>295274.239720999</x:v>
      </x:c>
      <x:c r="AM110" s="38" t="n">
        <x:f>AL110/V110</x:f>
        <x:v>919.6768807076844</x:v>
      </x:c>
      <x:c r="AN110" s="40" t="n">
        <x:f>(W110+X110)/AL110*100</x:f>
        <x:v>73.75487457550541</x:v>
      </x:c>
      <x:c r="AO110" s="28" t="str">
        <x:v>R01-R20; ilgili satırdaki bölgesel fiyat ve maliyet varsayımları</x:v>
      </x:c>
      <x:c r="AP110" s="28" t="str">
        <x:v>Girdi miktarları, alım fiyatı değişimi, fason bedeli ve parti sonucu simüle edilmiştir; işletme kaydı değildir.</x:v>
      </x:c>
    </x:row>
    <x:row r="111" ht="22" customHeight="1">
      <x:c r="A111" t="str">
        <x:v>SUC-0110</x:v>
      </x:c>
      <x:c r="B111" s="36" t="n">
        <x:v>46281</x:v>
      </x:c>
      <x:c r="C111" t="str">
        <x:v>Karadeniz</x:v>
      </x:c>
      <x:c r="D111" t="str">
        <x:v>ERZURUM_CI</x:v>
      </x:c>
      <x:c r="E111" t="str">
        <x:v>Fason</x:v>
      </x:c>
      <x:c r="F111" s="42" t="str">
        <x:v>SENTETİK/SİMÜLE — gerçek parti kaydı değildir</x:v>
      </x:c>
      <x:c r="G111" s="38" t="n">
        <x:v>393.417</x:v>
      </x:c>
      <x:c r="H111" s="38" t="n">
        <x:v>71.879</x:v>
      </x:c>
      <x:c r="I111" s="38" t="n">
        <x:v>21.516</x:v>
      </x:c>
      <x:c r="J111" s="38" t="n">
        <x:v>7.412</x:v>
      </x:c>
      <x:c r="K111" s="38" t="n">
        <x:v>0.573</x:v>
      </x:c>
      <x:c r="L111" s="38" t="n">
        <x:f>SUM(G111:K111)</x:f>
        <x:v>494.79699999999997</x:v>
      </x:c>
      <x:c r="M111" s="38" t="n">
        <x:v>631.051</x:v>
      </x:c>
      <x:c r="N111" s="38" t="n">
        <x:v>613.46</x:v>
      </x:c>
      <x:c r="O111" s="38" t="n">
        <x:v>415.98</x:v>
      </x:c>
      <x:c r="P111" s="38" t="n">
        <x:v>550</x:v>
      </x:c>
      <x:c r="Q111" s="38" t="n">
        <x:v>19.88</x:v>
      </x:c>
      <x:c r="R111" s="38" t="n">
        <x:v>43.7475</x:v>
      </x:c>
      <x:c r="S111" s="38" t="n">
        <x:v>121.43</x:v>
      </x:c>
      <x:c r="T111" s="40" t="n">
        <x:v>17.25</x:v>
      </x:c>
      <x:c r="U111" s="40" t="n">
        <x:v>0.75</x:v>
      </x:c>
      <x:c r="V111" s="38" t="n">
        <x:f>L111*(1-T111/100)*(1-U111/100)</x:f>
        <x:v>406.37368361874996</x:v>
      </x:c>
      <x:c r="W111" s="38" t="n">
        <x:f>G111*N111</x:f>
        <x:v>241345.59282</x:v>
      </x:c>
      <x:c r="X111" s="38" t="n">
        <x:f>H111*O111</x:f>
        <x:v>29900.226420000003</x:v>
      </x:c>
      <x:c r="Y111" s="38" t="n">
        <x:f>I111*P111</x:f>
        <x:v>11833.8</x:v>
      </x:c>
      <x:c r="Z111" s="38" t="n">
        <x:f>J111*Q111+K111*P111</x:f>
        <x:v>462.50055999999995</x:v>
      </x:c>
      <x:c r="AA111" s="38" t="n">
        <x:f>M111*R111</x:f>
        <x:v>27606.9036225</x:v>
      </x:c>
      <x:c r="AB111" s="38" t="n">
        <x:f>SUM(W111:AA111)</x:f>
        <x:v>311149.0234225</x:v>
      </x:c>
      <x:c r="AC111" s="38" t="n">
        <x:v>30.95</x:v>
      </x:c>
      <x:c r="AD111" s="38" t="n">
        <x:v>174.33</x:v>
      </x:c>
      <x:c r="AE111" s="38" t="n">
        <x:v>164.1</x:v>
      </x:c>
      <x:c r="AF111" s="38" t="n">
        <x:v>4.8148</x:v>
      </x:c>
      <x:c r="AG111" s="38" t="n">
        <x:v>5.11</x:v>
      </x:c>
      <x:c r="AH111" s="38" t="n">
        <x:f>IF(E111="Fason",L111*S111,0)</x:f>
        <x:v>60083.19971</x:v>
      </x:c>
      <x:c r="AI111" s="38" t="n">
        <x:f>IF(E111="Kurum içi",AC111*AD111+AE111*AF111+AB111*12%,0)</x:f>
        <x:v>0</x:v>
      </x:c>
      <x:c r="AJ111" s="38" t="n">
        <x:f>V111*AG111</x:f>
        <x:v>2076.5695232918124</x:v>
      </x:c>
      <x:c r="AK111" s="38" t="n">
        <x:f>AB111*2%</x:f>
        <x:v>6222.98046845</x:v>
      </x:c>
      <x:c r="AL111" s="38" t="n">
        <x:f>AB111+AH111+AI111+AJ111+AK111</x:f>
        <x:v>379531.77312424185</x:v>
      </x:c>
      <x:c r="AM111" s="38" t="n">
        <x:f>AL111/V111</x:f>
        <x:v>933.9477146859476</x:v>
      </x:c>
      <x:c r="AN111" s="40" t="n">
        <x:f>(W111+X111)/AL111*100</x:f>
        <x:v>71.46854056701233</x:v>
      </x:c>
      <x:c r="AO111" s="28" t="str">
        <x:v>R01-R20; ilgili satırdaki bölgesel fiyat ve maliyet varsayımları</x:v>
      </x:c>
      <x:c r="AP111" s="28" t="str">
        <x:v>Girdi miktarları, alım fiyatı değişimi, fason bedeli ve parti sonucu simüle edilmiştir; işletme kaydı değildir.</x:v>
      </x:c>
    </x:row>
    <x:row r="112" ht="22" customHeight="1">
      <x:c r="A112" t="str">
        <x:v>SUC-0111</x:v>
      </x:c>
      <x:c r="B112" s="36" t="n">
        <x:v>46284</x:v>
      </x:c>
      <x:c r="C112" t="str">
        <x:v>Karadeniz</x:v>
      </x:c>
      <x:c r="D112" t="str">
        <x:v>MEB_STANDART</x:v>
      </x:c>
      <x:c r="E112" t="str">
        <x:v>Kurum içi</x:v>
      </x:c>
      <x:c r="F112" s="42" t="str">
        <x:v>SENTETİK/SİMÜLE — gerçek parti kaydı değildir</x:v>
      </x:c>
      <x:c r="G112" s="38" t="n">
        <x:v>105.06</x:v>
      </x:c>
      <x:c r="H112" s="38" t="n">
        <x:v>33.797</x:v>
      </x:c>
      <x:c r="I112" s="38" t="n">
        <x:v>6.864</x:v>
      </x:c>
      <x:c r="J112" s="38" t="n">
        <x:v>3.575</x:v>
      </x:c>
      <x:c r="K112" s="38" t="n">
        <x:v>1.409</x:v>
      </x:c>
      <x:c r="L112" s="38" t="n">
        <x:f>SUM(G112:K112)</x:f>
        <x:v>150.70499999999998</x:v>
      </x:c>
      <x:c r="M112" s="38" t="n">
        <x:v>184.036</x:v>
      </x:c>
      <x:c r="N112" s="38" t="n">
        <x:v>610.46</x:v>
      </x:c>
      <x:c r="O112" s="38" t="n">
        <x:v>464.34</x:v>
      </x:c>
      <x:c r="P112" s="38" t="n">
        <x:v>550</x:v>
      </x:c>
      <x:c r="Q112" s="38" t="n">
        <x:v>19.88</x:v>
      </x:c>
      <x:c r="R112" s="38" t="n">
        <x:v>43.7475</x:v>
      </x:c>
      <x:c r="S112" s="38" t="n">
        <x:v>110.19</x:v>
      </x:c>
      <x:c r="T112" s="40" t="n">
        <x:v>23.09</x:v>
      </x:c>
      <x:c r="U112" s="40" t="n">
        <x:v>0.44</x:v>
      </x:c>
      <x:c r="V112" s="38" t="n">
        <x:f>L112*(1-T112/100)*(1-U112/100)</x:f>
        <x:v>115.3972237518</x:v>
      </x:c>
      <x:c r="W112" s="38" t="n">
        <x:f>G112*N112</x:f>
        <x:v>64134.9276</x:v>
      </x:c>
      <x:c r="X112" s="38" t="n">
        <x:f>H112*O112</x:f>
        <x:v>15693.298979999998</x:v>
      </x:c>
      <x:c r="Y112" s="38" t="n">
        <x:f>I112*P112</x:f>
        <x:v>3775.2</x:v>
      </x:c>
      <x:c r="Z112" s="38" t="n">
        <x:f>J112*Q112+K112*P112</x:f>
        <x:v>846.0210000000001</x:v>
      </x:c>
      <x:c r="AA112" s="38" t="n">
        <x:f>M112*R112</x:f>
        <x:v>8051.11491</x:v>
      </x:c>
      <x:c r="AB112" s="38" t="n">
        <x:f>SUM(W112:AA112)</x:f>
        <x:v>92500.56249</x:v>
      </x:c>
      <x:c r="AC112" s="38" t="n">
        <x:v>7.05</x:v>
      </x:c>
      <x:c r="AD112" s="38" t="n">
        <x:v>174.33</x:v>
      </x:c>
      <x:c r="AE112" s="38" t="n">
        <x:v>42.27</x:v>
      </x:c>
      <x:c r="AF112" s="38" t="n">
        <x:v>4.8148</x:v>
      </x:c>
      <x:c r="AG112" s="38" t="n">
        <x:v>5.76</x:v>
      </x:c>
      <x:c r="AH112" s="38" t="n">
        <x:f>IF(E112="Fason",L112*S112,0)</x:f>
        <x:v>0</x:v>
      </x:c>
      <x:c r="AI112" s="38" t="n">
        <x:f>IF(E112="Kurum içi",AC112*AD112+AE112*AF112+AB112*12%,0)</x:f>
        <x:v>12532.6155948</x:v>
      </x:c>
      <x:c r="AJ112" s="38" t="n">
        <x:f>V112*AG112</x:f>
        <x:v>664.6880088103679</x:v>
      </x:c>
      <x:c r="AK112" s="38" t="n">
        <x:f>AB112*2%</x:f>
        <x:v>1850.0112497999999</x:v>
      </x:c>
      <x:c r="AL112" s="38" t="n">
        <x:f>AB112+AH112+AI112+AJ112+AK112</x:f>
        <x:v>107547.87734341035</x:v>
      </x:c>
      <x:c r="AM112" s="38" t="n">
        <x:f>AL112/V112</x:f>
        <x:v>931.9797638696034</x:v>
      </x:c>
      <x:c r="AN112" s="40" t="n">
        <x:f>(W112+X112)/AL112*100</x:f>
        <x:v>74.22575745042468</x:v>
      </x:c>
      <x:c r="AO112" s="28" t="str">
        <x:v>R01-R20; ilgili satırdaki bölgesel fiyat ve maliyet varsayımları</x:v>
      </x:c>
      <x:c r="AP112" s="28" t="str">
        <x:v>Girdi miktarları, alım fiyatı değişimi, fason bedeli ve parti sonucu simüle edilmiştir; işletme kaydı değildir.</x:v>
      </x:c>
    </x:row>
    <x:row r="113" ht="22" customHeight="1">
      <x:c r="A113" t="str">
        <x:v>SUC-0112</x:v>
      </x:c>
      <x:c r="B113" s="36" t="n">
        <x:v>46286</x:v>
      </x:c>
      <x:c r="C113" t="str">
        <x:v>Karadeniz</x:v>
      </x:c>
      <x:c r="D113" t="str">
        <x:v>MEB_STANDART</x:v>
      </x:c>
      <x:c r="E113" t="str">
        <x:v>Kurum içi</x:v>
      </x:c>
      <x:c r="F113" s="42" t="str">
        <x:v>SENTETİK/SİMÜLE — gerçek parti kaydı değildir</x:v>
      </x:c>
      <x:c r="G113" s="38" t="n">
        <x:v>269.569</x:v>
      </x:c>
      <x:c r="H113" s="38" t="n">
        <x:v>79.897</x:v>
      </x:c>
      <x:c r="I113" s="38" t="n">
        <x:v>17.827</x:v>
      </x:c>
      <x:c r="J113" s="38" t="n">
        <x:v>10.126</x:v>
      </x:c>
      <x:c r="K113" s="38" t="n">
        <x:v>3.961</x:v>
      </x:c>
      <x:c r="L113" s="38" t="n">
        <x:f>SUM(G113:K113)</x:f>
        <x:v>381.38</x:v>
      </x:c>
      <x:c r="M113" s="38" t="n">
        <x:v>508.709</x:v>
      </x:c>
      <x:c r="N113" s="38" t="n">
        <x:v>620.91</x:v>
      </x:c>
      <x:c r="O113" s="38" t="n">
        <x:v>418.73</x:v>
      </x:c>
      <x:c r="P113" s="38" t="n">
        <x:v>550</x:v>
      </x:c>
      <x:c r="Q113" s="38" t="n">
        <x:v>19.88</x:v>
      </x:c>
      <x:c r="R113" s="38" t="n">
        <x:v>43.7475</x:v>
      </x:c>
      <x:c r="S113" s="38" t="n">
        <x:v>105.35</x:v>
      </x:c>
      <x:c r="T113" s="40" t="n">
        <x:v>24.62</x:v>
      </x:c>
      <x:c r="U113" s="40" t="n">
        <x:v>1.75</x:v>
      </x:c>
      <x:c r="V113" s="38" t="n">
        <x:f>L113*(1-T113/100)*(1-U113/100)</x:f>
        <x:v>282.45326973</x:v>
      </x:c>
      <x:c r="W113" s="38" t="n">
        <x:f>G113*N113</x:f>
        <x:v>167378.08779</x:v>
      </x:c>
      <x:c r="X113" s="38" t="n">
        <x:f>H113*O113</x:f>
        <x:v>33455.27081</x:v>
      </x:c>
      <x:c r="Y113" s="38" t="n">
        <x:f>I113*P113</x:f>
        <x:v>9804.85</x:v>
      </x:c>
      <x:c r="Z113" s="38" t="n">
        <x:f>J113*Q113+K113*P113</x:f>
        <x:v>2379.85488</x:v>
      </x:c>
      <x:c r="AA113" s="38" t="n">
        <x:f>M113*R113</x:f>
        <x:v>22254.746977500003</x:v>
      </x:c>
      <x:c r="AB113" s="38" t="n">
        <x:f>SUM(W113:AA113)</x:f>
        <x:v>235272.8104575</x:v>
      </x:c>
      <x:c r="AC113" s="38" t="n">
        <x:v>13.51</x:v>
      </x:c>
      <x:c r="AD113" s="38" t="n">
        <x:v>174.33</x:v>
      </x:c>
      <x:c r="AE113" s="38" t="n">
        <x:v>115.8</x:v>
      </x:c>
      <x:c r="AF113" s="38" t="n">
        <x:v>4.8148</x:v>
      </x:c>
      <x:c r="AG113" s="38" t="n">
        <x:v>5.21</x:v>
      </x:c>
      <x:c r="AH113" s="38" t="n">
        <x:f>IF(E113="Fason",L113*S113,0)</x:f>
        <x:v>0</x:v>
      </x:c>
      <x:c r="AI113" s="38" t="n">
        <x:f>IF(E113="Kurum içi",AC113*AD113+AE113*AF113+AB113*12%,0)</x:f>
        <x:v>31145.4893949</x:v>
      </x:c>
      <x:c r="AJ113" s="38" t="n">
        <x:f>V113*AG113</x:f>
        <x:v>1471.5815352933</x:v>
      </x:c>
      <x:c r="AK113" s="38" t="n">
        <x:f>AB113*2%</x:f>
        <x:v>4705.45620915</x:v>
      </x:c>
      <x:c r="AL113" s="38" t="n">
        <x:f>AB113+AH113+AI113+AJ113+AK113</x:f>
        <x:v>272595.3375968433</x:v>
      </x:c>
      <x:c r="AM113" s="38" t="n">
        <x:f>AL113/V113</x:f>
        <x:v>965.0988917827718</x:v>
      </x:c>
      <x:c r="AN113" s="40" t="n">
        <x:f>(W113+X113)/AL113*100</x:f>
        <x:v>73.67453910639654</x:v>
      </x:c>
      <x:c r="AO113" s="28" t="str">
        <x:v>R01-R20; ilgili satırdaki bölgesel fiyat ve maliyet varsayımları</x:v>
      </x:c>
      <x:c r="AP113" s="28" t="str">
        <x:v>Girdi miktarları, alım fiyatı değişimi, fason bedeli ve parti sonucu simüle edilmiştir; işletme kaydı değildir.</x:v>
      </x:c>
    </x:row>
    <x:row r="114" ht="22" customHeight="1">
      <x:c r="A114" t="str">
        <x:v>SUC-0113</x:v>
      </x:c>
      <x:c r="B114" s="36" t="n">
        <x:v>46315</x:v>
      </x:c>
      <x:c r="C114" t="str">
        <x:v>Ege</x:v>
      </x:c>
      <x:c r="D114" t="str">
        <x:v>MEB_STANDART</x:v>
      </x:c>
      <x:c r="E114" t="str">
        <x:v>Kurum içi</x:v>
      </x:c>
      <x:c r="F114" s="42" t="str">
        <x:v>SENTETİK/SİMÜLE — gerçek parti kaydı değildir</x:v>
      </x:c>
      <x:c r="G114" s="38" t="n">
        <x:v>343.301</x:v>
      </x:c>
      <x:c r="H114" s="38" t="n">
        <x:v>109.925</x:v>
      </x:c>
      <x:c r="I114" s="38" t="n">
        <x:v>21.816</x:v>
      </x:c>
      <x:c r="J114" s="38" t="n">
        <x:v>12.594</x:v>
      </x:c>
      <x:c r="K114" s="38" t="n">
        <x:v>5.644</x:v>
      </x:c>
      <x:c r="L114" s="38" t="n">
        <x:f>SUM(G114:K114)</x:f>
        <x:v>493.28</x:v>
      </x:c>
      <x:c r="M114" s="38" t="n">
        <x:v>588.32</x:v>
      </x:c>
      <x:c r="N114" s="38" t="n">
        <x:v>615.67</x:v>
      </x:c>
      <x:c r="O114" s="38" t="n">
        <x:v>458.56</x:v>
      </x:c>
      <x:c r="P114" s="38" t="n">
        <x:v>669.9</x:v>
      </x:c>
      <x:c r="Q114" s="38" t="n">
        <x:v>19.88</x:v>
      </x:c>
      <x:c r="R114" s="38" t="n">
        <x:v>43.7475</x:v>
      </x:c>
      <x:c r="S114" s="38" t="n">
        <x:v>89.67</x:v>
      </x:c>
      <x:c r="T114" s="40" t="n">
        <x:v>19.24</x:v>
      </x:c>
      <x:c r="U114" s="40" t="n">
        <x:v>1.58</x:v>
      </x:c>
      <x:c r="V114" s="38" t="n">
        <x:f>L114*(1-T114/100)*(1-U114/100)</x:f>
        <x:v>392.07863573759994</x:v>
      </x:c>
      <x:c r="W114" s="38" t="n">
        <x:f>G114*N114</x:f>
        <x:v>211360.12666999997</x:v>
      </x:c>
      <x:c r="X114" s="38" t="n">
        <x:f>H114*O114</x:f>
        <x:v>50407.208</x:v>
      </x:c>
      <x:c r="Y114" s="38" t="n">
        <x:f>I114*P114</x:f>
        <x:v>14614.5384</x:v>
      </x:c>
      <x:c r="Z114" s="38" t="n">
        <x:f>J114*Q114+K114*P114</x:f>
        <x:v>4031.2843199999998</x:v>
      </x:c>
      <x:c r="AA114" s="38" t="n">
        <x:f>M114*R114</x:f>
        <x:v>25737.529200000004</x:v>
      </x:c>
      <x:c r="AB114" s="38" t="n">
        <x:f>SUM(W114:AA114)</x:f>
        <x:v>306150.68658999994</x:v>
      </x:c>
      <x:c r="AC114" s="38" t="n">
        <x:v>28.97</x:v>
      </x:c>
      <x:c r="AD114" s="38" t="n">
        <x:v>174.33</x:v>
      </x:c>
      <x:c r="AE114" s="38" t="n">
        <x:v>158.71</x:v>
      </x:c>
      <x:c r="AF114" s="38" t="n">
        <x:v>4.8148</x:v>
      </x:c>
      <x:c r="AG114" s="38" t="n">
        <x:v>5.83</x:v>
      </x:c>
      <x:c r="AH114" s="38" t="n">
        <x:f>IF(E114="Fason",L114*S114,0)</x:f>
        <x:v>0</x:v>
      </x:c>
      <x:c r="AI114" s="38" t="n">
        <x:f>IF(E114="Kurum içi",AC114*AD114+AE114*AF114+AB114*12%,0)</x:f>
        <x:v>42552.57939879999</x:v>
      </x:c>
      <x:c r="AJ114" s="38" t="n">
        <x:f>V114*AG114</x:f>
        <x:v>2285.8184463502075</x:v>
      </x:c>
      <x:c r="AK114" s="38" t="n">
        <x:f>AB114*2%</x:f>
        <x:v>6123.013731799999</x:v>
      </x:c>
      <x:c r="AL114" s="38" t="n">
        <x:f>AB114+AH114+AI114+AJ114+AK114</x:f>
        <x:v>357112.09816695016</x:v>
      </x:c>
      <x:c r="AM114" s="38" t="n">
        <x:f>AL114/V114</x:f>
        <x:v>910.8175391784131</x:v>
      </x:c>
      <x:c r="AN114" s="40" t="n">
        <x:f>(W114+X114)/AL114*100</x:f>
        <x:v>73.30116678030424</x:v>
      </x:c>
      <x:c r="AO114" s="28" t="str">
        <x:v>R01-R20; ilgili satırdaki bölgesel fiyat ve maliyet varsayımları</x:v>
      </x:c>
      <x:c r="AP114" s="28" t="str">
        <x:v>Girdi miktarları, alım fiyatı değişimi, fason bedeli ve parti sonucu simüle edilmiştir; işletme kaydı değildir.</x:v>
      </x:c>
    </x:row>
    <x:row r="115" ht="22" customHeight="1">
      <x:c r="A115" t="str">
        <x:v>SUC-0114</x:v>
      </x:c>
      <x:c r="B115" s="36" t="n">
        <x:v>46309</x:v>
      </x:c>
      <x:c r="C115" t="str">
        <x:v>Akdeniz</x:v>
      </x:c>
      <x:c r="D115" t="str">
        <x:v>MEB_STANDART</x:v>
      </x:c>
      <x:c r="E115" t="str">
        <x:v>Fason</x:v>
      </x:c>
      <x:c r="F115" s="42" t="str">
        <x:v>SENTETİK/SİMÜLE — gerçek parti kaydı değildir</x:v>
      </x:c>
      <x:c r="G115" s="38" t="n">
        <x:v>285.15</x:v>
      </x:c>
      <x:c r="H115" s="38" t="n">
        <x:v>88.805</x:v>
      </x:c>
      <x:c r="I115" s="38" t="n">
        <x:v>17.968</x:v>
      </x:c>
      <x:c r="J115" s="38" t="n">
        <x:v>9.718</x:v>
      </x:c>
      <x:c r="K115" s="38" t="n">
        <x:v>4.647</x:v>
      </x:c>
      <x:c r="L115" s="38" t="n">
        <x:f>SUM(G115:K115)</x:f>
        <x:v>406.288</x:v>
      </x:c>
      <x:c r="M115" s="38" t="n">
        <x:v>509.094</x:v>
      </x:c>
      <x:c r="N115" s="38" t="n">
        <x:v>578.85</x:v>
      </x:c>
      <x:c r="O115" s="38" t="n">
        <x:v>481.09</x:v>
      </x:c>
      <x:c r="P115" s="38" t="n">
        <x:v>400</x:v>
      </x:c>
      <x:c r="Q115" s="38" t="n">
        <x:v>19.88</x:v>
      </x:c>
      <x:c r="R115" s="38" t="n">
        <x:v>43.7475</x:v>
      </x:c>
      <x:c r="S115" s="38" t="n">
        <x:v>114.73</x:v>
      </x:c>
      <x:c r="T115" s="40" t="n">
        <x:v>32.33</x:v>
      </x:c>
      <x:c r="U115" s="40" t="n">
        <x:v>1.56</x:v>
      </x:c>
      <x:c r="V115" s="38" t="n">
        <x:f>L115*(1-T115/100)*(1-U115/100)</x:f>
        <x:v>270.64610220224006</x:v>
      </x:c>
      <x:c r="W115" s="38" t="n">
        <x:f>G115*N115</x:f>
        <x:v>165059.07749999998</x:v>
      </x:c>
      <x:c r="X115" s="38" t="n">
        <x:f>H115*O115</x:f>
        <x:v>42723.19745</x:v>
      </x:c>
      <x:c r="Y115" s="38" t="n">
        <x:f>I115*P115</x:f>
        <x:v>7187.2</x:v>
      </x:c>
      <x:c r="Z115" s="38" t="n">
        <x:f>J115*Q115+K115*P115</x:f>
        <x:v>2051.99384</x:v>
      </x:c>
      <x:c r="AA115" s="38" t="n">
        <x:f>M115*R115</x:f>
        <x:v>22271.589765</x:v>
      </x:c>
      <x:c r="AB115" s="38" t="n">
        <x:f>SUM(W115:AA115)</x:f>
        <x:v>239293.05855500003</x:v>
      </x:c>
      <x:c r="AC115" s="38" t="n">
        <x:v>16.81</x:v>
      </x:c>
      <x:c r="AD115" s="38" t="n">
        <x:v>174.33</x:v>
      </x:c>
      <x:c r="AE115" s="38" t="n">
        <x:v>139.97</x:v>
      </x:c>
      <x:c r="AF115" s="38" t="n">
        <x:v>4.8148</x:v>
      </x:c>
      <x:c r="AG115" s="38" t="n">
        <x:v>5.69</x:v>
      </x:c>
      <x:c r="AH115" s="38" t="n">
        <x:f>IF(E115="Fason",L115*S115,0)</x:f>
        <x:v>46613.42224</x:v>
      </x:c>
      <x:c r="AI115" s="38" t="n">
        <x:f>IF(E115="Kurum içi",AC115*AD115+AE115*AF115+AB115*12%,0)</x:f>
        <x:v>0</x:v>
      </x:c>
      <x:c r="AJ115" s="38" t="n">
        <x:f>V115*AG115</x:f>
        <x:v>1539.976321530746</x:v>
      </x:c>
      <x:c r="AK115" s="38" t="n">
        <x:f>AB115*2%</x:f>
        <x:v>4785.8611711</x:v>
      </x:c>
      <x:c r="AL115" s="38" t="n">
        <x:f>AB115+AH115+AI115+AJ115+AK115</x:f>
        <x:v>292232.3182876308</x:v>
      </x:c>
      <x:c r="AM115" s="38" t="n">
        <x:f>AL115/V115</x:f>
        <x:v>1079.7580896593163</x:v>
      </x:c>
      <x:c r="AN115" s="40" t="n">
        <x:f>(W115+X115)/AL115*100</x:f>
        <x:v>71.10174403964776</x:v>
      </x:c>
      <x:c r="AO115" s="28" t="str">
        <x:v>R01-R20; ilgili satırdaki bölgesel fiyat ve maliyet varsayımları</x:v>
      </x:c>
      <x:c r="AP115" s="28" t="str">
        <x:v>Girdi miktarları, alım fiyatı değişimi, fason bedeli ve parti sonucu simüle edilmiştir; işletme kaydı değildir.</x:v>
      </x:c>
    </x:row>
    <x:row r="116" ht="22" customHeight="1">
      <x:c r="A116" t="str">
        <x:v>SUC-0115</x:v>
      </x:c>
      <x:c r="B116" s="36" t="n">
        <x:v>46316</x:v>
      </x:c>
      <x:c r="C116" t="str">
        <x:v>Doğu Anadolu</x:v>
      </x:c>
      <x:c r="D116" t="str">
        <x:v>MEB_STANDART</x:v>
      </x:c>
      <x:c r="E116" t="str">
        <x:v>Fason</x:v>
      </x:c>
      <x:c r="F116" s="42" t="str">
        <x:v>SENTETİK/SİMÜLE — gerçek parti kaydı değildir</x:v>
      </x:c>
      <x:c r="G116" s="38" t="n">
        <x:v>242.864</x:v>
      </x:c>
      <x:c r="H116" s="38" t="n">
        <x:v>79.547</x:v>
      </x:c>
      <x:c r="I116" s="38" t="n">
        <x:v>15.857</x:v>
      </x:c>
      <x:c r="J116" s="38" t="n">
        <x:v>8.634</x:v>
      </x:c>
      <x:c r="K116" s="38" t="n">
        <x:v>4.057</x:v>
      </x:c>
      <x:c r="L116" s="38" t="n">
        <x:f>SUM(G116:K116)</x:f>
        <x:v>350.95900000000006</x:v>
      </x:c>
      <x:c r="M116" s="38" t="n">
        <x:v>452.245</x:v>
      </x:c>
      <x:c r="N116" s="38" t="n">
        <x:v>600.36</x:v>
      </x:c>
      <x:c r="O116" s="38" t="n">
        <x:v>450.81</x:v>
      </x:c>
      <x:c r="P116" s="38" t="n">
        <x:v>669.9</x:v>
      </x:c>
      <x:c r="Q116" s="38" t="n">
        <x:v>19.88</x:v>
      </x:c>
      <x:c r="R116" s="38" t="n">
        <x:v>43.7475</x:v>
      </x:c>
      <x:c r="S116" s="38" t="n">
        <x:v>102.71</x:v>
      </x:c>
      <x:c r="T116" s="40" t="n">
        <x:v>26.63</x:v>
      </x:c>
      <x:c r="U116" s="40" t="n">
        <x:v>0.92</x:v>
      </x:c>
      <x:c r="V116" s="38" t="n">
        <x:f>L116*(1-T116/100)*(1-U116/100)</x:f>
        <x:v>255.12963101164004</x:v>
      </x:c>
      <x:c r="W116" s="38" t="n">
        <x:f>G116*N116</x:f>
        <x:v>145805.83104000002</x:v>
      </x:c>
      <x:c r="X116" s="38" t="n">
        <x:f>H116*O116</x:f>
        <x:v>35860.58307</x:v>
      </x:c>
      <x:c r="Y116" s="38" t="n">
        <x:f>I116*P116</x:f>
        <x:v>10622.604299999999</x:v>
      </x:c>
      <x:c r="Z116" s="38" t="n">
        <x:f>J116*Q116+K116*P116</x:f>
        <x:v>2889.4282200000002</x:v>
      </x:c>
      <x:c r="AA116" s="38" t="n">
        <x:f>M116*R116</x:f>
        <x:v>19784.588137500003</x:v>
      </x:c>
      <x:c r="AB116" s="38" t="n">
        <x:f>SUM(W116:AA116)</x:f>
        <x:v>214963.0347675</x:v>
      </x:c>
      <x:c r="AC116" s="38" t="n">
        <x:v>20.92</x:v>
      </x:c>
      <x:c r="AD116" s="38" t="n">
        <x:v>174.33</x:v>
      </x:c>
      <x:c r="AE116" s="38" t="n">
        <x:v>144.81</x:v>
      </x:c>
      <x:c r="AF116" s="38" t="n">
        <x:v>4.8148</x:v>
      </x:c>
      <x:c r="AG116" s="38" t="n">
        <x:v>5.85</x:v>
      </x:c>
      <x:c r="AH116" s="38" t="n">
        <x:f>IF(E116="Fason",L116*S116,0)</x:f>
        <x:v>36046.99889</x:v>
      </x:c>
      <x:c r="AI116" s="38" t="n">
        <x:f>IF(E116="Kurum içi",AC116*AD116+AE116*AF116+AB116*12%,0)</x:f>
        <x:v>0</x:v>
      </x:c>
      <x:c r="AJ116" s="38" t="n">
        <x:f>V116*AG116</x:f>
        <x:v>1492.5083414180942</x:v>
      </x:c>
      <x:c r="AK116" s="38" t="n">
        <x:f>AB116*2%</x:f>
        <x:v>4299.26069535</x:v>
      </x:c>
      <x:c r="AL116" s="38" t="n">
        <x:f>AB116+AH116+AI116+AJ116+AK116</x:f>
        <x:v>256801.8026942681</x:v>
      </x:c>
      <x:c r="AM116" s="38" t="n">
        <x:f>AL116/V116</x:f>
        <x:v>1006.5542041353548</x:v>
      </x:c>
      <x:c r="AN116" s="40" t="n">
        <x:f>(W116+X116)/AL116*100</x:f>
        <x:v>70.74187649931746</x:v>
      </x:c>
      <x:c r="AO116" s="28" t="str">
        <x:v>R01-R20; ilgili satırdaki bölgesel fiyat ve maliyet varsayımları</x:v>
      </x:c>
      <x:c r="AP116" s="28" t="str">
        <x:v>Girdi miktarları, alım fiyatı değişimi, fason bedeli ve parti sonucu simüle edilmiştir; işletme kaydı değildir.</x:v>
      </x:c>
    </x:row>
    <x:row r="117" ht="22" customHeight="1">
      <x:c r="A117" t="str">
        <x:v>SUC-0116</x:v>
      </x:c>
      <x:c r="B117" s="36" t="n">
        <x:v>46313</x:v>
      </x:c>
      <x:c r="C117" t="str">
        <x:v>Marmara</x:v>
      </x:c>
      <x:c r="D117" t="str">
        <x:v>MEB_STANDART</x:v>
      </x:c>
      <x:c r="E117" t="str">
        <x:v>Kurum içi</x:v>
      </x:c>
      <x:c r="F117" s="42" t="str">
        <x:v>SENTETİK/SİMÜLE — gerçek parti kaydı değildir</x:v>
      </x:c>
      <x:c r="G117" s="38" t="n">
        <x:v>61.917</x:v>
      </x:c>
      <x:c r="H117" s="38" t="n">
        <x:v>19.372</x:v>
      </x:c>
      <x:c r="I117" s="38" t="n">
        <x:v>4.005</x:v>
      </x:c>
      <x:c r="J117" s="38" t="n">
        <x:v>2.234</x:v>
      </x:c>
      <x:c r="K117" s="38" t="n">
        <x:v>0.811</x:v>
      </x:c>
      <x:c r="L117" s="38" t="n">
        <x:f>SUM(G117:K117)</x:f>
        <x:v>88.339</x:v>
      </x:c>
      <x:c r="M117" s="38" t="n">
        <x:v>109.008</x:v>
      </x:c>
      <x:c r="N117" s="38" t="n">
        <x:v>593.38</x:v>
      </x:c>
      <x:c r="O117" s="38" t="n">
        <x:v>463.01</x:v>
      </x:c>
      <x:c r="P117" s="38" t="n">
        <x:v>669.9</x:v>
      </x:c>
      <x:c r="Q117" s="38" t="n">
        <x:v>19.88</x:v>
      </x:c>
      <x:c r="R117" s="38" t="n">
        <x:v>43.7475</x:v>
      </x:c>
      <x:c r="S117" s="38" t="n">
        <x:v>112.2</x:v>
      </x:c>
      <x:c r="T117" s="40" t="n">
        <x:v>21.6</x:v>
      </x:c>
      <x:c r="U117" s="40" t="n">
        <x:v>1.58</x:v>
      </x:c>
      <x:c r="V117" s="38" t="n">
        <x:f>L117*(1-T117/100)*(1-U117/100)</x:f>
        <x:v>68.1635031392</x:v>
      </x:c>
      <x:c r="W117" s="38" t="n">
        <x:f>G117*N117</x:f>
        <x:v>36740.309460000004</x:v>
      </x:c>
      <x:c r="X117" s="38" t="n">
        <x:f>H117*O117</x:f>
        <x:v>8969.42972</x:v>
      </x:c>
      <x:c r="Y117" s="38" t="n">
        <x:f>I117*P117</x:f>
        <x:v>2682.9494999999997</x:v>
      </x:c>
      <x:c r="Z117" s="38" t="n">
        <x:f>J117*Q117+K117*P117</x:f>
        <x:v>587.70082</x:v>
      </x:c>
      <x:c r="AA117" s="38" t="n">
        <x:f>M117*R117</x:f>
        <x:v>4768.82748</x:v>
      </x:c>
      <x:c r="AB117" s="38" t="n">
        <x:f>SUM(W117:AA117)</x:f>
        <x:v>53749.216980000005</x:v>
      </x:c>
      <x:c r="AC117" s="38" t="n">
        <x:v>5.36</x:v>
      </x:c>
      <x:c r="AD117" s="38" t="n">
        <x:v>174.33</x:v>
      </x:c>
      <x:c r="AE117" s="38" t="n">
        <x:v>34.26</x:v>
      </x:c>
      <x:c r="AF117" s="38" t="n">
        <x:v>4.8148</x:v>
      </x:c>
      <x:c r="AG117" s="38" t="n">
        <x:v>5.54</x:v>
      </x:c>
      <x:c r="AH117" s="38" t="n">
        <x:f>IF(E117="Fason",L117*S117,0)</x:f>
        <x:v>0</x:v>
      </x:c>
      <x:c r="AI117" s="38" t="n">
        <x:f>IF(E117="Kurum içi",AC117*AD117+AE117*AF117+AB117*12%,0)</x:f>
        <x:v>7549.269885600001</x:v>
      </x:c>
      <x:c r="AJ117" s="38" t="n">
        <x:f>V117*AG117</x:f>
        <x:v>377.625807391168</x:v>
      </x:c>
      <x:c r="AK117" s="38" t="n">
        <x:f>AB117*2%</x:f>
        <x:v>1074.9843396</x:v>
      </x:c>
      <x:c r="AL117" s="38" t="n">
        <x:f>AB117+AH117+AI117+AJ117+AK117</x:f>
        <x:v>62751.09701259117</x:v>
      </x:c>
      <x:c r="AM117" s="38" t="n">
        <x:f>AL117/V117</x:f>
        <x:v>920.5967141161173</x:v>
      </x:c>
      <x:c r="AN117" s="40" t="n">
        <x:f>(W117+X117)/AL117*100</x:f>
        <x:v>72.84293240455737</x:v>
      </x:c>
      <x:c r="AO117" s="28" t="str">
        <x:v>R01-R20; ilgili satırdaki bölgesel fiyat ve maliyet varsayımları</x:v>
      </x:c>
      <x:c r="AP117" s="28" t="str">
        <x:v>Girdi miktarları, alım fiyatı değişimi, fason bedeli ve parti sonucu simüle edilmiştir; işletme kaydı değildir.</x:v>
      </x:c>
    </x:row>
    <x:row r="118" ht="22" customHeight="1">
      <x:c r="A118" t="str">
        <x:v>SUC-0117</x:v>
      </x:c>
      <x:c r="B118" s="36" t="n">
        <x:v>46276</x:v>
      </x:c>
      <x:c r="C118" t="str">
        <x:v>İç Anadolu</x:v>
      </x:c>
      <x:c r="D118" t="str">
        <x:v>MEB_STANDART</x:v>
      </x:c>
      <x:c r="E118" t="str">
        <x:v>Fason</x:v>
      </x:c>
      <x:c r="F118" s="42" t="str">
        <x:v>SENTETİK/SİMÜLE — gerçek parti kaydı değildir</x:v>
      </x:c>
      <x:c r="G118" s="38" t="n">
        <x:v>202.277</x:v>
      </x:c>
      <x:c r="H118" s="38" t="n">
        <x:v>62.845</x:v>
      </x:c>
      <x:c r="I118" s="38" t="n">
        <x:v>12.094</x:v>
      </x:c>
      <x:c r="J118" s="38" t="n">
        <x:v>7.532</x:v>
      </x:c>
      <x:c r="K118" s="38" t="n">
        <x:v>2.898</x:v>
      </x:c>
      <x:c r="L118" s="38" t="n">
        <x:f>SUM(G118:K118)</x:f>
        <x:v>287.64599999999996</x:v>
      </x:c>
      <x:c r="M118" s="38" t="n">
        <x:v>347.091</x:v>
      </x:c>
      <x:c r="N118" s="38" t="n">
        <x:v>574.42</x:v>
      </x:c>
      <x:c r="O118" s="38" t="n">
        <x:v>482.04</x:v>
      </x:c>
      <x:c r="P118" s="38" t="n">
        <x:v>669.9</x:v>
      </x:c>
      <x:c r="Q118" s="38" t="n">
        <x:v>19.88</x:v>
      </x:c>
      <x:c r="R118" s="38" t="n">
        <x:v>43.7475</x:v>
      </x:c>
      <x:c r="S118" s="38" t="n">
        <x:v>101.68</x:v>
      </x:c>
      <x:c r="T118" s="40" t="n">
        <x:v>26.13</x:v>
      </x:c>
      <x:c r="U118" s="40" t="n">
        <x:v>0.37</x:v>
      </x:c>
      <x:c r="V118" s="38" t="n">
        <x:f>L118*(1-T118/100)*(1-U118/100)</x:f>
        <x:v>211.69790902925996</x:v>
      </x:c>
      <x:c r="W118" s="38" t="n">
        <x:f>G118*N118</x:f>
        <x:v>116191.95433999998</x:v>
      </x:c>
      <x:c r="X118" s="38" t="n">
        <x:f>H118*O118</x:f>
        <x:v>30293.8038</x:v>
      </x:c>
      <x:c r="Y118" s="38" t="n">
        <x:f>I118*P118</x:f>
        <x:v>8101.770599999999</x:v>
      </x:c>
      <x:c r="Z118" s="38" t="n">
        <x:f>J118*Q118+K118*P118</x:f>
        <x:v>2091.10636</x:v>
      </x:c>
      <x:c r="AA118" s="38" t="n">
        <x:f>M118*R118</x:f>
        <x:v>15184.363522500002</x:v>
      </x:c>
      <x:c r="AB118" s="38" t="n">
        <x:f>SUM(W118:AA118)</x:f>
        <x:v>171862.9986225</x:v>
      </x:c>
      <x:c r="AC118" s="38" t="n">
        <x:v>17.32</x:v>
      </x:c>
      <x:c r="AD118" s="38" t="n">
        <x:v>174.33</x:v>
      </x:c>
      <x:c r="AE118" s="38" t="n">
        <x:v>131.68</x:v>
      </x:c>
      <x:c r="AF118" s="38" t="n">
        <x:v>4.8148</x:v>
      </x:c>
      <x:c r="AG118" s="38" t="n">
        <x:v>5.73</x:v>
      </x:c>
      <x:c r="AH118" s="38" t="n">
        <x:f>IF(E118="Fason",L118*S118,0)</x:f>
        <x:v>29247.845279999998</x:v>
      </x:c>
      <x:c r="AI118" s="38" t="n">
        <x:f>IF(E118="Kurum içi",AC118*AD118+AE118*AF118+AB118*12%,0)</x:f>
        <x:v>0</x:v>
      </x:c>
      <x:c r="AJ118" s="38" t="n">
        <x:f>V118*AG118</x:f>
        <x:v>1213.0290187376597</x:v>
      </x:c>
      <x:c r="AK118" s="38" t="n">
        <x:f>AB118*2%</x:f>
        <x:v>3437.2599724499996</x:v>
      </x:c>
      <x:c r="AL118" s="38" t="n">
        <x:f>AB118+AH118+AI118+AJ118+AK118</x:f>
        <x:v>205761.13289368767</x:v>
      </x:c>
      <x:c r="AM118" s="38" t="n">
        <x:f>AL118/V118</x:f>
        <x:v>971.9563780162243</x:v>
      </x:c>
      <x:c r="AN118" s="40" t="n">
        <x:f>(W118+X118)/AL118*100</x:f>
        <x:v>71.19214211154544</x:v>
      </x:c>
      <x:c r="AO118" s="28" t="str">
        <x:v>R01-R20; ilgili satırdaki bölgesel fiyat ve maliyet varsayımları</x:v>
      </x:c>
      <x:c r="AP118" s="28" t="str">
        <x:v>Girdi miktarları, alım fiyatı değişimi, fason bedeli ve parti sonucu simüle edilmiştir; işletme kaydı değildir.</x:v>
      </x:c>
    </x:row>
    <x:row r="119" ht="22" customHeight="1">
      <x:c r="A119" t="str">
        <x:v>SUC-0118</x:v>
      </x:c>
      <x:c r="B119" s="36" t="n">
        <x:v>46313</x:v>
      </x:c>
      <x:c r="C119" t="str">
        <x:v>Doğu Anadolu</x:v>
      </x:c>
      <x:c r="D119" t="str">
        <x:v>MEB_STANDART</x:v>
      </x:c>
      <x:c r="E119" t="str">
        <x:v>Fason</x:v>
      </x:c>
      <x:c r="F119" s="42" t="str">
        <x:v>SENTETİK/SİMÜLE — gerçek parti kaydı değildir</x:v>
      </x:c>
      <x:c r="G119" s="38" t="n">
        <x:v>331.91</x:v>
      </x:c>
      <x:c r="H119" s="38" t="n">
        <x:v>103.839</x:v>
      </x:c>
      <x:c r="I119" s="38" t="n">
        <x:v>21.168</x:v>
      </x:c>
      <x:c r="J119" s="38" t="n">
        <x:v>11.953</x:v>
      </x:c>
      <x:c r="K119" s="38" t="n">
        <x:v>4.419</x:v>
      </x:c>
      <x:c r="L119" s="38" t="n">
        <x:f>SUM(G119:K119)</x:f>
        <x:v>473.289</x:v>
      </x:c>
      <x:c r="M119" s="38" t="n">
        <x:v>610.193</x:v>
      </x:c>
      <x:c r="N119" s="38" t="n">
        <x:v>602.6</x:v>
      </x:c>
      <x:c r="O119" s="38" t="n">
        <x:v>435.85</x:v>
      </x:c>
      <x:c r="P119" s="38" t="n">
        <x:v>550</x:v>
      </x:c>
      <x:c r="Q119" s="38" t="n">
        <x:v>19.88</x:v>
      </x:c>
      <x:c r="R119" s="38" t="n">
        <x:v>43.7475</x:v>
      </x:c>
      <x:c r="S119" s="38" t="n">
        <x:v>108.3</x:v>
      </x:c>
      <x:c r="T119" s="40" t="n">
        <x:v>26.11</x:v>
      </x:c>
      <x:c r="U119" s="40" t="n">
        <x:v>0.96</x:v>
      </x:c>
      <x:c r="V119" s="38" t="n">
        <x:f>L119*(1-T119/100)*(1-U119/100)</x:f>
        <x:v>346.35599497583996</x:v>
      </x:c>
      <x:c r="W119" s="38" t="n">
        <x:f>G119*N119</x:f>
        <x:v>200008.96600000001</x:v>
      </x:c>
      <x:c r="X119" s="38" t="n">
        <x:f>H119*O119</x:f>
        <x:v>45258.22815</x:v>
      </x:c>
      <x:c r="Y119" s="38" t="n">
        <x:f>I119*P119</x:f>
        <x:v>11642.4</x:v>
      </x:c>
      <x:c r="Z119" s="38" t="n">
        <x:f>J119*Q119+K119*P119</x:f>
        <x:v>2668.07564</x:v>
      </x:c>
      <x:c r="AA119" s="38" t="n">
        <x:f>M119*R119</x:f>
        <x:v>26694.4182675</x:v>
      </x:c>
      <x:c r="AB119" s="38" t="n">
        <x:f>SUM(W119:AA119)</x:f>
        <x:v>286272.0880575</x:v>
      </x:c>
      <x:c r="AC119" s="38" t="n">
        <x:v>28.81</x:v>
      </x:c>
      <x:c r="AD119" s="38" t="n">
        <x:v>174.33</x:v>
      </x:c>
      <x:c r="AE119" s="38" t="n">
        <x:v>185.5</x:v>
      </x:c>
      <x:c r="AF119" s="38" t="n">
        <x:v>4.8148</x:v>
      </x:c>
      <x:c r="AG119" s="38" t="n">
        <x:v>5.79</x:v>
      </x:c>
      <x:c r="AH119" s="38" t="n">
        <x:f>IF(E119="Fason",L119*S119,0)</x:f>
        <x:v>51257.1987</x:v>
      </x:c>
      <x:c r="AI119" s="38" t="n">
        <x:f>IF(E119="Kurum içi",AC119*AD119+AE119*AF119+AB119*12%,0)</x:f>
        <x:v>0</x:v>
      </x:c>
      <x:c r="AJ119" s="38" t="n">
        <x:f>V119*AG119</x:f>
        <x:v>2005.4012109101134</x:v>
      </x:c>
      <x:c r="AK119" s="38" t="n">
        <x:f>AB119*2%</x:f>
        <x:v>5725.44176115</x:v>
      </x:c>
      <x:c r="AL119" s="38" t="n">
        <x:f>AB119+AH119+AI119+AJ119+AK119</x:f>
        <x:v>345260.12972956017</x:v>
      </x:c>
      <x:c r="AM119" s="38" t="n">
        <x:f>AL119/V119</x:f>
        <x:v>996.8360147877439</x:v>
      </x:c>
      <x:c r="AN119" s="40" t="n">
        <x:f>(W119+X119)/AL119*100</x:f>
        <x:v>71.03837745242004</x:v>
      </x:c>
      <x:c r="AO119" s="28" t="str">
        <x:v>R01-R20; ilgili satırdaki bölgesel fiyat ve maliyet varsayımları</x:v>
      </x:c>
      <x:c r="AP119" s="28" t="str">
        <x:v>Girdi miktarları, alım fiyatı değişimi, fason bedeli ve parti sonucu simüle edilmiştir; işletme kaydı değildir.</x:v>
      </x:c>
    </x:row>
    <x:row r="120" ht="22" customHeight="1">
      <x:c r="A120" t="str">
        <x:v>SUC-0119</x:v>
      </x:c>
      <x:c r="B120" s="36" t="n">
        <x:v>46294</x:v>
      </x:c>
      <x:c r="C120" t="str">
        <x:v>İç Anadolu</x:v>
      </x:c>
      <x:c r="D120" t="str">
        <x:v>ERZURUM_CI</x:v>
      </x:c>
      <x:c r="E120" t="str">
        <x:v>Fason</x:v>
      </x:c>
      <x:c r="F120" s="42" t="str">
        <x:v>SENTETİK/SİMÜLE — gerçek parti kaydı değildir</x:v>
      </x:c>
      <x:c r="G120" s="38" t="n">
        <x:v>395.161</x:v>
      </x:c>
      <x:c r="H120" s="38" t="n">
        <x:v>67.465</x:v>
      </x:c>
      <x:c r="I120" s="38" t="n">
        <x:v>23.344</x:v>
      </x:c>
      <x:c r="J120" s="38" t="n">
        <x:v>7.457</x:v>
      </x:c>
      <x:c r="K120" s="38" t="n">
        <x:v>0.641</x:v>
      </x:c>
      <x:c r="L120" s="38" t="n">
        <x:f>SUM(G120:K120)</x:f>
        <x:v>494.068</x:v>
      </x:c>
      <x:c r="M120" s="38" t="n">
        <x:v>567.24</x:v>
      </x:c>
      <x:c r="N120" s="38" t="n">
        <x:v>577.46</x:v>
      </x:c>
      <x:c r="O120" s="38" t="n">
        <x:v>437.44</x:v>
      </x:c>
      <x:c r="P120" s="38" t="n">
        <x:v>669.9</x:v>
      </x:c>
      <x:c r="Q120" s="38" t="n">
        <x:v>19.88</x:v>
      </x:c>
      <x:c r="R120" s="38" t="n">
        <x:v>43.7475</x:v>
      </x:c>
      <x:c r="S120" s="38" t="n">
        <x:v>124.88</x:v>
      </x:c>
      <x:c r="T120" s="40" t="n">
        <x:v>16.88</x:v>
      </x:c>
      <x:c r="U120" s="40" t="n">
        <x:v>1.56</x:v>
      </x:c>
      <x:c r="V120" s="38" t="n">
        <x:f>L120*(1-T120/100)*(1-U120/100)</x:f>
        <x:v>404.26288018304</x:v>
      </x:c>
      <x:c r="W120" s="38" t="n">
        <x:f>G120*N120</x:f>
        <x:v>228189.67106000002</x:v>
      </x:c>
      <x:c r="X120" s="38" t="n">
        <x:f>H120*O120</x:f>
        <x:v>29511.889600000002</x:v>
      </x:c>
      <x:c r="Y120" s="38" t="n">
        <x:f>I120*P120</x:f>
        <x:v>15638.1456</x:v>
      </x:c>
      <x:c r="Z120" s="38" t="n">
        <x:f>J120*Q120+K120*P120</x:f>
        <x:v>577.6510599999999</x:v>
      </x:c>
      <x:c r="AA120" s="38" t="n">
        <x:f>M120*R120</x:f>
        <x:v>24815.3319</x:v>
      </x:c>
      <x:c r="AB120" s="38" t="n">
        <x:f>SUM(W120:AA120)</x:f>
        <x:v>298732.68922</x:v>
      </x:c>
      <x:c r="AC120" s="38" t="n">
        <x:v>31.47</x:v>
      </x:c>
      <x:c r="AD120" s="38" t="n">
        <x:v>174.33</x:v>
      </x:c>
      <x:c r="AE120" s="38" t="n">
        <x:v>130.27</x:v>
      </x:c>
      <x:c r="AF120" s="38" t="n">
        <x:v>4.8148</x:v>
      </x:c>
      <x:c r="AG120" s="38" t="n">
        <x:v>5.78</x:v>
      </x:c>
      <x:c r="AH120" s="38" t="n">
        <x:f>IF(E120="Fason",L120*S120,0)</x:f>
        <x:v>61699.211839999996</x:v>
      </x:c>
      <x:c r="AI120" s="38" t="n">
        <x:f>IF(E120="Kurum içi",AC120*AD120+AE120*AF120+AB120*12%,0)</x:f>
        <x:v>0</x:v>
      </x:c>
      <x:c r="AJ120" s="38" t="n">
        <x:f>V120*AG120</x:f>
        <x:v>2336.6394474579715</x:v>
      </x:c>
      <x:c r="AK120" s="38" t="n">
        <x:f>AB120*2%</x:f>
        <x:v>5974.6537844</x:v>
      </x:c>
      <x:c r="AL120" s="38" t="n">
        <x:f>AB120+AH120+AI120+AJ120+AK120</x:f>
        <x:v>368743.194291858</x:v>
      </x:c>
      <x:c r="AM120" s="38" t="n">
        <x:f>AL120/V120</x:f>
        <x:v>912.1371572005335</x:v>
      </x:c>
      <x:c r="AN120" s="40" t="n">
        <x:f>(W120+X120)/AL120*100</x:f>
        <x:v>69.88645882804573</x:v>
      </x:c>
      <x:c r="AO120" s="28" t="str">
        <x:v>R01-R20; ilgili satırdaki bölgesel fiyat ve maliyet varsayımları</x:v>
      </x:c>
      <x:c r="AP120" s="28" t="str">
        <x:v>Girdi miktarları, alım fiyatı değişimi, fason bedeli ve parti sonucu simüle edilmiştir; işletme kaydı değildir.</x:v>
      </x:c>
    </x:row>
    <x:row r="121" ht="22" customHeight="1">
      <x:c r="A121" t="str">
        <x:v>SUC-0120</x:v>
      </x:c>
      <x:c r="B121" s="36" t="n">
        <x:v>46310</x:v>
      </x:c>
      <x:c r="C121" t="str">
        <x:v>Doğu Anadolu</x:v>
      </x:c>
      <x:c r="D121" t="str">
        <x:v>ERZURUM_CI</x:v>
      </x:c>
      <x:c r="E121" t="str">
        <x:v>Fason</x:v>
      </x:c>
      <x:c r="F121" s="42" t="str">
        <x:v>SENTETİK/SİMÜLE — gerçek parti kaydı değildir</x:v>
      </x:c>
      <x:c r="G121" s="38" t="n">
        <x:v>297.903</x:v>
      </x:c>
      <x:c r="H121" s="38" t="n">
        <x:v>55.249</x:v>
      </x:c>
      <x:c r="I121" s="38" t="n">
        <x:v>18.129</x:v>
      </x:c>
      <x:c r="J121" s="38" t="n">
        <x:v>5.622</x:v>
      </x:c>
      <x:c r="K121" s="38" t="n">
        <x:v>0.168</x:v>
      </x:c>
      <x:c r="L121" s="38" t="n">
        <x:f>SUM(G121:K121)</x:f>
        <x:v>377.0710000000001</x:v>
      </x:c>
      <x:c r="M121" s="38" t="n">
        <x:v>503.349</x:v>
      </x:c>
      <x:c r="N121" s="38" t="n">
        <x:v>588.35</x:v>
      </x:c>
      <x:c r="O121" s="38" t="n">
        <x:v>471.95</x:v>
      </x:c>
      <x:c r="P121" s="38" t="n">
        <x:v>669.9</x:v>
      </x:c>
      <x:c r="Q121" s="38" t="n">
        <x:v>19.88</x:v>
      </x:c>
      <x:c r="R121" s="38" t="n">
        <x:v>43.7475</x:v>
      </x:c>
      <x:c r="S121" s="38" t="n">
        <x:v>123.68</x:v>
      </x:c>
      <x:c r="T121" s="40" t="n">
        <x:v>26.89</x:v>
      </x:c>
      <x:c r="U121" s="40" t="n">
        <x:v>0.32</x:v>
      </x:c>
      <x:c r="V121" s="38" t="n">
        <x:f>L121*(1-T121/100)*(1-U121/100)</x:f>
        <x:v>274.79444295408007</x:v>
      </x:c>
      <x:c r="W121" s="38" t="n">
        <x:f>G121*N121</x:f>
        <x:v>175271.23005</x:v>
      </x:c>
      <x:c r="X121" s="38" t="n">
        <x:f>H121*O121</x:f>
        <x:v>26074.76555</x:v>
      </x:c>
      <x:c r="Y121" s="38" t="n">
        <x:f>I121*P121</x:f>
        <x:v>12144.617100000001</x:v>
      </x:c>
      <x:c r="Z121" s="38" t="n">
        <x:f>J121*Q121+K121*P121</x:f>
        <x:v>224.30856</x:v>
      </x:c>
      <x:c r="AA121" s="38" t="n">
        <x:f>M121*R121</x:f>
        <x:v>22020.260377500003</x:v>
      </x:c>
      <x:c r="AB121" s="38" t="n">
        <x:f>SUM(W121:AA121)</x:f>
        <x:v>235735.18163750003</x:v>
      </x:c>
      <x:c r="AC121" s="38" t="n">
        <x:v>19.6</x:v>
      </x:c>
      <x:c r="AD121" s="38" t="n">
        <x:v>174.33</x:v>
      </x:c>
      <x:c r="AE121" s="38" t="n">
        <x:v>127.59</x:v>
      </x:c>
      <x:c r="AF121" s="38" t="n">
        <x:v>4.8148</x:v>
      </x:c>
      <x:c r="AG121" s="38" t="n">
        <x:v>5.5</x:v>
      </x:c>
      <x:c r="AH121" s="38" t="n">
        <x:f>IF(E121="Fason",L121*S121,0)</x:f>
        <x:v>46636.14128000001</x:v>
      </x:c>
      <x:c r="AI121" s="38" t="n">
        <x:f>IF(E121="Kurum içi",AC121*AD121+AE121*AF121+AB121*12%,0)</x:f>
        <x:v>0</x:v>
      </x:c>
      <x:c r="AJ121" s="38" t="n">
        <x:f>V121*AG121</x:f>
        <x:v>1511.3694362474403</x:v>
      </x:c>
      <x:c r="AK121" s="38" t="n">
        <x:f>AB121*2%</x:f>
        <x:v>4714.703632750001</x:v>
      </x:c>
      <x:c r="AL121" s="38" t="n">
        <x:f>AB121+AH121+AI121+AJ121+AK121</x:f>
        <x:v>288597.3959864975</x:v>
      </x:c>
      <x:c r="AM121" s="38" t="n">
        <x:f>AL121/V121</x:f>
        <x:v>1050.2301024869125</x:v>
      </x:c>
      <x:c r="AN121" s="40" t="n">
        <x:f>(W121+X121)/AL121*100</x:f>
        <x:v>69.76708674440718</x:v>
      </x:c>
      <x:c r="AO121" s="28" t="str">
        <x:v>R01-R20; ilgili satırdaki bölgesel fiyat ve maliyet varsayımları</x:v>
      </x:c>
      <x:c r="AP121" s="28" t="str">
        <x:v>Girdi miktarları, alım fiyatı değişimi, fason bedeli ve parti sonucu simüle edilmiştir; işletme kaydı değildir.</x:v>
      </x:c>
    </x:row>
    <x:row r="122" ht="22" customHeight="1">
      <x:c r="A122" t="str">
        <x:v>SUC-0121</x:v>
      </x:c>
      <x:c r="B122" s="36" t="n">
        <x:v>46316</x:v>
      </x:c>
      <x:c r="C122" t="str">
        <x:v>Güneydoğu Anadolu</x:v>
      </x:c>
      <x:c r="D122" t="str">
        <x:v>MEB_STANDART</x:v>
      </x:c>
      <x:c r="E122" t="str">
        <x:v>Kurum içi</x:v>
      </x:c>
      <x:c r="F122" s="42" t="str">
        <x:v>SENTETİK/SİMÜLE — gerçek parti kaydı değildir</x:v>
      </x:c>
      <x:c r="G122" s="38" t="n">
        <x:v>88.865</x:v>
      </x:c>
      <x:c r="H122" s="38" t="n">
        <x:v>29.269</x:v>
      </x:c>
      <x:c r="I122" s="38" t="n">
        <x:v>6.183</x:v>
      </x:c>
      <x:c r="J122" s="38" t="n">
        <x:v>3.472</x:v>
      </x:c>
      <x:c r="K122" s="38" t="n">
        <x:v>1.438</x:v>
      </x:c>
      <x:c r="L122" s="38" t="n">
        <x:f>SUM(G122:K122)</x:f>
        <x:v>129.22699999999998</x:v>
      </x:c>
      <x:c r="M122" s="38" t="n">
        <x:v>158.936</x:v>
      </x:c>
      <x:c r="N122" s="38" t="n">
        <x:v>569.09</x:v>
      </x:c>
      <x:c r="O122" s="38" t="n">
        <x:v>440.23</x:v>
      </x:c>
      <x:c r="P122" s="38" t="n">
        <x:v>550</x:v>
      </x:c>
      <x:c r="Q122" s="38" t="n">
        <x:v>19.88</x:v>
      </x:c>
      <x:c r="R122" s="38" t="n">
        <x:v>43.7475</x:v>
      </x:c>
      <x:c r="S122" s="38" t="n">
        <x:v>76.02</x:v>
      </x:c>
      <x:c r="T122" s="40" t="n">
        <x:v>19.92</x:v>
      </x:c>
      <x:c r="U122" s="40" t="n">
        <x:v>0.5</x:v>
      </x:c>
      <x:c r="V122" s="38" t="n">
        <x:f>L122*(1-T122/100)*(1-U122/100)</x:f>
        <x:v>102.96755669199997</x:v>
      </x:c>
      <x:c r="W122" s="38" t="n">
        <x:f>G122*N122</x:f>
        <x:v>50572.18285</x:v>
      </x:c>
      <x:c r="X122" s="38" t="n">
        <x:f>H122*O122</x:f>
        <x:v>12885.09187</x:v>
      </x:c>
      <x:c r="Y122" s="38" t="n">
        <x:f>I122*P122</x:f>
        <x:v>3400.65</x:v>
      </x:c>
      <x:c r="Z122" s="38" t="n">
        <x:f>J122*Q122+K122*P122</x:f>
        <x:v>859.92336</x:v>
      </x:c>
      <x:c r="AA122" s="38" t="n">
        <x:f>M122*R122</x:f>
        <x:v>6953.05266</x:v>
      </x:c>
      <x:c r="AB122" s="38" t="n">
        <x:f>SUM(W122:AA122)</x:f>
        <x:v>74670.90074</x:v>
      </x:c>
      <x:c r="AC122" s="38" t="n">
        <x:v>6.12</x:v>
      </x:c>
      <x:c r="AD122" s="38" t="n">
        <x:v>174.33</x:v>
      </x:c>
      <x:c r="AE122" s="38" t="n">
        <x:v>40.38</x:v>
      </x:c>
      <x:c r="AF122" s="38" t="n">
        <x:v>4.8148</x:v>
      </x:c>
      <x:c r="AG122" s="38" t="n">
        <x:v>5.12</x:v>
      </x:c>
      <x:c r="AH122" s="38" t="n">
        <x:f>IF(E122="Fason",L122*S122,0)</x:f>
        <x:v>0</x:v>
      </x:c>
      <x:c r="AI122" s="38" t="n">
        <x:f>IF(E122="Kurum içi",AC122*AD122+AE122*AF122+AB122*12%,0)</x:f>
        <x:v>10221.8293128</x:v>
      </x:c>
      <x:c r="AJ122" s="38" t="n">
        <x:f>V122*AG122</x:f>
        <x:v>527.1938902630399</x:v>
      </x:c>
      <x:c r="AK122" s="38" t="n">
        <x:f>AB122*2%</x:f>
        <x:v>1493.4180148</x:v>
      </x:c>
      <x:c r="AL122" s="38" t="n">
        <x:f>AB122+AH122+AI122+AJ122+AK122</x:f>
        <x:v>86913.34195786304</x:v>
      </x:c>
      <x:c r="AM122" s="38" t="n">
        <x:f>AL122/V122</x:f>
        <x:v>844.0847267828367</x:v>
      </x:c>
      <x:c r="AN122" s="40" t="n">
        <x:f>(W122+X122)/AL122*100</x:f>
        <x:v>73.01212137345391</x:v>
      </x:c>
      <x:c r="AO122" s="28" t="str">
        <x:v>R01-R20; ilgili satırdaki bölgesel fiyat ve maliyet varsayımları</x:v>
      </x:c>
      <x:c r="AP122" s="28" t="str">
        <x:v>Girdi miktarları, alım fiyatı değişimi, fason bedeli ve parti sonucu simüle edilmiştir; işletme kaydı değildir.</x:v>
      </x:c>
    </x:row>
    <x:row r="123" ht="22" customHeight="1">
      <x:c r="A123" t="str">
        <x:v>SUC-0122</x:v>
      </x:c>
      <x:c r="B123" s="36" t="n">
        <x:v>46270</x:v>
      </x:c>
      <x:c r="C123" t="str">
        <x:v>Karadeniz</x:v>
      </x:c>
      <x:c r="D123" t="str">
        <x:v>MEB_STANDART</x:v>
      </x:c>
      <x:c r="E123" t="str">
        <x:v>Fason</x:v>
      </x:c>
      <x:c r="F123" s="42" t="str">
        <x:v>SENTETİK/SİMÜLE — gerçek parti kaydı değildir</x:v>
      </x:c>
      <x:c r="G123" s="38" t="n">
        <x:v>63.109</x:v>
      </x:c>
      <x:c r="H123" s="38" t="n">
        <x:v>18.797</x:v>
      </x:c>
      <x:c r="I123" s="38" t="n">
        <x:v>3.756</x:v>
      </x:c>
      <x:c r="J123" s="38" t="n">
        <x:v>2.369</x:v>
      </x:c>
      <x:c r="K123" s="38" t="n">
        <x:v>0.846</x:v>
      </x:c>
      <x:c r="L123" s="38" t="n">
        <x:f>SUM(G123:K123)</x:f>
        <x:v>88.87700000000001</x:v>
      </x:c>
      <x:c r="M123" s="38" t="n">
        <x:v>115.044</x:v>
      </x:c>
      <x:c r="N123" s="38" t="n">
        <x:v>611.76</x:v>
      </x:c>
      <x:c r="O123" s="38" t="n">
        <x:v>418.19</x:v>
      </x:c>
      <x:c r="P123" s="38" t="n">
        <x:v>669.9</x:v>
      </x:c>
      <x:c r="Q123" s="38" t="n">
        <x:v>19.88</x:v>
      </x:c>
      <x:c r="R123" s="38" t="n">
        <x:v>43.7475</x:v>
      </x:c>
      <x:c r="S123" s="38" t="n">
        <x:v>106.65</x:v>
      </x:c>
      <x:c r="T123" s="40" t="n">
        <x:v>33.38</x:v>
      </x:c>
      <x:c r="U123" s="40" t="n">
        <x:v>1.39</x:v>
      </x:c>
      <x:c r="V123" s="38" t="n">
        <x:f>L123*(1-T123/100)*(1-U123/100)</x:f>
        <x:v>58.386840382139994</x:v>
      </x:c>
      <x:c r="W123" s="38" t="n">
        <x:f>G123*N123</x:f>
        <x:v>38607.56184</x:v>
      </x:c>
      <x:c r="X123" s="38" t="n">
        <x:f>H123*O123</x:f>
        <x:v>7860.717430000001</x:v>
      </x:c>
      <x:c r="Y123" s="38" t="n">
        <x:f>I123*P123</x:f>
        <x:v>2516.1443999999997</x:v>
      </x:c>
      <x:c r="Z123" s="38" t="n">
        <x:f>J123*Q123+K123*P123</x:f>
        <x:v>613.8311199999999</x:v>
      </x:c>
      <x:c r="AA123" s="38" t="n">
        <x:f>M123*R123</x:f>
        <x:v>5032.88739</x:v>
      </x:c>
      <x:c r="AB123" s="38" t="n">
        <x:f>SUM(W123:AA123)</x:f>
        <x:v>54631.142179999995</x:v>
      </x:c>
      <x:c r="AC123" s="38" t="n">
        <x:v>3.91</x:v>
      </x:c>
      <x:c r="AD123" s="38" t="n">
        <x:v>174.33</x:v>
      </x:c>
      <x:c r="AE123" s="38" t="n">
        <x:v>20.04</x:v>
      </x:c>
      <x:c r="AF123" s="38" t="n">
        <x:v>4.8148</x:v>
      </x:c>
      <x:c r="AG123" s="38" t="n">
        <x:v>5.87</x:v>
      </x:c>
      <x:c r="AH123" s="38" t="n">
        <x:f>IF(E123="Fason",L123*S123,0)</x:f>
        <x:v>9478.732050000002</x:v>
      </x:c>
      <x:c r="AI123" s="38" t="n">
        <x:f>IF(E123="Kurum içi",AC123*AD123+AE123*AF123+AB123*12%,0)</x:f>
        <x:v>0</x:v>
      </x:c>
      <x:c r="AJ123" s="38" t="n">
        <x:f>V123*AG123</x:f>
        <x:v>342.73075304316177</x:v>
      </x:c>
      <x:c r="AK123" s="38" t="n">
        <x:f>AB123*2%</x:f>
        <x:v>1092.6228436</x:v>
      </x:c>
      <x:c r="AL123" s="38" t="n">
        <x:f>AB123+AH123+AI123+AJ123+AK123</x:f>
        <x:v>65545.22782664317</x:v>
      </x:c>
      <x:c r="AM123" s="38" t="n">
        <x:f>AL123/V123</x:f>
        <x:v>1122.6027542790766</x:v>
      </x:c>
      <x:c r="AN123" s="40" t="n">
        <x:f>(W123+X123)/AL123*100</x:f>
        <x:v>70.89498474687021</x:v>
      </x:c>
      <x:c r="AO123" s="28" t="str">
        <x:v>R01-R20; ilgili satırdaki bölgesel fiyat ve maliyet varsayımları</x:v>
      </x:c>
      <x:c r="AP123" s="28" t="str">
        <x:v>Girdi miktarları, alım fiyatı değişimi, fason bedeli ve parti sonucu simüle edilmiştir; işletme kaydı değildir.</x:v>
      </x:c>
    </x:row>
    <x:row r="124" ht="22" customHeight="1">
      <x:c r="A124" t="str">
        <x:v>SUC-0123</x:v>
      </x:c>
      <x:c r="B124" s="36" t="n">
        <x:v>46272</x:v>
      </x:c>
      <x:c r="C124" t="str">
        <x:v>Akdeniz</x:v>
      </x:c>
      <x:c r="D124" t="str">
        <x:v>ERZURUM_CI</x:v>
      </x:c>
      <x:c r="E124" t="str">
        <x:v>Fason</x:v>
      </x:c>
      <x:c r="F124" s="42" t="str">
        <x:v>SENTETİK/SİMÜLE — gerçek parti kaydı değildir</x:v>
      </x:c>
      <x:c r="G124" s="38" t="n">
        <x:v>263.743</x:v>
      </x:c>
      <x:c r="H124" s="38" t="n">
        <x:v>45.734</x:v>
      </x:c>
      <x:c r="I124" s="38" t="n">
        <x:v>15.59</x:v>
      </x:c>
      <x:c r="J124" s="38" t="n">
        <x:v>5.489</x:v>
      </x:c>
      <x:c r="K124" s="38" t="n">
        <x:v>0.033</x:v>
      </x:c>
      <x:c r="L124" s="38" t="n">
        <x:f>SUM(G124:K124)</x:f>
        <x:v>330.58899999999994</x:v>
      </x:c>
      <x:c r="M124" s="38" t="n">
        <x:v>452.662</x:v>
      </x:c>
      <x:c r="N124" s="38" t="n">
        <x:v>598.47</x:v>
      </x:c>
      <x:c r="O124" s="38" t="n">
        <x:v>432.77</x:v>
      </x:c>
      <x:c r="P124" s="38" t="n">
        <x:v>669.9</x:v>
      </x:c>
      <x:c r="Q124" s="38" t="n">
        <x:v>19.88</x:v>
      </x:c>
      <x:c r="R124" s="38" t="n">
        <x:v>43.7475</x:v>
      </x:c>
      <x:c r="S124" s="38" t="n">
        <x:v>75.29</x:v>
      </x:c>
      <x:c r="T124" s="40" t="n">
        <x:v>19.1</x:v>
      </x:c>
      <x:c r="U124" s="40" t="n">
        <x:v>0.85</x:v>
      </x:c>
      <x:c r="V124" s="38" t="n">
        <x:f>L124*(1-T124/100)*(1-U124/100)</x:f>
        <x:v>265.17320574149994</x:v>
      </x:c>
      <x:c r="W124" s="38" t="n">
        <x:f>G124*N124</x:f>
        <x:v>157842.27321</x:v>
      </x:c>
      <x:c r="X124" s="38" t="n">
        <x:f>H124*O124</x:f>
        <x:v>19792.30318</x:v>
      </x:c>
      <x:c r="Y124" s="38" t="n">
        <x:f>I124*P124</x:f>
        <x:v>10443.741</x:v>
      </x:c>
      <x:c r="Z124" s="38" t="n">
        <x:f>J124*Q124+K124*P124</x:f>
        <x:v>131.22802</x:v>
      </x:c>
      <x:c r="AA124" s="38" t="n">
        <x:f>M124*R124</x:f>
        <x:v>19802.830845</x:v>
      </x:c>
      <x:c r="AB124" s="38" t="n">
        <x:f>SUM(W124:AA124)</x:f>
        <x:v>208012.376255</x:v>
      </x:c>
      <x:c r="AC124" s="38" t="n">
        <x:v>17.2</x:v>
      </x:c>
      <x:c r="AD124" s="38" t="n">
        <x:v>174.33</x:v>
      </x:c>
      <x:c r="AE124" s="38" t="n">
        <x:v>78.62</x:v>
      </x:c>
      <x:c r="AF124" s="38" t="n">
        <x:v>4.8148</x:v>
      </x:c>
      <x:c r="AG124" s="38" t="n">
        <x:v>5.46</x:v>
      </x:c>
      <x:c r="AH124" s="38" t="n">
        <x:f>IF(E124="Fason",L124*S124,0)</x:f>
        <x:v>24890.045809999996</x:v>
      </x:c>
      <x:c r="AI124" s="38" t="n">
        <x:f>IF(E124="Kurum içi",AC124*AD124+AE124*AF124+AB124*12%,0)</x:f>
        <x:v>0</x:v>
      </x:c>
      <x:c r="AJ124" s="38" t="n">
        <x:f>V124*AG124</x:f>
        <x:v>1447.8457033485897</x:v>
      </x:c>
      <x:c r="AK124" s="38" t="n">
        <x:f>AB124*2%</x:f>
        <x:v>4160.2475251000005</x:v>
      </x:c>
      <x:c r="AL124" s="38" t="n">
        <x:f>AB124+AH124+AI124+AJ124+AK124</x:f>
        <x:v>238510.51529344858</x:v>
      </x:c>
      <x:c r="AM124" s="38" t="n">
        <x:f>AL124/V124</x:f>
        <x:v>899.4517927499693</x:v>
      </x:c>
      <x:c r="AN124" s="40" t="n">
        <x:f>(W124+X124)/AL124*100</x:f>
        <x:v>74.47662262246568</x:v>
      </x:c>
      <x:c r="AO124" s="28" t="str">
        <x:v>R01-R20; ilgili satırdaki bölgesel fiyat ve maliyet varsayımları</x:v>
      </x:c>
      <x:c r="AP124" s="28" t="str">
        <x:v>Girdi miktarları, alım fiyatı değişimi, fason bedeli ve parti sonucu simüle edilmiştir; işletme kaydı değildir.</x:v>
      </x:c>
    </x:row>
    <x:row r="125" ht="22" customHeight="1">
      <x:c r="A125" t="str">
        <x:v>SUC-0124</x:v>
      </x:c>
      <x:c r="B125" s="36" t="n">
        <x:v>46299</x:v>
      </x:c>
      <x:c r="C125" t="str">
        <x:v>Akdeniz</x:v>
      </x:c>
      <x:c r="D125" t="str">
        <x:v>MEB_STANDART</x:v>
      </x:c>
      <x:c r="E125" t="str">
        <x:v>Kurum içi</x:v>
      </x:c>
      <x:c r="F125" s="42" t="str">
        <x:v>SENTETİK/SİMÜLE — gerçek parti kaydı değildir</x:v>
      </x:c>
      <x:c r="G125" s="38" t="n">
        <x:v>250.494</x:v>
      </x:c>
      <x:c r="H125" s="38" t="n">
        <x:v>77.404</x:v>
      </x:c>
      <x:c r="I125" s="38" t="n">
        <x:v>15.582</x:v>
      </x:c>
      <x:c r="J125" s="38" t="n">
        <x:v>8.398</x:v>
      </x:c>
      <x:c r="K125" s="38" t="n">
        <x:v>3.954</x:v>
      </x:c>
      <x:c r="L125" s="38" t="n">
        <x:f>SUM(G125:K125)</x:f>
        <x:v>355.83200000000005</x:v>
      </x:c>
      <x:c r="M125" s="38" t="n">
        <x:v>429.567</x:v>
      </x:c>
      <x:c r="N125" s="38" t="n">
        <x:v>605.63</x:v>
      </x:c>
      <x:c r="O125" s="38" t="n">
        <x:v>445.44</x:v>
      </x:c>
      <x:c r="P125" s="38" t="n">
        <x:v>400</x:v>
      </x:c>
      <x:c r="Q125" s="38" t="n">
        <x:v>19.88</x:v>
      </x:c>
      <x:c r="R125" s="38" t="n">
        <x:v>43.7475</x:v>
      </x:c>
      <x:c r="S125" s="38" t="n">
        <x:v>115.48</x:v>
      </x:c>
      <x:c r="T125" s="40" t="n">
        <x:v>23.42</x:v>
      </x:c>
      <x:c r="U125" s="40" t="n">
        <x:v>1.32</x:v>
      </x:c>
      <x:c r="V125" s="38" t="n">
        <x:f>L125*(1-T125/100)*(1-U125/100)</x:f>
        <x:v>268.89919647808006</x:v>
      </x:c>
      <x:c r="W125" s="38" t="n">
        <x:f>G125*N125</x:f>
        <x:v>151706.68122</x:v>
      </x:c>
      <x:c r="X125" s="38" t="n">
        <x:f>H125*O125</x:f>
        <x:v>34478.837759999995</x:v>
      </x:c>
      <x:c r="Y125" s="38" t="n">
        <x:f>I125*P125</x:f>
        <x:v>6232.8</x:v>
      </x:c>
      <x:c r="Z125" s="38" t="n">
        <x:f>J125*Q125+K125*P125</x:f>
        <x:v>1748.5522400000002</x:v>
      </x:c>
      <x:c r="AA125" s="38" t="n">
        <x:f>M125*R125</x:f>
        <x:v>18792.4823325</x:v>
      </x:c>
      <x:c r="AB125" s="38" t="n">
        <x:f>SUM(W125:AA125)</x:f>
        <x:v>212959.35355249996</x:v>
      </x:c>
      <x:c r="AC125" s="38" t="n">
        <x:v>20.9</x:v>
      </x:c>
      <x:c r="AD125" s="38" t="n">
        <x:v>174.33</x:v>
      </x:c>
      <x:c r="AE125" s="38" t="n">
        <x:v>89.42</x:v>
      </x:c>
      <x:c r="AF125" s="38" t="n">
        <x:v>4.8148</x:v>
      </x:c>
      <x:c r="AG125" s="38" t="n">
        <x:v>5.67</x:v>
      </x:c>
      <x:c r="AH125" s="38" t="n">
        <x:f>IF(E125="Fason",L125*S125,0)</x:f>
        <x:v>0</x:v>
      </x:c>
      <x:c r="AI125" s="38" t="n">
        <x:f>IF(E125="Kurum içi",AC125*AD125+AE125*AF125+AB125*12%,0)</x:f>
        <x:v>29629.158842299992</x:v>
      </x:c>
      <x:c r="AJ125" s="38" t="n">
        <x:f>V125*AG125</x:f>
        <x:v>1524.658444030714</x:v>
      </x:c>
      <x:c r="AK125" s="38" t="n">
        <x:f>AB125*2%</x:f>
        <x:v>4259.187071049999</x:v>
      </x:c>
      <x:c r="AL125" s="38" t="n">
        <x:f>AB125+AH125+AI125+AJ125+AK125</x:f>
        <x:v>248372.35790988067</x:v>
      </x:c>
      <x:c r="AM125" s="38" t="n">
        <x:f>AL125/V125</x:f>
        <x:v>923.6634440078266</x:v>
      </x:c>
      <x:c r="AN125" s="40" t="n">
        <x:f>(W125+X125)/AL125*100</x:f>
        <x:v>74.96225447420984</x:v>
      </x:c>
      <x:c r="AO125" s="28" t="str">
        <x:v>R01-R20; ilgili satırdaki bölgesel fiyat ve maliyet varsayımları</x:v>
      </x:c>
      <x:c r="AP125" s="28" t="str">
        <x:v>Girdi miktarları, alım fiyatı değişimi, fason bedeli ve parti sonucu simüle edilmiştir; işletme kaydı değildir.</x:v>
      </x:c>
    </x:row>
    <x:row r="126" ht="22" customHeight="1">
      <x:c r="A126" t="str">
        <x:v>SUC-0125</x:v>
      </x:c>
      <x:c r="B126" s="36" t="n">
        <x:v>46267</x:v>
      </x:c>
      <x:c r="C126" t="str">
        <x:v>Güneydoğu Anadolu</x:v>
      </x:c>
      <x:c r="D126" t="str">
        <x:v>MEB_STANDART</x:v>
      </x:c>
      <x:c r="E126" t="str">
        <x:v>Fason</x:v>
      </x:c>
      <x:c r="F126" s="42" t="str">
        <x:v>SENTETİK/SİMÜLE — gerçek parti kaydı değildir</x:v>
      </x:c>
      <x:c r="G126" s="38" t="n">
        <x:v>342.608</x:v>
      </x:c>
      <x:c r="H126" s="38" t="n">
        <x:v>110.624</x:v>
      </x:c>
      <x:c r="I126" s="38" t="n">
        <x:v>21.108</x:v>
      </x:c>
      <x:c r="J126" s="38" t="n">
        <x:v>11.508</x:v>
      </x:c>
      <x:c r="K126" s="38" t="n">
        <x:v>4.953</x:v>
      </x:c>
      <x:c r="L126" s="38" t="n">
        <x:f>SUM(G126:K126)</x:f>
        <x:v>490.80099999999993</x:v>
      </x:c>
      <x:c r="M126" s="38" t="n">
        <x:v>603.39</x:v>
      </x:c>
      <x:c r="N126" s="38" t="n">
        <x:v>591.17</x:v>
      </x:c>
      <x:c r="O126" s="38" t="n">
        <x:v>448.12</x:v>
      </x:c>
      <x:c r="P126" s="38" t="n">
        <x:v>550</x:v>
      </x:c>
      <x:c r="Q126" s="38" t="n">
        <x:v>19.88</x:v>
      </x:c>
      <x:c r="R126" s="38" t="n">
        <x:v>43.7475</x:v>
      </x:c>
      <x:c r="S126" s="38" t="n">
        <x:v>95.92</x:v>
      </x:c>
      <x:c r="T126" s="40" t="n">
        <x:v>18.5</x:v>
      </x:c>
      <x:c r="U126" s="40" t="n">
        <x:v>0.91</x:v>
      </x:c>
      <x:c r="V126" s="38" t="n">
        <x:f>L126*(1-T126/100)*(1-U126/100)</x:f>
        <x:v>396.36278938349994</x:v>
      </x:c>
      <x:c r="W126" s="38" t="n">
        <x:f>G126*N126</x:f>
        <x:v>202539.57136</x:v>
      </x:c>
      <x:c r="X126" s="38" t="n">
        <x:f>H126*O126</x:f>
        <x:v>49572.82688</x:v>
      </x:c>
      <x:c r="Y126" s="38" t="n">
        <x:f>I126*P126</x:f>
        <x:v>11609.4</x:v>
      </x:c>
      <x:c r="Z126" s="38" t="n">
        <x:f>J126*Q126+K126*P126</x:f>
        <x:v>2952.92904</x:v>
      </x:c>
      <x:c r="AA126" s="38" t="n">
        <x:f>M126*R126</x:f>
        <x:v>26396.804025</x:v>
      </x:c>
      <x:c r="AB126" s="38" t="n">
        <x:f>SUM(W126:AA126)</x:f>
        <x:v>293071.53130500007</x:v>
      </x:c>
      <x:c r="AC126" s="38" t="n">
        <x:v>24.89</x:v>
      </x:c>
      <x:c r="AD126" s="38" t="n">
        <x:v>174.33</x:v>
      </x:c>
      <x:c r="AE126" s="38" t="n">
        <x:v>217.63</x:v>
      </x:c>
      <x:c r="AF126" s="38" t="n">
        <x:v>4.8148</x:v>
      </x:c>
      <x:c r="AG126" s="38" t="n">
        <x:v>5.48</x:v>
      </x:c>
      <x:c r="AH126" s="38" t="n">
        <x:f>IF(E126="Fason",L126*S126,0)</x:f>
        <x:v>47077.63191999999</x:v>
      </x:c>
      <x:c r="AI126" s="38" t="n">
        <x:f>IF(E126="Kurum içi",AC126*AD126+AE126*AF126+AB126*12%,0)</x:f>
        <x:v>0</x:v>
      </x:c>
      <x:c r="AJ126" s="38" t="n">
        <x:f>V126*AG126</x:f>
        <x:v>2172.0680858215796</x:v>
      </x:c>
      <x:c r="AK126" s="38" t="n">
        <x:f>AB126*2%</x:f>
        <x:v>5861.430626100001</x:v>
      </x:c>
      <x:c r="AL126" s="38" t="n">
        <x:f>AB126+AH126+AI126+AJ126+AK126</x:f>
        <x:v>348182.66193692165</x:v>
      </x:c>
      <x:c r="AM126" s="38" t="n">
        <x:f>AL126/V126</x:f>
        <x:v>878.444372839546</x:v>
      </x:c>
      <x:c r="AN126" s="40" t="n">
        <x:f>(W126+X126)/AL126*100</x:f>
        <x:v>72.40808512334075</x:v>
      </x:c>
      <x:c r="AO126" s="28" t="str">
        <x:v>R01-R20; ilgili satırdaki bölgesel fiyat ve maliyet varsayımları</x:v>
      </x:c>
      <x:c r="AP126" s="28" t="str">
        <x:v>Girdi miktarları, alım fiyatı değişimi, fason bedeli ve parti sonucu simüle edilmiştir; işletme kaydı değildir.</x:v>
      </x:c>
    </x:row>
    <x:row r="127" ht="22" customHeight="1">
      <x:c r="A127" t="str">
        <x:v>SUC-0126</x:v>
      </x:c>
      <x:c r="B127" s="36" t="n">
        <x:v>46293</x:v>
      </x:c>
      <x:c r="C127" t="str">
        <x:v>İç Anadolu</x:v>
      </x:c>
      <x:c r="D127" t="str">
        <x:v>MEB_STANDART</x:v>
      </x:c>
      <x:c r="E127" t="str">
        <x:v>Kurum içi</x:v>
      </x:c>
      <x:c r="F127" s="42" t="str">
        <x:v>SENTETİK/SİMÜLE — gerçek parti kaydı değildir</x:v>
      </x:c>
      <x:c r="G127" s="38" t="n">
        <x:v>96.764</x:v>
      </x:c>
      <x:c r="H127" s="38" t="n">
        <x:v>32.099</x:v>
      </x:c>
      <x:c r="I127" s="38" t="n">
        <x:v>6.35</x:v>
      </x:c>
      <x:c r="J127" s="38" t="n">
        <x:v>3.336</x:v>
      </x:c>
      <x:c r="K127" s="38" t="n">
        <x:v>1.28</x:v>
      </x:c>
      <x:c r="L127" s="38" t="n">
        <x:f>SUM(G127:K127)</x:f>
        <x:v>139.829</x:v>
      </x:c>
      <x:c r="M127" s="38" t="n">
        <x:v>168.112</x:v>
      </x:c>
      <x:c r="N127" s="38" t="n">
        <x:v>605.6</x:v>
      </x:c>
      <x:c r="O127" s="38" t="n">
        <x:v>411.27</x:v>
      </x:c>
      <x:c r="P127" s="38" t="n">
        <x:v>400</x:v>
      </x:c>
      <x:c r="Q127" s="38" t="n">
        <x:v>19.88</x:v>
      </x:c>
      <x:c r="R127" s="38" t="n">
        <x:v>43.7475</x:v>
      </x:c>
      <x:c r="S127" s="38" t="n">
        <x:v>72.1</x:v>
      </x:c>
      <x:c r="T127" s="40" t="n">
        <x:v>32.07</x:v>
      </x:c>
      <x:c r="U127" s="40" t="n">
        <x:v>0.72</x:v>
      </x:c>
      <x:c r="V127" s="38" t="n">
        <x:f>L127*(1-T127/100)*(1-U127/100)</x:f>
        <x:v>94.30194165416002</x:v>
      </x:c>
      <x:c r="W127" s="38" t="n">
        <x:f>G127*N127</x:f>
        <x:v>58600.2784</x:v>
      </x:c>
      <x:c r="X127" s="38" t="n">
        <x:f>H127*O127</x:f>
        <x:v>13201.355729999997</x:v>
      </x:c>
      <x:c r="Y127" s="38" t="n">
        <x:f>I127*P127</x:f>
        <x:v>2540</x:v>
      </x:c>
      <x:c r="Z127" s="38" t="n">
        <x:f>J127*Q127+K127*P127</x:f>
        <x:v>578.31968</x:v>
      </x:c>
      <x:c r="AA127" s="38" t="n">
        <x:f>M127*R127</x:f>
        <x:v>7354.47972</x:v>
      </x:c>
      <x:c r="AB127" s="38" t="n">
        <x:f>SUM(W127:AA127)</x:f>
        <x:v>82274.43353000001</x:v>
      </x:c>
      <x:c r="AC127" s="38" t="n">
        <x:v>5.06</x:v>
      </x:c>
      <x:c r="AD127" s="38" t="n">
        <x:v>174.33</x:v>
      </x:c>
      <x:c r="AE127" s="38" t="n">
        <x:v>46.71</x:v>
      </x:c>
      <x:c r="AF127" s="38" t="n">
        <x:v>4.8148</x:v>
      </x:c>
      <x:c r="AG127" s="38" t="n">
        <x:v>5.43</x:v>
      </x:c>
      <x:c r="AH127" s="38" t="n">
        <x:f>IF(E127="Fason",L127*S127,0)</x:f>
        <x:v>0</x:v>
      </x:c>
      <x:c r="AI127" s="38" t="n">
        <x:f>IF(E127="Kurum içi",AC127*AD127+AE127*AF127+AB127*12%,0)</x:f>
        <x:v>10979.9411316</x:v>
      </x:c>
      <x:c r="AJ127" s="38" t="n">
        <x:f>V127*AG127</x:f>
        <x:v>512.0595431820889</x:v>
      </x:c>
      <x:c r="AK127" s="38" t="n">
        <x:f>AB127*2%</x:f>
        <x:v>1645.4886706000002</x:v>
      </x:c>
      <x:c r="AL127" s="38" t="n">
        <x:f>AB127+AH127+AI127+AJ127+AK127</x:f>
        <x:v>95411.9228753821</x:v>
      </x:c>
      <x:c r="AM127" s="38" t="n">
        <x:f>AL127/V127</x:f>
        <x:v>1011.770502300926</x:v>
      </x:c>
      <x:c r="AN127" s="40" t="n">
        <x:f>(W127+X127)/AL127*100</x:f>
        <x:v>75.25436231253867</x:v>
      </x:c>
      <x:c r="AO127" s="28" t="str">
        <x:v>R01-R20; ilgili satırdaki bölgesel fiyat ve maliyet varsayımları</x:v>
      </x:c>
      <x:c r="AP127" s="28" t="str">
        <x:v>Girdi miktarları, alım fiyatı değişimi, fason bedeli ve parti sonucu simüle edilmiştir; işletme kaydı değildir.</x:v>
      </x:c>
    </x:row>
    <x:row r="128" ht="22" customHeight="1">
      <x:c r="A128" t="str">
        <x:v>SUC-0127</x:v>
      </x:c>
      <x:c r="B128" s="36" t="n">
        <x:v>46269</x:v>
      </x:c>
      <x:c r="C128" t="str">
        <x:v>Karadeniz</x:v>
      </x:c>
      <x:c r="D128" t="str">
        <x:v>ERZURUM_CI</x:v>
      </x:c>
      <x:c r="E128" t="str">
        <x:v>Fason</x:v>
      </x:c>
      <x:c r="F128" s="42" t="str">
        <x:v>SENTETİK/SİMÜLE — gerçek parti kaydı değildir</x:v>
      </x:c>
      <x:c r="G128" s="38" t="n">
        <x:v>345.585</x:v>
      </x:c>
      <x:c r="H128" s="38" t="n">
        <x:v>56.349</x:v>
      </x:c>
      <x:c r="I128" s="38" t="n">
        <x:v>20.785</x:v>
      </x:c>
      <x:c r="J128" s="38" t="n">
        <x:v>6.691</x:v>
      </x:c>
      <x:c r="K128" s="38" t="n">
        <x:v>0.043</x:v>
      </x:c>
      <x:c r="L128" s="38" t="n">
        <x:f>SUM(G128:K128)</x:f>
        <x:v>429.453</x:v>
      </x:c>
      <x:c r="M128" s="38" t="n">
        <x:v>533.022</x:v>
      </x:c>
      <x:c r="N128" s="38" t="n">
        <x:v>594.15</x:v>
      </x:c>
      <x:c r="O128" s="38" t="n">
        <x:v>455.99</x:v>
      </x:c>
      <x:c r="P128" s="38" t="n">
        <x:v>400</x:v>
      </x:c>
      <x:c r="Q128" s="38" t="n">
        <x:v>19.88</x:v>
      </x:c>
      <x:c r="R128" s="38" t="n">
        <x:v>43.7475</x:v>
      </x:c>
      <x:c r="S128" s="38" t="n">
        <x:v>108.5</x:v>
      </x:c>
      <x:c r="T128" s="40" t="n">
        <x:v>17.18</x:v>
      </x:c>
      <x:c r="U128" s="40" t="n">
        <x:v>0.65</x:v>
      </x:c>
      <x:c r="V128" s="38" t="n">
        <x:f>L128*(1-T128/100)*(1-U128/100)</x:f>
        <x:v>353.3611002651</x:v>
      </x:c>
      <x:c r="W128" s="38" t="n">
        <x:f>G128*N128</x:f>
        <x:v>205329.32774999997</x:v>
      </x:c>
      <x:c r="X128" s="38" t="n">
        <x:f>H128*O128</x:f>
        <x:v>25694.58051</x:v>
      </x:c>
      <x:c r="Y128" s="38" t="n">
        <x:f>I128*P128</x:f>
        <x:v>8314</x:v>
      </x:c>
      <x:c r="Z128" s="38" t="n">
        <x:f>J128*Q128+K128*P128</x:f>
        <x:v>150.21707999999998</x:v>
      </x:c>
      <x:c r="AA128" s="38" t="n">
        <x:f>M128*R128</x:f>
        <x:v>23318.379945000004</x:v>
      </x:c>
      <x:c r="AB128" s="38" t="n">
        <x:f>SUM(W128:AA128)</x:f>
        <x:v>262806.50528499996</x:v>
      </x:c>
      <x:c r="AC128" s="38" t="n">
        <x:v>22.66</x:v>
      </x:c>
      <x:c r="AD128" s="38" t="n">
        <x:v>174.33</x:v>
      </x:c>
      <x:c r="AE128" s="38" t="n">
        <x:v>169.97</x:v>
      </x:c>
      <x:c r="AF128" s="38" t="n">
        <x:v>4.8148</x:v>
      </x:c>
      <x:c r="AG128" s="38" t="n">
        <x:v>5.5</x:v>
      </x:c>
      <x:c r="AH128" s="38" t="n">
        <x:f>IF(E128="Fason",L128*S128,0)</x:f>
        <x:v>46595.650499999996</x:v>
      </x:c>
      <x:c r="AI128" s="38" t="n">
        <x:f>IF(E128="Kurum içi",AC128*AD128+AE128*AF128+AB128*12%,0)</x:f>
        <x:v>0</x:v>
      </x:c>
      <x:c r="AJ128" s="38" t="n">
        <x:f>V128*AG128</x:f>
        <x:v>1943.48605145805</x:v>
      </x:c>
      <x:c r="AK128" s="38" t="n">
        <x:f>AB128*2%</x:f>
        <x:v>5256.130105699999</x:v>
      </x:c>
      <x:c r="AL128" s="38" t="n">
        <x:f>AB128+AH128+AI128+AJ128+AK128</x:f>
        <x:v>316601.771942158</x:v>
      </x:c>
      <x:c r="AM128" s="38" t="n">
        <x:f>AL128/V128</x:f>
        <x:v>895.9723402056303</x:v>
      </x:c>
      <x:c r="AN128" s="40" t="n">
        <x:f>(W128+X128)/AL128*100</x:f>
        <x:v>72.9698721655314</x:v>
      </x:c>
      <x:c r="AO128" s="28" t="str">
        <x:v>R01-R20; ilgili satırdaki bölgesel fiyat ve maliyet varsayımları</x:v>
      </x:c>
      <x:c r="AP128" s="28" t="str">
        <x:v>Girdi miktarları, alım fiyatı değişimi, fason bedeli ve parti sonucu simüle edilmiştir; işletme kaydı değildir.</x:v>
      </x:c>
    </x:row>
    <x:row r="129" ht="22" customHeight="1">
      <x:c r="A129" t="str">
        <x:v>SUC-0128</x:v>
      </x:c>
      <x:c r="B129" s="36" t="n">
        <x:v>46316</x:v>
      </x:c>
      <x:c r="C129" t="str">
        <x:v>Doğu Anadolu</x:v>
      </x:c>
      <x:c r="D129" t="str">
        <x:v>ERZURUM_CI</x:v>
      </x:c>
      <x:c r="E129" t="str">
        <x:v>Kurum içi</x:v>
      </x:c>
      <x:c r="F129" s="42" t="str">
        <x:v>SENTETİK/SİMÜLE — gerçek parti kaydı değildir</x:v>
      </x:c>
      <x:c r="G129" s="38" t="n">
        <x:v>367.962</x:v>
      </x:c>
      <x:c r="H129" s="38" t="n">
        <x:v>60.071</x:v>
      </x:c>
      <x:c r="I129" s="38" t="n">
        <x:v>21.368</x:v>
      </x:c>
      <x:c r="J129" s="38" t="n">
        <x:v>7.507</x:v>
      </x:c>
      <x:c r="K129" s="38" t="n">
        <x:v>0.046</x:v>
      </x:c>
      <x:c r="L129" s="38" t="n">
        <x:f>SUM(G129:K129)</x:f>
        <x:v>456.954</x:v>
      </x:c>
      <x:c r="M129" s="38" t="n">
        <x:v>596.126</x:v>
      </x:c>
      <x:c r="N129" s="38" t="n">
        <x:v>608.42</x:v>
      </x:c>
      <x:c r="O129" s="38" t="n">
        <x:v>477.1</x:v>
      </x:c>
      <x:c r="P129" s="38" t="n">
        <x:v>550</x:v>
      </x:c>
      <x:c r="Q129" s="38" t="n">
        <x:v>19.88</x:v>
      </x:c>
      <x:c r="R129" s="38" t="n">
        <x:v>43.7475</x:v>
      </x:c>
      <x:c r="S129" s="38" t="n">
        <x:v>82.03</x:v>
      </x:c>
      <x:c r="T129" s="40" t="n">
        <x:v>32.99</x:v>
      </x:c>
      <x:c r="U129" s="40" t="n">
        <x:v>1.43</x:v>
      </x:c>
      <x:c r="V129" s="38" t="n">
        <x:f>L129*(1-T129/100)*(1-U129/100)</x:f>
        <x:v>301.82614568178</x:v>
      </x:c>
      <x:c r="W129" s="38" t="n">
        <x:f>G129*N129</x:f>
        <x:v>223875.44004</x:v>
      </x:c>
      <x:c r="X129" s="38" t="n">
        <x:f>H129*O129</x:f>
        <x:v>28659.8741</x:v>
      </x:c>
      <x:c r="Y129" s="38" t="n">
        <x:f>I129*P129</x:f>
        <x:v>11752.4</x:v>
      </x:c>
      <x:c r="Z129" s="38" t="n">
        <x:f>J129*Q129+K129*P129</x:f>
        <x:v>174.53916</x:v>
      </x:c>
      <x:c r="AA129" s="38" t="n">
        <x:f>M129*R129</x:f>
        <x:v>26079.022185</x:v>
      </x:c>
      <x:c r="AB129" s="38" t="n">
        <x:f>SUM(W129:AA129)</x:f>
        <x:v>290541.275485</x:v>
      </x:c>
      <x:c r="AC129" s="38" t="n">
        <x:v>28.17</x:v>
      </x:c>
      <x:c r="AD129" s="38" t="n">
        <x:v>174.33</x:v>
      </x:c>
      <x:c r="AE129" s="38" t="n">
        <x:v>216.55</x:v>
      </x:c>
      <x:c r="AF129" s="38" t="n">
        <x:v>4.8148</x:v>
      </x:c>
      <x:c r="AG129" s="38" t="n">
        <x:v>5.69</x:v>
      </x:c>
      <x:c r="AH129" s="38" t="n">
        <x:f>IF(E129="Fason",L129*S129,0)</x:f>
        <x:v>0</x:v>
      </x:c>
      <x:c r="AI129" s="38" t="n">
        <x:f>IF(E129="Kurum içi",AC129*AD129+AE129*AF129+AB129*12%,0)</x:f>
        <x:v>40818.4740982</x:v>
      </x:c>
      <x:c r="AJ129" s="38" t="n">
        <x:f>V129*AG129</x:f>
        <x:v>1717.3907689293285</x:v>
      </x:c>
      <x:c r="AK129" s="38" t="n">
        <x:f>AB129*2%</x:f>
        <x:v>5810.8255097</x:v>
      </x:c>
      <x:c r="AL129" s="38" t="n">
        <x:f>AB129+AH129+AI129+AJ129+AK129</x:f>
        <x:v>338887.9658618293</x:v>
      </x:c>
      <x:c r="AM129" s="38" t="n">
        <x:f>AL129/V129</x:f>
        <x:v>1122.7919473189845</x:v>
      </x:c>
      <x:c r="AN129" s="40" t="n">
        <x:f>(W129+X129)/AL129*100</x:f>
        <x:v>74.51882025311077</x:v>
      </x:c>
      <x:c r="AO129" s="28" t="str">
        <x:v>R01-R20; ilgili satırdaki bölgesel fiyat ve maliyet varsayımları</x:v>
      </x:c>
      <x:c r="AP129" s="28" t="str">
        <x:v>Girdi miktarları, alım fiyatı değişimi, fason bedeli ve parti sonucu simüle edilmiştir; işletme kaydı değildir.</x:v>
      </x:c>
    </x:row>
    <x:row r="130" ht="22" customHeight="1">
      <x:c r="A130" t="str">
        <x:v>SUC-0129</x:v>
      </x:c>
      <x:c r="B130" s="36" t="n">
        <x:v>46274</x:v>
      </x:c>
      <x:c r="C130" t="str">
        <x:v>Güneydoğu Anadolu</x:v>
      </x:c>
      <x:c r="D130" t="str">
        <x:v>ERZURUM_CI</x:v>
      </x:c>
      <x:c r="E130" t="str">
        <x:v>Kurum içi</x:v>
      </x:c>
      <x:c r="F130" s="42" t="str">
        <x:v>SENTETİK/SİMÜLE — gerçek parti kaydı değildir</x:v>
      </x:c>
      <x:c r="G130" s="38" t="n">
        <x:v>103.968</x:v>
      </x:c>
      <x:c r="H130" s="38" t="n">
        <x:v>19.718</x:v>
      </x:c>
      <x:c r="I130" s="38" t="n">
        <x:v>6.041</x:v>
      </x:c>
      <x:c r="J130" s="38" t="n">
        <x:v>2.227</x:v>
      </x:c>
      <x:c r="K130" s="38" t="n">
        <x:v>0.291</x:v>
      </x:c>
      <x:c r="L130" s="38" t="n">
        <x:f>SUM(G130:K130)</x:f>
        <x:v>132.245</x:v>
      </x:c>
      <x:c r="M130" s="38" t="n">
        <x:v>162.91</x:v>
      </x:c>
      <x:c r="N130" s="38" t="n">
        <x:v>571.83</x:v>
      </x:c>
      <x:c r="O130" s="38" t="n">
        <x:v>447.7</x:v>
      </x:c>
      <x:c r="P130" s="38" t="n">
        <x:v>400</x:v>
      </x:c>
      <x:c r="Q130" s="38" t="n">
        <x:v>19.88</x:v>
      </x:c>
      <x:c r="R130" s="38" t="n">
        <x:v>43.7475</x:v>
      </x:c>
      <x:c r="S130" s="38" t="n">
        <x:v>75.49</x:v>
      </x:c>
      <x:c r="T130" s="40" t="n">
        <x:v>17.4</x:v>
      </x:c>
      <x:c r="U130" s="40" t="n">
        <x:v>1.48</x:v>
      </x:c>
      <x:c r="V130" s="38" t="n">
        <x:f>L130*(1-T130/100)*(1-U130/100)</x:f>
        <x:v>107.61770132400001</x:v>
      </x:c>
      <x:c r="W130" s="38" t="n">
        <x:f>G130*N130</x:f>
        <x:v>59452.021440000004</x:v>
      </x:c>
      <x:c r="X130" s="38" t="n">
        <x:f>H130*O130</x:f>
        <x:v>8827.748599999999</x:v>
      </x:c>
      <x:c r="Y130" s="38" t="n">
        <x:f>I130*P130</x:f>
        <x:v>2416.4</x:v>
      </x:c>
      <x:c r="Z130" s="38" t="n">
        <x:f>J130*Q130+K130*P130</x:f>
        <x:v>160.67275999999998</x:v>
      </x:c>
      <x:c r="AA130" s="38" t="n">
        <x:f>M130*R130</x:f>
        <x:v>7126.905225</x:v>
      </x:c>
      <x:c r="AB130" s="38" t="n">
        <x:f>SUM(W130:AA130)</x:f>
        <x:v>77983.748025</x:v>
      </x:c>
      <x:c r="AC130" s="38" t="n">
        <x:v>5.49</x:v>
      </x:c>
      <x:c r="AD130" s="38" t="n">
        <x:v>174.33</x:v>
      </x:c>
      <x:c r="AE130" s="38" t="n">
        <x:v>30.12</x:v>
      </x:c>
      <x:c r="AF130" s="38" t="n">
        <x:v>4.8148</x:v>
      </x:c>
      <x:c r="AG130" s="38" t="n">
        <x:v>5.81</x:v>
      </x:c>
      <x:c r="AH130" s="38" t="n">
        <x:f>IF(E130="Fason",L130*S130,0)</x:f>
        <x:v>0</x:v>
      </x:c>
      <x:c r="AI130" s="38" t="n">
        <x:f>IF(E130="Kurum içi",AC130*AD130+AE130*AF130+AB130*12%,0)</x:f>
        <x:v>10460.143238999999</x:v>
      </x:c>
      <x:c r="AJ130" s="38" t="n">
        <x:f>V130*AG130</x:f>
        <x:v>625.25884469244</x:v>
      </x:c>
      <x:c r="AK130" s="38" t="n">
        <x:f>AB130*2%</x:f>
        <x:v>1559.6749605</x:v>
      </x:c>
      <x:c r="AL130" s="38" t="n">
        <x:f>AB130+AH130+AI130+AJ130+AK130</x:f>
        <x:v>90628.82506919242</x:v>
      </x:c>
      <x:c r="AM130" s="38" t="n">
        <x:f>AL130/V130</x:f>
        <x:v>842.1367856235852</x:v>
      </x:c>
      <x:c r="AN130" s="40" t="n">
        <x:f>(W130+X130)/AL130*100</x:f>
        <x:v>75.34001460117179</x:v>
      </x:c>
      <x:c r="AO130" s="28" t="str">
        <x:v>R01-R20; ilgili satırdaki bölgesel fiyat ve maliyet varsayımları</x:v>
      </x:c>
      <x:c r="AP130" s="28" t="str">
        <x:v>Girdi miktarları, alım fiyatı değişimi, fason bedeli ve parti sonucu simüle edilmiştir; işletme kaydı değildir.</x:v>
      </x:c>
    </x:row>
    <x:row r="131" ht="22" customHeight="1">
      <x:c r="A131" t="str">
        <x:v>SUC-0130</x:v>
      </x:c>
      <x:c r="B131" s="36" t="n">
        <x:v>46269</x:v>
      </x:c>
      <x:c r="C131" t="str">
        <x:v>Doğu Anadolu</x:v>
      </x:c>
      <x:c r="D131" t="str">
        <x:v>MEB_STANDART</x:v>
      </x:c>
      <x:c r="E131" t="str">
        <x:v>Kurum içi</x:v>
      </x:c>
      <x:c r="F131" s="42" t="str">
        <x:v>SENTETİK/SİMÜLE — gerçek parti kaydı değildir</x:v>
      </x:c>
      <x:c r="G131" s="38" t="n">
        <x:v>185.763</x:v>
      </x:c>
      <x:c r="H131" s="38" t="n">
        <x:v>57.726</x:v>
      </x:c>
      <x:c r="I131" s="38" t="n">
        <x:v>12.137</x:v>
      </x:c>
      <x:c r="J131" s="38" t="n">
        <x:v>6.171</x:v>
      </x:c>
      <x:c r="K131" s="38" t="n">
        <x:v>3.038</x:v>
      </x:c>
      <x:c r="L131" s="38" t="n">
        <x:f>SUM(G131:K131)</x:f>
        <x:v>264.83500000000004</x:v>
      </x:c>
      <x:c r="M131" s="38" t="n">
        <x:v>319.03</x:v>
      </x:c>
      <x:c r="N131" s="38" t="n">
        <x:v>582.45</x:v>
      </x:c>
      <x:c r="O131" s="38" t="n">
        <x:v>449.05</x:v>
      </x:c>
      <x:c r="P131" s="38" t="n">
        <x:v>669.9</x:v>
      </x:c>
      <x:c r="Q131" s="38" t="n">
        <x:v>19.88</x:v>
      </x:c>
      <x:c r="R131" s="38" t="n">
        <x:v>43.7475</x:v>
      </x:c>
      <x:c r="S131" s="38" t="n">
        <x:v>66.43</x:v>
      </x:c>
      <x:c r="T131" s="40" t="n">
        <x:v>19.72</x:v>
      </x:c>
      <x:c r="U131" s="40" t="n">
        <x:v>1.33</x:v>
      </x:c>
      <x:c r="V131" s="38" t="n">
        <x:f>L131*(1-T131/100)*(1-U131/100)</x:f>
        <x:v>209.7818311446</x:v>
      </x:c>
      <x:c r="W131" s="38" t="n">
        <x:f>G131*N131</x:f>
        <x:v>108197.65935000002</x:v>
      </x:c>
      <x:c r="X131" s="38" t="n">
        <x:f>H131*O131</x:f>
        <x:v>25921.8603</x:v>
      </x:c>
      <x:c r="Y131" s="38" t="n">
        <x:f>I131*P131</x:f>
        <x:v>8130.5763</x:v>
      </x:c>
      <x:c r="Z131" s="38" t="n">
        <x:f>J131*Q131+K131*P131</x:f>
        <x:v>2157.8356799999997</x:v>
      </x:c>
      <x:c r="AA131" s="38" t="n">
        <x:f>M131*R131</x:f>
        <x:v>13956.764925</x:v>
      </x:c>
      <x:c r="AB131" s="38" t="n">
        <x:f>SUM(W131:AA131)</x:f>
        <x:v>158364.696555</x:v>
      </x:c>
      <x:c r="AC131" s="38" t="n">
        <x:v>13.66</x:v>
      </x:c>
      <x:c r="AD131" s="38" t="n">
        <x:v>174.33</x:v>
      </x:c>
      <x:c r="AE131" s="38" t="n">
        <x:v>70.85</x:v>
      </x:c>
      <x:c r="AF131" s="38" t="n">
        <x:v>4.8148</x:v>
      </x:c>
      <x:c r="AG131" s="38" t="n">
        <x:v>5.48</x:v>
      </x:c>
      <x:c r="AH131" s="38" t="n">
        <x:f>IF(E131="Fason",L131*S131,0)</x:f>
        <x:v>0</x:v>
      </x:c>
      <x:c r="AI131" s="38" t="n">
        <x:f>IF(E131="Kurum içi",AC131*AD131+AE131*AF131+AB131*12%,0)</x:f>
        <x:v>21726.2399666</x:v>
      </x:c>
      <x:c r="AJ131" s="38" t="n">
        <x:f>V131*AG131</x:f>
        <x:v>1149.6044346724082</x:v>
      </x:c>
      <x:c r="AK131" s="38" t="n">
        <x:f>AB131*2%</x:f>
        <x:v>3167.2939311</x:v>
      </x:c>
      <x:c r="AL131" s="38" t="n">
        <x:f>AB131+AH131+AI131+AJ131+AK131</x:f>
        <x:v>184407.8348873724</x:v>
      </x:c>
      <x:c r="AM131" s="38" t="n">
        <x:f>AL131/V131</x:f>
        <x:v>879.0457871457055</x:v>
      </x:c>
      <x:c r="AN131" s="40" t="n">
        <x:f>(W131+X131)/AL131*100</x:f>
        <x:v>72.72983804181308</x:v>
      </x:c>
      <x:c r="AO131" s="28" t="str">
        <x:v>R01-R20; ilgili satırdaki bölgesel fiyat ve maliyet varsayımları</x:v>
      </x:c>
      <x:c r="AP131" s="28" t="str">
        <x:v>Girdi miktarları, alım fiyatı değişimi, fason bedeli ve parti sonucu simüle edilmiştir; işletme kaydı değildir.</x:v>
      </x:c>
    </x:row>
    <x:row r="132" ht="22" customHeight="1">
      <x:c r="A132" t="str">
        <x:v>SUC-0131</x:v>
      </x:c>
      <x:c r="B132" s="36" t="n">
        <x:v>46303</x:v>
      </x:c>
      <x:c r="C132" t="str">
        <x:v>Doğu Anadolu</x:v>
      </x:c>
      <x:c r="D132" t="str">
        <x:v>MEB_STANDART</x:v>
      </x:c>
      <x:c r="E132" t="str">
        <x:v>Fason</x:v>
      </x:c>
      <x:c r="F132" s="42" t="str">
        <x:v>SENTETİK/SİMÜLE — gerçek parti kaydı değildir</x:v>
      </x:c>
      <x:c r="G132" s="38" t="n">
        <x:v>92.884</x:v>
      </x:c>
      <x:c r="H132" s="38" t="n">
        <x:v>29.633</x:v>
      </x:c>
      <x:c r="I132" s="38" t="n">
        <x:v>5.712</x:v>
      </x:c>
      <x:c r="J132" s="38" t="n">
        <x:v>3.197</x:v>
      </x:c>
      <x:c r="K132" s="38" t="n">
        <x:v>1.375</x:v>
      </x:c>
      <x:c r="L132" s="38" t="n">
        <x:f>SUM(G132:K132)</x:f>
        <x:v>132.801</x:v>
      </x:c>
      <x:c r="M132" s="38" t="n">
        <x:v>162.638</x:v>
      </x:c>
      <x:c r="N132" s="38" t="n">
        <x:v>585.21</x:v>
      </x:c>
      <x:c r="O132" s="38" t="n">
        <x:v>429.58</x:v>
      </x:c>
      <x:c r="P132" s="38" t="n">
        <x:v>400</x:v>
      </x:c>
      <x:c r="Q132" s="38" t="n">
        <x:v>19.88</x:v>
      </x:c>
      <x:c r="R132" s="38" t="n">
        <x:v>43.7475</x:v>
      </x:c>
      <x:c r="S132" s="38" t="n">
        <x:v>73.15</x:v>
      </x:c>
      <x:c r="T132" s="40" t="n">
        <x:v>20.75</x:v>
      </x:c>
      <x:c r="U132" s="40" t="n">
        <x:v>0.63</x:v>
      </x:c>
      <x:c r="V132" s="38" t="n">
        <x:f>L132*(1-T132/100)*(1-U132/100)</x:f>
        <x:v>104.58175030724999</x:v>
      </x:c>
      <x:c r="W132" s="38" t="n">
        <x:f>G132*N132</x:f>
        <x:v>54356.64564</x:v>
      </x:c>
      <x:c r="X132" s="38" t="n">
        <x:f>H132*O132</x:f>
        <x:v>12729.744139999999</x:v>
      </x:c>
      <x:c r="Y132" s="38" t="n">
        <x:f>I132*P132</x:f>
        <x:v>2284.7999999999997</x:v>
      </x:c>
      <x:c r="Z132" s="38" t="n">
        <x:f>J132*Q132+K132*P132</x:f>
        <x:v>613.55636</x:v>
      </x:c>
      <x:c r="AA132" s="38" t="n">
        <x:f>M132*R132</x:f>
        <x:v>7115.005905000001</x:v>
      </x:c>
      <x:c r="AB132" s="38" t="n">
        <x:f>SUM(W132:AA132)</x:f>
        <x:v>77099.752045</x:v>
      </x:c>
      <x:c r="AC132" s="38" t="n">
        <x:v>8.12</x:v>
      </x:c>
      <x:c r="AD132" s="38" t="n">
        <x:v>174.33</x:v>
      </x:c>
      <x:c r="AE132" s="38" t="n">
        <x:v>30.59</x:v>
      </x:c>
      <x:c r="AF132" s="38" t="n">
        <x:v>4.8148</x:v>
      </x:c>
      <x:c r="AG132" s="38" t="n">
        <x:v>5.88</x:v>
      </x:c>
      <x:c r="AH132" s="38" t="n">
        <x:f>IF(E132="Fason",L132*S132,0)</x:f>
        <x:v>9714.39315</x:v>
      </x:c>
      <x:c r="AI132" s="38" t="n">
        <x:f>IF(E132="Kurum içi",AC132*AD132+AE132*AF132+AB132*12%,0)</x:f>
        <x:v>0</x:v>
      </x:c>
      <x:c r="AJ132" s="38" t="n">
        <x:f>V132*AG132</x:f>
        <x:v>614.94069180663</x:v>
      </x:c>
      <x:c r="AK132" s="38" t="n">
        <x:f>AB132*2%</x:f>
        <x:v>1541.9950409</x:v>
      </x:c>
      <x:c r="AL132" s="38" t="n">
        <x:f>AB132+AH132+AI132+AJ132+AK132</x:f>
        <x:v>88971.08092770663</x:v>
      </x:c>
      <x:c r="AM132" s="38" t="n">
        <x:f>AL132/V132</x:f>
        <x:v>850.7323760246803</x:v>
      </x:c>
      <x:c r="AN132" s="40" t="n">
        <x:f>(W132+X132)/AL132*100</x:f>
        <x:v>75.40246682459774</x:v>
      </x:c>
      <x:c r="AO132" s="28" t="str">
        <x:v>R01-R20; ilgili satırdaki bölgesel fiyat ve maliyet varsayımları</x:v>
      </x:c>
      <x:c r="AP132" s="28" t="str">
        <x:v>Girdi miktarları, alım fiyatı değişimi, fason bedeli ve parti sonucu simüle edilmiştir; işletme kaydı değildir.</x:v>
      </x:c>
    </x:row>
    <x:row r="133" ht="22" customHeight="1">
      <x:c r="A133" t="str">
        <x:v>SUC-0132</x:v>
      </x:c>
      <x:c r="B133" s="36" t="n">
        <x:v>46270</x:v>
      </x:c>
      <x:c r="C133" t="str">
        <x:v>Akdeniz</x:v>
      </x:c>
      <x:c r="D133" t="str">
        <x:v>MEB_STANDART</x:v>
      </x:c>
      <x:c r="E133" t="str">
        <x:v>Fason</x:v>
      </x:c>
      <x:c r="F133" s="42" t="str">
        <x:v>SENTETİK/SİMÜLE — gerçek parti kaydı değildir</x:v>
      </x:c>
      <x:c r="G133" s="38" t="n">
        <x:v>132.704</x:v>
      </x:c>
      <x:c r="H133" s="38" t="n">
        <x:v>40.185</x:v>
      </x:c>
      <x:c r="I133" s="38" t="n">
        <x:v>8.009</x:v>
      </x:c>
      <x:c r="J133" s="38" t="n">
        <x:v>4.688</x:v>
      </x:c>
      <x:c r="K133" s="38" t="n">
        <x:v>1.855</x:v>
      </x:c>
      <x:c r="L133" s="38" t="n">
        <x:f>SUM(G133:K133)</x:f>
        <x:v>187.441</x:v>
      </x:c>
      <x:c r="M133" s="38" t="n">
        <x:v>227.545</x:v>
      </x:c>
      <x:c r="N133" s="38" t="n">
        <x:v>580.27</x:v>
      </x:c>
      <x:c r="O133" s="38" t="n">
        <x:v>433.24</x:v>
      </x:c>
      <x:c r="P133" s="38" t="n">
        <x:v>400</x:v>
      </x:c>
      <x:c r="Q133" s="38" t="n">
        <x:v>19.88</x:v>
      </x:c>
      <x:c r="R133" s="38" t="n">
        <x:v>43.7475</x:v>
      </x:c>
      <x:c r="S133" s="38" t="n">
        <x:v>105.18</x:v>
      </x:c>
      <x:c r="T133" s="40" t="n">
        <x:v>19.36</x:v>
      </x:c>
      <x:c r="U133" s="40" t="n">
        <x:v>1.41</x:v>
      </x:c>
      <x:c r="V133" s="38" t="n">
        <x:f>L133*(1-T133/100)*(1-U133/100)</x:f>
        <x:v>149.02117324416</x:v>
      </x:c>
      <x:c r="W133" s="38" t="n">
        <x:f>G133*N133</x:f>
        <x:v>77004.15008</x:v>
      </x:c>
      <x:c r="X133" s="38" t="n">
        <x:f>H133*O133</x:f>
        <x:v>17409.7494</x:v>
      </x:c>
      <x:c r="Y133" s="38" t="n">
        <x:f>I133*P133</x:f>
        <x:v>3203.6000000000004</x:v>
      </x:c>
      <x:c r="Z133" s="38" t="n">
        <x:f>J133*Q133+K133*P133</x:f>
        <x:v>835.19744</x:v>
      </x:c>
      <x:c r="AA133" s="38" t="n">
        <x:f>M133*R133</x:f>
        <x:v>9954.5248875</x:v>
      </x:c>
      <x:c r="AB133" s="38" t="n">
        <x:f>SUM(W133:AA133)</x:f>
        <x:v>108407.22180750001</x:v>
      </x:c>
      <x:c r="AC133" s="38" t="n">
        <x:v>10.87</x:v>
      </x:c>
      <x:c r="AD133" s="38" t="n">
        <x:v>174.33</x:v>
      </x:c>
      <x:c r="AE133" s="38" t="n">
        <x:v>67.01</x:v>
      </x:c>
      <x:c r="AF133" s="38" t="n">
        <x:v>4.8148</x:v>
      </x:c>
      <x:c r="AG133" s="38" t="n">
        <x:v>5.88</x:v>
      </x:c>
      <x:c r="AH133" s="38" t="n">
        <x:f>IF(E133="Fason",L133*S133,0)</x:f>
        <x:v>19715.044380000003</x:v>
      </x:c>
      <x:c r="AI133" s="38" t="n">
        <x:f>IF(E133="Kurum içi",AC133*AD133+AE133*AF133+AB133*12%,0)</x:f>
        <x:v>0</x:v>
      </x:c>
      <x:c r="AJ133" s="38" t="n">
        <x:f>V133*AG133</x:f>
        <x:v>876.2444986756608</x:v>
      </x:c>
      <x:c r="AK133" s="38" t="n">
        <x:f>AB133*2%</x:f>
        <x:v>2168.1444361500003</x:v>
      </x:c>
      <x:c r="AL133" s="38" t="n">
        <x:f>AB133+AH133+AI133+AJ133+AK133</x:f>
        <x:v>131166.65512232567</x:v>
      </x:c>
      <x:c r="AM133" s="38" t="n">
        <x:f>AL133/V133</x:f>
        <x:v>880.1880448721133</x:v>
      </x:c>
      <x:c r="AN133" s="40" t="n">
        <x:f>(W133+X133)/AL133*100</x:f>
        <x:v>71.98010759056854</x:v>
      </x:c>
      <x:c r="AO133" s="28" t="str">
        <x:v>R01-R20; ilgili satırdaki bölgesel fiyat ve maliyet varsayımları</x:v>
      </x:c>
      <x:c r="AP133" s="28" t="str">
        <x:v>Girdi miktarları, alım fiyatı değişimi, fason bedeli ve parti sonucu simüle edilmiştir; işletme kaydı değildir.</x:v>
      </x:c>
    </x:row>
    <x:row r="134" ht="22" customHeight="1">
      <x:c r="A134" t="str">
        <x:v>SUC-0133</x:v>
      </x:c>
      <x:c r="B134" s="36" t="n">
        <x:v>46283</x:v>
      </x:c>
      <x:c r="C134" t="str">
        <x:v>Marmara</x:v>
      </x:c>
      <x:c r="D134" t="str">
        <x:v>MEB_STANDART</x:v>
      </x:c>
      <x:c r="E134" t="str">
        <x:v>Fason</x:v>
      </x:c>
      <x:c r="F134" s="42" t="str">
        <x:v>SENTETİK/SİMÜLE — gerçek parti kaydı değildir</x:v>
      </x:c>
      <x:c r="G134" s="38" t="n">
        <x:v>45.988</x:v>
      </x:c>
      <x:c r="H134" s="38" t="n">
        <x:v>14.277</x:v>
      </x:c>
      <x:c r="I134" s="38" t="n">
        <x:v>3.003</x:v>
      </x:c>
      <x:c r="J134" s="38" t="n">
        <x:v>1.684</x:v>
      </x:c>
      <x:c r="K134" s="38" t="n">
        <x:v>0.722</x:v>
      </x:c>
      <x:c r="L134" s="38" t="n">
        <x:f>SUM(G134:K134)</x:f>
        <x:v>65.67399999999999</x:v>
      </x:c>
      <x:c r="M134" s="38" t="n">
        <x:v>79.657</x:v>
      </x:c>
      <x:c r="N134" s="38" t="n">
        <x:v>599.09</x:v>
      </x:c>
      <x:c r="O134" s="38" t="n">
        <x:v>442.89</x:v>
      </x:c>
      <x:c r="P134" s="38" t="n">
        <x:v>400</x:v>
      </x:c>
      <x:c r="Q134" s="38" t="n">
        <x:v>19.88</x:v>
      </x:c>
      <x:c r="R134" s="38" t="n">
        <x:v>43.7475</x:v>
      </x:c>
      <x:c r="S134" s="38" t="n">
        <x:v>85.47</x:v>
      </x:c>
      <x:c r="T134" s="40" t="n">
        <x:v>26.96</x:v>
      </x:c>
      <x:c r="U134" s="40" t="n">
        <x:v>0.88</x:v>
      </x:c>
      <x:c r="V134" s="38" t="n">
        <x:f>L134*(1-T134/100)*(1-U134/100)</x:f>
        <x:v>47.54616865151999</x:v>
      </x:c>
      <x:c r="W134" s="38" t="n">
        <x:f>G134*N134</x:f>
        <x:v>27550.950920000003</x:v>
      </x:c>
      <x:c r="X134" s="38" t="n">
        <x:f>H134*O134</x:f>
        <x:v>6323.14053</x:v>
      </x:c>
      <x:c r="Y134" s="38" t="n">
        <x:f>I134*P134</x:f>
        <x:v>1201.2</x:v>
      </x:c>
      <x:c r="Z134" s="38" t="n">
        <x:f>J134*Q134+K134*P134</x:f>
        <x:v>322.27792</x:v>
      </x:c>
      <x:c r="AA134" s="38" t="n">
        <x:f>M134*R134</x:f>
        <x:v>3484.7946075</x:v>
      </x:c>
      <x:c r="AB134" s="38" t="n">
        <x:f>SUM(W134:AA134)</x:f>
        <x:v>38882.3639775</x:v>
      </x:c>
      <x:c r="AC134" s="38" t="n">
        <x:v>2.66</x:v>
      </x:c>
      <x:c r="AD134" s="38" t="n">
        <x:v>174.33</x:v>
      </x:c>
      <x:c r="AE134" s="38" t="n">
        <x:v>29.37</x:v>
      </x:c>
      <x:c r="AF134" s="38" t="n">
        <x:v>4.8148</x:v>
      </x:c>
      <x:c r="AG134" s="38" t="n">
        <x:v>5.79</x:v>
      </x:c>
      <x:c r="AH134" s="38" t="n">
        <x:f>IF(E134="Fason",L134*S134,0)</x:f>
        <x:v>5613.156779999999</x:v>
      </x:c>
      <x:c r="AI134" s="38" t="n">
        <x:f>IF(E134="Kurum içi",AC134*AD134+AE134*AF134+AB134*12%,0)</x:f>
        <x:v>0</x:v>
      </x:c>
      <x:c r="AJ134" s="38" t="n">
        <x:f>V134*AG134</x:f>
        <x:v>275.29231649230076</x:v>
      </x:c>
      <x:c r="AK134" s="38" t="n">
        <x:f>AB134*2%</x:f>
        <x:v>777.64727955</x:v>
      </x:c>
      <x:c r="AL134" s="38" t="n">
        <x:f>AB134+AH134+AI134+AJ134+AK134</x:f>
        <x:v>45548.460353542294</x:v>
      </x:c>
      <x:c r="AM134" s="38" t="n">
        <x:f>AL134/V134</x:f>
        <x:v>957.9838217329456</x:v>
      </x:c>
      <x:c r="AN134" s="40" t="n">
        <x:f>(W134+X134)/AL134*100</x:f>
        <x:v>74.36934462125154</x:v>
      </x:c>
      <x:c r="AO134" s="28" t="str">
        <x:v>R01-R20; ilgili satırdaki bölgesel fiyat ve maliyet varsayımları</x:v>
      </x:c>
      <x:c r="AP134" s="28" t="str">
        <x:v>Girdi miktarları, alım fiyatı değişimi, fason bedeli ve parti sonucu simüle edilmiştir; işletme kaydı değildir.</x:v>
      </x:c>
    </x:row>
    <x:row r="135" ht="22" customHeight="1">
      <x:c r="A135" t="str">
        <x:v>SUC-0134</x:v>
      </x:c>
      <x:c r="B135" s="36" t="n">
        <x:v>46270</x:v>
      </x:c>
      <x:c r="C135" t="str">
        <x:v>Ege</x:v>
      </x:c>
      <x:c r="D135" t="str">
        <x:v>MEB_STANDART</x:v>
      </x:c>
      <x:c r="E135" t="str">
        <x:v>Kurum içi</x:v>
      </x:c>
      <x:c r="F135" s="42" t="str">
        <x:v>SENTETİK/SİMÜLE — gerçek parti kaydı değildir</x:v>
      </x:c>
      <x:c r="G135" s="38" t="n">
        <x:v>245.247</x:v>
      </x:c>
      <x:c r="H135" s="38" t="n">
        <x:v>79.57</x:v>
      </x:c>
      <x:c r="I135" s="38" t="n">
        <x:v>14.774</x:v>
      </x:c>
      <x:c r="J135" s="38" t="n">
        <x:v>8.983</x:v>
      </x:c>
      <x:c r="K135" s="38" t="n">
        <x:v>3.594</x:v>
      </x:c>
      <x:c r="L135" s="38" t="n">
        <x:f>SUM(G135:K135)</x:f>
        <x:v>352.168</x:v>
      </x:c>
      <x:c r="M135" s="38" t="n">
        <x:v>436.651</x:v>
      </x:c>
      <x:c r="N135" s="38" t="n">
        <x:v>585.22</x:v>
      </x:c>
      <x:c r="O135" s="38" t="n">
        <x:v>438.53</x:v>
      </x:c>
      <x:c r="P135" s="38" t="n">
        <x:v>400</x:v>
      </x:c>
      <x:c r="Q135" s="38" t="n">
        <x:v>19.88</x:v>
      </x:c>
      <x:c r="R135" s="38" t="n">
        <x:v>43.7475</x:v>
      </x:c>
      <x:c r="S135" s="38" t="n">
        <x:v>96.13</x:v>
      </x:c>
      <x:c r="T135" s="40" t="n">
        <x:v>23.28</x:v>
      </x:c>
      <x:c r="U135" s="40" t="n">
        <x:v>0.8</x:v>
      </x:c>
      <x:c r="V135" s="38" t="n">
        <x:f>L135*(1-T135/100)*(1-U135/100)</x:f>
        <x:v>268.02182328320004</x:v>
      </x:c>
      <x:c r="W135" s="38" t="n">
        <x:f>G135*N135</x:f>
        <x:v>143523.44934000002</x:v>
      </x:c>
      <x:c r="X135" s="38" t="n">
        <x:f>H135*O135</x:f>
        <x:v>34893.83209999999</x:v>
      </x:c>
      <x:c r="Y135" s="38" t="n">
        <x:f>I135*P135</x:f>
        <x:v>5909.599999999999</x:v>
      </x:c>
      <x:c r="Z135" s="38" t="n">
        <x:f>J135*Q135+K135*P135</x:f>
        <x:v>1616.18204</x:v>
      </x:c>
      <x:c r="AA135" s="38" t="n">
        <x:f>M135*R135</x:f>
        <x:v>19102.389622500003</x:v>
      </x:c>
      <x:c r="AB135" s="38" t="n">
        <x:f>SUM(W135:AA135)</x:f>
        <x:v>205045.45310250003</x:v>
      </x:c>
      <x:c r="AC135" s="38" t="n">
        <x:v>20.51</x:v>
      </x:c>
      <x:c r="AD135" s="38" t="n">
        <x:v>174.33</x:v>
      </x:c>
      <x:c r="AE135" s="38" t="n">
        <x:v>83.32</x:v>
      </x:c>
      <x:c r="AF135" s="38" t="n">
        <x:v>4.8148</x:v>
      </x:c>
      <x:c r="AG135" s="38" t="n">
        <x:v>5.32</x:v>
      </x:c>
      <x:c r="AH135" s="38" t="n">
        <x:f>IF(E135="Fason",L135*S135,0)</x:f>
        <x:v>0</x:v>
      </x:c>
      <x:c r="AI135" s="38" t="n">
        <x:f>IF(E135="Kurum içi",AC135*AD135+AE135*AF135+AB135*12%,0)</x:f>
        <x:v>28582.131808300004</x:v>
      </x:c>
      <x:c r="AJ135" s="38" t="n">
        <x:f>V135*AG135</x:f>
        <x:v>1425.8760998666244</x:v>
      </x:c>
      <x:c r="AK135" s="38" t="n">
        <x:f>AB135*2%</x:f>
        <x:v>4100.909062050001</x:v>
      </x:c>
      <x:c r="AL135" s="38" t="n">
        <x:f>AB135+AH135+AI135+AJ135+AK135</x:f>
        <x:v>239154.37007271664</x:v>
      </x:c>
      <x:c r="AM135" s="38" t="n">
        <x:f>AL135/V135</x:f>
        <x:v>892.2943928338956</x:v>
      </x:c>
      <x:c r="AN135" s="40" t="n">
        <x:f>(W135+X135)/AL135*100</x:f>
        <x:v>74.6033958675942</x:v>
      </x:c>
      <x:c r="AO135" s="28" t="str">
        <x:v>R01-R20; ilgili satırdaki bölgesel fiyat ve maliyet varsayımları</x:v>
      </x:c>
      <x:c r="AP135" s="28" t="str">
        <x:v>Girdi miktarları, alım fiyatı değişimi, fason bedeli ve parti sonucu simüle edilmiştir; işletme kaydı değildir.</x:v>
      </x:c>
    </x:row>
    <x:row r="136" ht="22" customHeight="1">
      <x:c r="A136" t="str">
        <x:v>SUC-0135</x:v>
      </x:c>
      <x:c r="B136" s="36" t="n">
        <x:v>46275</x:v>
      </x:c>
      <x:c r="C136" t="str">
        <x:v>Ege</x:v>
      </x:c>
      <x:c r="D136" t="str">
        <x:v>ERZURUM_CI</x:v>
      </x:c>
      <x:c r="E136" t="str">
        <x:v>Kurum içi</x:v>
      </x:c>
      <x:c r="F136" s="42" t="str">
        <x:v>SENTETİK/SİMÜLE — gerçek parti kaydı değildir</x:v>
      </x:c>
      <x:c r="G136" s="38" t="n">
        <x:v>105.715</x:v>
      </x:c>
      <x:c r="H136" s="38" t="n">
        <x:v>18.955</x:v>
      </x:c>
      <x:c r="I136" s="38" t="n">
        <x:v>5.79</x:v>
      </x:c>
      <x:c r="J136" s="38" t="n">
        <x:v>1.857</x:v>
      </x:c>
      <x:c r="K136" s="38" t="n">
        <x:v>0.062</x:v>
      </x:c>
      <x:c r="L136" s="38" t="n">
        <x:f>SUM(G136:K136)</x:f>
        <x:v>132.37900000000002</x:v>
      </x:c>
      <x:c r="M136" s="38" t="n">
        <x:v>157.077</x:v>
      </x:c>
      <x:c r="N136" s="38" t="n">
        <x:v>595.44</x:v>
      </x:c>
      <x:c r="O136" s="38" t="n">
        <x:v>437.16</x:v>
      </x:c>
      <x:c r="P136" s="38" t="n">
        <x:v>669.9</x:v>
      </x:c>
      <x:c r="Q136" s="38" t="n">
        <x:v>19.88</x:v>
      </x:c>
      <x:c r="R136" s="38" t="n">
        <x:v>43.7475</x:v>
      </x:c>
      <x:c r="S136" s="38" t="n">
        <x:v>76.46</x:v>
      </x:c>
      <x:c r="T136" s="40" t="n">
        <x:v>23.74</x:v>
      </x:c>
      <x:c r="U136" s="40" t="n">
        <x:v>0.72</x:v>
      </x:c>
      <x:c r="V136" s="38" t="n">
        <x:f>L136*(1-T136/100)*(1-U136/100)</x:f>
        <x:v>100.22536937712002</x:v>
      </x:c>
      <x:c r="W136" s="38" t="n">
        <x:f>G136*N136</x:f>
        <x:v>62946.939600000005</x:v>
      </x:c>
      <x:c r="X136" s="38" t="n">
        <x:f>H136*O136</x:f>
        <x:v>8286.3678</x:v>
      </x:c>
      <x:c r="Y136" s="38" t="n">
        <x:f>I136*P136</x:f>
        <x:v>3878.721</x:v>
      </x:c>
      <x:c r="Z136" s="38" t="n">
        <x:f>J136*Q136+K136*P136</x:f>
        <x:v>78.45096</x:v>
      </x:c>
      <x:c r="AA136" s="38" t="n">
        <x:f>M136*R136</x:f>
        <x:v>6871.7260575</x:v>
      </x:c>
      <x:c r="AB136" s="38" t="n">
        <x:f>SUM(W136:AA136)</x:f>
        <x:v>82062.20541750001</x:v>
      </x:c>
      <x:c r="AC136" s="38" t="n">
        <x:v>7.78</x:v>
      </x:c>
      <x:c r="AD136" s="38" t="n">
        <x:v>174.33</x:v>
      </x:c>
      <x:c r="AE136" s="38" t="n">
        <x:v>30.74</x:v>
      </x:c>
      <x:c r="AF136" s="38" t="n">
        <x:v>4.8148</x:v>
      </x:c>
      <x:c r="AG136" s="38" t="n">
        <x:v>5.4</x:v>
      </x:c>
      <x:c r="AH136" s="38" t="n">
        <x:f>IF(E136="Fason",L136*S136,0)</x:f>
        <x:v>0</x:v>
      </x:c>
      <x:c r="AI136" s="38" t="n">
        <x:f>IF(E136="Kurum içi",AC136*AD136+AE136*AF136+AB136*12%,0)</x:f>
        <x:v>11351.759002100001</x:v>
      </x:c>
      <x:c r="AJ136" s="38" t="n">
        <x:f>V136*AG136</x:f>
        <x:v>541.2169946364481</x:v>
      </x:c>
      <x:c r="AK136" s="38" t="n">
        <x:f>AB136*2%</x:f>
        <x:v>1641.2441083500003</x:v>
      </x:c>
      <x:c r="AL136" s="38" t="n">
        <x:f>AB136+AH136+AI136+AJ136+AK136</x:f>
        <x:v>95596.42552258646</x:v>
      </x:c>
      <x:c r="AM136" s="38" t="n">
        <x:f>AL136/V136</x:f>
        <x:v>953.8146490923258</x:v>
      </x:c>
      <x:c r="AN136" s="40" t="n">
        <x:f>(W136+X136)/AL136*100</x:f>
        <x:v>74.51461392054851</x:v>
      </x:c>
      <x:c r="AO136" s="28" t="str">
        <x:v>R01-R20; ilgili satırdaki bölgesel fiyat ve maliyet varsayımları</x:v>
      </x:c>
      <x:c r="AP136" s="28" t="str">
        <x:v>Girdi miktarları, alım fiyatı değişimi, fason bedeli ve parti sonucu simüle edilmiştir; işletme kaydı değildir.</x:v>
      </x:c>
    </x:row>
    <x:row r="137" ht="22" customHeight="1">
      <x:c r="A137" t="str">
        <x:v>SUC-0136</x:v>
      </x:c>
      <x:c r="B137" s="36" t="n">
        <x:v>46302</x:v>
      </x:c>
      <x:c r="C137" t="str">
        <x:v>Ege</x:v>
      </x:c>
      <x:c r="D137" t="str">
        <x:v>MEB_STANDART</x:v>
      </x:c>
      <x:c r="E137" t="str">
        <x:v>Fason</x:v>
      </x:c>
      <x:c r="F137" s="42" t="str">
        <x:v>SENTETİK/SİMÜLE — gerçek parti kaydı değildir</x:v>
      </x:c>
      <x:c r="G137" s="38" t="n">
        <x:v>317.066</x:v>
      </x:c>
      <x:c r="H137" s="38" t="n">
        <x:v>96.916</x:v>
      </x:c>
      <x:c r="I137" s="38" t="n">
        <x:v>19.866</x:v>
      </x:c>
      <x:c r="J137" s="38" t="n">
        <x:v>11.058</x:v>
      </x:c>
      <x:c r="K137" s="38" t="n">
        <x:v>5.17</x:v>
      </x:c>
      <x:c r="L137" s="38" t="n">
        <x:f>SUM(G137:K137)</x:f>
        <x:v>450.07599999999996</x:v>
      </x:c>
      <x:c r="M137" s="38" t="n">
        <x:v>527.058</x:v>
      </x:c>
      <x:c r="N137" s="38" t="n">
        <x:v>597.4</x:v>
      </x:c>
      <x:c r="O137" s="38" t="n">
        <x:v>436.33</x:v>
      </x:c>
      <x:c r="P137" s="38" t="n">
        <x:v>550</x:v>
      </x:c>
      <x:c r="Q137" s="38" t="n">
        <x:v>19.88</x:v>
      </x:c>
      <x:c r="R137" s="38" t="n">
        <x:v>43.7475</x:v>
      </x:c>
      <x:c r="S137" s="38" t="n">
        <x:v>87.85</x:v>
      </x:c>
      <x:c r="T137" s="40" t="n">
        <x:v>16.5</x:v>
      </x:c>
      <x:c r="U137" s="40" t="n">
        <x:v>1.47</x:v>
      </x:c>
      <x:c r="V137" s="38" t="n">
        <x:f>L137*(1-T137/100)*(1-U137/100)</x:f>
        <x:v>370.28900213799994</x:v>
      </x:c>
      <x:c r="W137" s="38" t="n">
        <x:f>G137*N137</x:f>
        <x:v>189415.22839999996</x:v>
      </x:c>
      <x:c r="X137" s="38" t="n">
        <x:f>H137*O137</x:f>
        <x:v>42287.35828</x:v>
      </x:c>
      <x:c r="Y137" s="38" t="n">
        <x:f>I137*P137</x:f>
        <x:v>10926.3</x:v>
      </x:c>
      <x:c r="Z137" s="38" t="n">
        <x:f>J137*Q137+K137*P137</x:f>
        <x:v>3063.33304</x:v>
      </x:c>
      <x:c r="AA137" s="38" t="n">
        <x:f>M137*R137</x:f>
        <x:v>23057.469855</x:v>
      </x:c>
      <x:c r="AB137" s="38" t="n">
        <x:f>SUM(W137:AA137)</x:f>
        <x:v>268749.6895749999</x:v>
      </x:c>
      <x:c r="AC137" s="38" t="n">
        <x:v>20.54</x:v>
      </x:c>
      <x:c r="AD137" s="38" t="n">
        <x:v>174.33</x:v>
      </x:c>
      <x:c r="AE137" s="38" t="n">
        <x:v>169.03</x:v>
      </x:c>
      <x:c r="AF137" s="38" t="n">
        <x:v>4.8148</x:v>
      </x:c>
      <x:c r="AG137" s="38" t="n">
        <x:v>5.72</x:v>
      </x:c>
      <x:c r="AH137" s="38" t="n">
        <x:f>IF(E137="Fason",L137*S137,0)</x:f>
        <x:v>39539.17659999999</x:v>
      </x:c>
      <x:c r="AI137" s="38" t="n">
        <x:f>IF(E137="Kurum içi",AC137*AD137+AE137*AF137+AB137*12%,0)</x:f>
        <x:v>0</x:v>
      </x:c>
      <x:c r="AJ137" s="38" t="n">
        <x:f>V137*AG137</x:f>
        <x:v>2118.0530922293597</x:v>
      </x:c>
      <x:c r="AK137" s="38" t="n">
        <x:f>AB137*2%</x:f>
        <x:v>5374.993791499998</x:v>
      </x:c>
      <x:c r="AL137" s="38" t="n">
        <x:f>AB137+AH137+AI137+AJ137+AK137</x:f>
        <x:v>315781.91305872926</x:v>
      </x:c>
      <x:c r="AM137" s="38" t="n">
        <x:f>AL137/V137</x:f>
        <x:v>852.7985201705859</x:v>
      </x:c>
      <x:c r="AN137" s="40" t="n">
        <x:f>(W137+X137)/AL137*100</x:f>
        <x:v>73.37424250669727</x:v>
      </x:c>
      <x:c r="AO137" s="28" t="str">
        <x:v>R01-R20; ilgili satırdaki bölgesel fiyat ve maliyet varsayımları</x:v>
      </x:c>
      <x:c r="AP137" s="28" t="str">
        <x:v>Girdi miktarları, alım fiyatı değişimi, fason bedeli ve parti sonucu simüle edilmiştir; işletme kaydı değildir.</x:v>
      </x:c>
    </x:row>
    <x:row r="138" ht="22" customHeight="1">
      <x:c r="A138" t="str">
        <x:v>SUC-0137</x:v>
      </x:c>
      <x:c r="B138" s="36" t="n">
        <x:v>46287</x:v>
      </x:c>
      <x:c r="C138" t="str">
        <x:v>Doğu Anadolu</x:v>
      </x:c>
      <x:c r="D138" t="str">
        <x:v>MEB_STANDART</x:v>
      </x:c>
      <x:c r="E138" t="str">
        <x:v>Kurum içi</x:v>
      </x:c>
      <x:c r="F138" s="42" t="str">
        <x:v>SENTETİK/SİMÜLE — gerçek parti kaydı değildir</x:v>
      </x:c>
      <x:c r="G138" s="38" t="n">
        <x:v>98.456</x:v>
      </x:c>
      <x:c r="H138" s="38" t="n">
        <x:v>31.027</x:v>
      </x:c>
      <x:c r="I138" s="38" t="n">
        <x:v>6.483</x:v>
      </x:c>
      <x:c r="J138" s="38" t="n">
        <x:v>3.348</x:v>
      </x:c>
      <x:c r="K138" s="38" t="n">
        <x:v>1.56</x:v>
      </x:c>
      <x:c r="L138" s="38" t="n">
        <x:f>SUM(G138:K138)</x:f>
        <x:v>140.87400000000002</x:v>
      </x:c>
      <x:c r="M138" s="38" t="n">
        <x:v>173.026</x:v>
      </x:c>
      <x:c r="N138" s="38" t="n">
        <x:v>596.15</x:v>
      </x:c>
      <x:c r="O138" s="38" t="n">
        <x:v>425.02</x:v>
      </x:c>
      <x:c r="P138" s="38" t="n">
        <x:v>669.9</x:v>
      </x:c>
      <x:c r="Q138" s="38" t="n">
        <x:v>19.88</x:v>
      </x:c>
      <x:c r="R138" s="38" t="n">
        <x:v>43.7475</x:v>
      </x:c>
      <x:c r="S138" s="38" t="n">
        <x:v>74.89</x:v>
      </x:c>
      <x:c r="T138" s="40" t="n">
        <x:v>19.97</x:v>
      </x:c>
      <x:c r="U138" s="40" t="n">
        <x:v>0.59</x:v>
      </x:c>
      <x:c r="V138" s="38" t="n">
        <x:f>L138*(1-T138/100)*(1-U138/100)</x:f>
        <x:v>112.07628757302001</x:v>
      </x:c>
      <x:c r="W138" s="38" t="n">
        <x:f>G138*N138</x:f>
        <x:v>58694.5444</x:v>
      </x:c>
      <x:c r="X138" s="38" t="n">
        <x:f>H138*O138</x:f>
        <x:v>13187.09554</x:v>
      </x:c>
      <x:c r="Y138" s="38" t="n">
        <x:f>I138*P138</x:f>
        <x:v>4342.9617</x:v>
      </x:c>
      <x:c r="Z138" s="38" t="n">
        <x:f>J138*Q138+K138*P138</x:f>
        <x:v>1111.6022400000002</x:v>
      </x:c>
      <x:c r="AA138" s="38" t="n">
        <x:f>M138*R138</x:f>
        <x:v>7569.454935000001</x:v>
      </x:c>
      <x:c r="AB138" s="38" t="n">
        <x:f>SUM(W138:AA138)</x:f>
        <x:v>84905.65881499999</x:v>
      </x:c>
      <x:c r="AC138" s="38" t="n">
        <x:v>6.29</x:v>
      </x:c>
      <x:c r="AD138" s="38" t="n">
        <x:v>174.33</x:v>
      </x:c>
      <x:c r="AE138" s="38" t="n">
        <x:v>55.67</x:v>
      </x:c>
      <x:c r="AF138" s="38" t="n">
        <x:v>4.8148</x:v>
      </x:c>
      <x:c r="AG138" s="38" t="n">
        <x:v>5.78</x:v>
      </x:c>
      <x:c r="AH138" s="38" t="n">
        <x:f>IF(E138="Fason",L138*S138,0)</x:f>
        <x:v>0</x:v>
      </x:c>
      <x:c r="AI138" s="38" t="n">
        <x:f>IF(E138="Kurum içi",AC138*AD138+AE138*AF138+AB138*12%,0)</x:f>
        <x:v>11553.254673799998</x:v>
      </x:c>
      <x:c r="AJ138" s="38" t="n">
        <x:f>V138*AG138</x:f>
        <x:v>647.8009421720557</x:v>
      </x:c>
      <x:c r="AK138" s="38" t="n">
        <x:f>AB138*2%</x:f>
        <x:v>1698.1131762999999</x:v>
      </x:c>
      <x:c r="AL138" s="38" t="n">
        <x:f>AB138+AH138+AI138+AJ138+AK138</x:f>
        <x:v>98804.82760727203</x:v>
      </x:c>
      <x:c r="AM138" s="38" t="n">
        <x:f>AL138/V138</x:f>
        <x:v>881.5854784884684</x:v>
      </x:c>
      <x:c r="AN138" s="40" t="n">
        <x:f>(W138+X138)/AL138*100</x:f>
        <x:v>72.75114149858555</x:v>
      </x:c>
      <x:c r="AO138" s="28" t="str">
        <x:v>R01-R20; ilgili satırdaki bölgesel fiyat ve maliyet varsayımları</x:v>
      </x:c>
      <x:c r="AP138" s="28" t="str">
        <x:v>Girdi miktarları, alım fiyatı değişimi, fason bedeli ve parti sonucu simüle edilmiştir; işletme kaydı değildir.</x:v>
      </x:c>
    </x:row>
    <x:row r="139" ht="22" customHeight="1">
      <x:c r="A139" t="str">
        <x:v>SUC-0138</x:v>
      </x:c>
      <x:c r="B139" s="36" t="n">
        <x:v>46309</x:v>
      </x:c>
      <x:c r="C139" t="str">
        <x:v>Marmara</x:v>
      </x:c>
      <x:c r="D139" t="str">
        <x:v>MEB_STANDART</x:v>
      </x:c>
      <x:c r="E139" t="str">
        <x:v>Fason</x:v>
      </x:c>
      <x:c r="F139" s="42" t="str">
        <x:v>SENTETİK/SİMÜLE — gerçek parti kaydı değildir</x:v>
      </x:c>
      <x:c r="G139" s="38" t="n">
        <x:v>194.091</x:v>
      </x:c>
      <x:c r="H139" s="38" t="n">
        <x:v>58.423</x:v>
      </x:c>
      <x:c r="I139" s="38" t="n">
        <x:v>11.934</x:v>
      </x:c>
      <x:c r="J139" s="38" t="n">
        <x:v>6.704</x:v>
      </x:c>
      <x:c r="K139" s="38" t="n">
        <x:v>2.521</x:v>
      </x:c>
      <x:c r="L139" s="38" t="n">
        <x:f>SUM(G139:K139)</x:f>
        <x:v>273.67300000000006</x:v>
      </x:c>
      <x:c r="M139" s="38" t="n">
        <x:v>337.289</x:v>
      </x:c>
      <x:c r="N139" s="38" t="n">
        <x:v>624.58</x:v>
      </x:c>
      <x:c r="O139" s="38" t="n">
        <x:v>437.43</x:v>
      </x:c>
      <x:c r="P139" s="38" t="n">
        <x:v>669.9</x:v>
      </x:c>
      <x:c r="Q139" s="38" t="n">
        <x:v>19.88</x:v>
      </x:c>
      <x:c r="R139" s="38" t="n">
        <x:v>43.7475</x:v>
      </x:c>
      <x:c r="S139" s="38" t="n">
        <x:v>74.65</x:v>
      </x:c>
      <x:c r="T139" s="40" t="n">
        <x:v>25.92</x:v>
      </x:c>
      <x:c r="U139" s="40" t="n">
        <x:v>1.26</x:v>
      </x:c>
      <x:c r="V139" s="38" t="n">
        <x:f>L139*(1-T139/100)*(1-U139/100)</x:f>
        <x:v>200.18247272416002</x:v>
      </x:c>
      <x:c r="W139" s="38" t="n">
        <x:f>G139*N139</x:f>
        <x:v>121225.35678000002</x:v>
      </x:c>
      <x:c r="X139" s="38" t="n">
        <x:f>H139*O139</x:f>
        <x:v>25555.97289</x:v>
      </x:c>
      <x:c r="Y139" s="38" t="n">
        <x:f>I139*P139</x:f>
        <x:v>7994.5866</x:v>
      </x:c>
      <x:c r="Z139" s="38" t="n">
        <x:f>J139*Q139+K139*P139</x:f>
        <x:v>1822.0934199999997</x:v>
      </x:c>
      <x:c r="AA139" s="38" t="n">
        <x:f>M139*R139</x:f>
        <x:v>14755.5505275</x:v>
      </x:c>
      <x:c r="AB139" s="38" t="n">
        <x:f>SUM(W139:AA139)</x:f>
        <x:v>171353.5602175</x:v>
      </x:c>
      <x:c r="AC139" s="38" t="n">
        <x:v>11.97</x:v>
      </x:c>
      <x:c r="AD139" s="38" t="n">
        <x:v>174.33</x:v>
      </x:c>
      <x:c r="AE139" s="38" t="n">
        <x:v>91.13</x:v>
      </x:c>
      <x:c r="AF139" s="38" t="n">
        <x:v>4.8148</x:v>
      </x:c>
      <x:c r="AG139" s="38" t="n">
        <x:v>5.23</x:v>
      </x:c>
      <x:c r="AH139" s="38" t="n">
        <x:f>IF(E139="Fason",L139*S139,0)</x:f>
        <x:v>20429.689450000005</x:v>
      </x:c>
      <x:c r="AI139" s="38" t="n">
        <x:f>IF(E139="Kurum içi",AC139*AD139+AE139*AF139+AB139*12%,0)</x:f>
        <x:v>0</x:v>
      </x:c>
      <x:c r="AJ139" s="38" t="n">
        <x:f>V139*AG139</x:f>
        <x:v>1046.954332347357</x:v>
      </x:c>
      <x:c r="AK139" s="38" t="n">
        <x:f>AB139*2%</x:f>
        <x:v>3427.07120435</x:v>
      </x:c>
      <x:c r="AL139" s="38" t="n">
        <x:f>AB139+AH139+AI139+AJ139+AK139</x:f>
        <x:v>196257.27520419736</x:v>
      </x:c>
      <x:c r="AM139" s="38" t="n">
        <x:f>AL139/V139</x:f>
        <x:v>980.3919021153697</x:v>
      </x:c>
      <x:c r="AN139" s="40" t="n">
        <x:f>(W139+X139)/AL139*100</x:f>
        <x:v>74.79026166916883</x:v>
      </x:c>
      <x:c r="AO139" s="28" t="str">
        <x:v>R01-R20; ilgili satırdaki bölgesel fiyat ve maliyet varsayımları</x:v>
      </x:c>
      <x:c r="AP139" s="28" t="str">
        <x:v>Girdi miktarları, alım fiyatı değişimi, fason bedeli ve parti sonucu simüle edilmiştir; işletme kaydı değildir.</x:v>
      </x:c>
    </x:row>
    <x:row r="140" ht="22" customHeight="1">
      <x:c r="A140" t="str">
        <x:v>SUC-0139</x:v>
      </x:c>
      <x:c r="B140" s="36" t="n">
        <x:v>46299</x:v>
      </x:c>
      <x:c r="C140" t="str">
        <x:v>Güneydoğu Anadolu</x:v>
      </x:c>
      <x:c r="D140" t="str">
        <x:v>ERZURUM_CI</x:v>
      </x:c>
      <x:c r="E140" t="str">
        <x:v>Fason</x:v>
      </x:c>
      <x:c r="F140" s="42" t="str">
        <x:v>SENTETİK/SİMÜLE — gerçek parti kaydı değildir</x:v>
      </x:c>
      <x:c r="G140" s="38" t="n">
        <x:v>396.169</x:v>
      </x:c>
      <x:c r="H140" s="38" t="n">
        <x:v>68.664</x:v>
      </x:c>
      <x:c r="I140" s="38" t="n">
        <x:v>23.073</x:v>
      </x:c>
      <x:c r="J140" s="38" t="n">
        <x:v>7.977</x:v>
      </x:c>
      <x:c r="K140" s="38" t="n">
        <x:v>0.782</x:v>
      </x:c>
      <x:c r="L140" s="38" t="n">
        <x:f>SUM(G140:K140)</x:f>
        <x:v>496.6649999999999</x:v>
      </x:c>
      <x:c r="M140" s="38" t="n">
        <x:v>639.929</x:v>
      </x:c>
      <x:c r="N140" s="38" t="n">
        <x:v>599.01</x:v>
      </x:c>
      <x:c r="O140" s="38" t="n">
        <x:v>417.24</x:v>
      </x:c>
      <x:c r="P140" s="38" t="n">
        <x:v>669.9</x:v>
      </x:c>
      <x:c r="Q140" s="38" t="n">
        <x:v>19.88</x:v>
      </x:c>
      <x:c r="R140" s="38" t="n">
        <x:v>43.7475</x:v>
      </x:c>
      <x:c r="S140" s="38" t="n">
        <x:v>74.32</x:v>
      </x:c>
      <x:c r="T140" s="40" t="n">
        <x:v>16.34</x:v>
      </x:c>
      <x:c r="U140" s="40" t="n">
        <x:v>1.02</x:v>
      </x:c>
      <x:c r="V140" s="38" t="n">
        <x:f>L140*(1-T140/100)*(1-U140/100)</x:f>
        <x:v>411.2717376221999</x:v>
      </x:c>
      <x:c r="W140" s="38" t="n">
        <x:f>G140*N140</x:f>
        <x:v>237309.19269</x:v>
      </x:c>
      <x:c r="X140" s="38" t="n">
        <x:f>H140*O140</x:f>
        <x:v>28649.36736</x:v>
      </x:c>
      <x:c r="Y140" s="38" t="n">
        <x:f>I140*P140</x:f>
        <x:v>15456.6027</x:v>
      </x:c>
      <x:c r="Z140" s="38" t="n">
        <x:f>J140*Q140+K140*P140</x:f>
        <x:v>682.44456</x:v>
      </x:c>
      <x:c r="AA140" s="38" t="n">
        <x:f>M140*R140</x:f>
        <x:v>27995.2939275</x:v>
      </x:c>
      <x:c r="AB140" s="38" t="n">
        <x:f>SUM(W140:AA140)</x:f>
        <x:v>310092.90123749996</x:v>
      </x:c>
      <x:c r="AC140" s="38" t="n">
        <x:v>33.67</x:v>
      </x:c>
      <x:c r="AD140" s="38" t="n">
        <x:v>174.33</x:v>
      </x:c>
      <x:c r="AE140" s="38" t="n">
        <x:v>186.08</x:v>
      </x:c>
      <x:c r="AF140" s="38" t="n">
        <x:v>4.8148</x:v>
      </x:c>
      <x:c r="AG140" s="38" t="n">
        <x:v>5.86</x:v>
      </x:c>
      <x:c r="AH140" s="38" t="n">
        <x:f>IF(E140="Fason",L140*S140,0)</x:f>
        <x:v>36912.14279999999</x:v>
      </x:c>
      <x:c r="AI140" s="38" t="n">
        <x:f>IF(E140="Kurum içi",AC140*AD140+AE140*AF140+AB140*12%,0)</x:f>
        <x:v>0</x:v>
      </x:c>
      <x:c r="AJ140" s="38" t="n">
        <x:f>V140*AG140</x:f>
        <x:v>2410.052382466092</x:v>
      </x:c>
      <x:c r="AK140" s="38" t="n">
        <x:f>AB140*2%</x:f>
        <x:v>6201.8580247499995</x:v>
      </x:c>
      <x:c r="AL140" s="38" t="n">
        <x:f>AB140+AH140+AI140+AJ140+AK140</x:f>
        <x:v>355616.95444471604</x:v>
      </x:c>
      <x:c r="AM140" s="38" t="n">
        <x:f>AL140/V140</x:f>
        <x:v>864.6763730976108</x:v>
      </x:c>
      <x:c r="AN140" s="40" t="n">
        <x:f>(W140+X140)/AL140*100</x:f>
        <x:v>74.78793030700275</x:v>
      </x:c>
      <x:c r="AO140" s="28" t="str">
        <x:v>R01-R20; ilgili satırdaki bölgesel fiyat ve maliyet varsayımları</x:v>
      </x:c>
      <x:c r="AP140" s="28" t="str">
        <x:v>Girdi miktarları, alım fiyatı değişimi, fason bedeli ve parti sonucu simüle edilmiştir; işletme kaydı değildir.</x:v>
      </x:c>
    </x:row>
    <x:row r="141" ht="22" customHeight="1">
      <x:c r="A141" t="str">
        <x:v>SUC-0140</x:v>
      </x:c>
      <x:c r="B141" s="36" t="n">
        <x:v>46285</x:v>
      </x:c>
      <x:c r="C141" t="str">
        <x:v>İç Anadolu</x:v>
      </x:c>
      <x:c r="D141" t="str">
        <x:v>ERZURUM_CI</x:v>
      </x:c>
      <x:c r="E141" t="str">
        <x:v>Kurum içi</x:v>
      </x:c>
      <x:c r="F141" s="42" t="str">
        <x:v>SENTETİK/SİMÜLE — gerçek parti kaydı değildir</x:v>
      </x:c>
      <x:c r="G141" s="38" t="n">
        <x:v>89.668</x:v>
      </x:c>
      <x:c r="H141" s="38" t="n">
        <x:v>16.67</x:v>
      </x:c>
      <x:c r="I141" s="38" t="n">
        <x:v>5.121</x:v>
      </x:c>
      <x:c r="J141" s="38" t="n">
        <x:v>1.937</x:v>
      </x:c>
      <x:c r="K141" s="38" t="n">
        <x:v>0.257</x:v>
      </x:c>
      <x:c r="L141" s="38" t="n">
        <x:f>SUM(G141:K141)</x:f>
        <x:v>113.653</x:v>
      </x:c>
      <x:c r="M141" s="38" t="n">
        <x:v>152.137</x:v>
      </x:c>
      <x:c r="N141" s="38" t="n">
        <x:v>602.27</x:v>
      </x:c>
      <x:c r="O141" s="38" t="n">
        <x:v>437.01</x:v>
      </x:c>
      <x:c r="P141" s="38" t="n">
        <x:v>550</x:v>
      </x:c>
      <x:c r="Q141" s="38" t="n">
        <x:v>19.88</x:v>
      </x:c>
      <x:c r="R141" s="38" t="n">
        <x:v>43.7475</x:v>
      </x:c>
      <x:c r="S141" s="38" t="n">
        <x:v>110.59</x:v>
      </x:c>
      <x:c r="T141" s="40" t="n">
        <x:v>22.66</x:v>
      </x:c>
      <x:c r="U141" s="40" t="n">
        <x:v>0.5</x:v>
      </x:c>
      <x:c r="V141" s="38" t="n">
        <x:f>L141*(1-T141/100)*(1-U141/100)</x:f>
        <x:v>87.459734049</x:v>
      </x:c>
      <x:c r="W141" s="38" t="n">
        <x:f>G141*N141</x:f>
        <x:v>54004.34636</x:v>
      </x:c>
      <x:c r="X141" s="38" t="n">
        <x:f>H141*O141</x:f>
        <x:v>7284.956700000001</x:v>
      </x:c>
      <x:c r="Y141" s="38" t="n">
        <x:f>I141*P141</x:f>
        <x:v>2816.55</x:v>
      </x:c>
      <x:c r="Z141" s="38" t="n">
        <x:f>J141*Q141+K141*P141</x:f>
        <x:v>179.85755999999998</x:v>
      </x:c>
      <x:c r="AA141" s="38" t="n">
        <x:f>M141*R141</x:f>
        <x:v>6655.6134075</x:v>
      </x:c>
      <x:c r="AB141" s="38" t="n">
        <x:f>SUM(W141:AA141)</x:f>
        <x:v>70941.3240275</x:v>
      </x:c>
      <x:c r="AC141" s="38" t="n">
        <x:v>5.76</x:v>
      </x:c>
      <x:c r="AD141" s="38" t="n">
        <x:v>174.33</x:v>
      </x:c>
      <x:c r="AE141" s="38" t="n">
        <x:v>29.59</x:v>
      </x:c>
      <x:c r="AF141" s="38" t="n">
        <x:v>4.8148</x:v>
      </x:c>
      <x:c r="AG141" s="38" t="n">
        <x:v>5.13</x:v>
      </x:c>
      <x:c r="AH141" s="38" t="n">
        <x:f>IF(E141="Fason",L141*S141,0)</x:f>
        <x:v>0</x:v>
      </x:c>
      <x:c r="AI141" s="38" t="n">
        <x:f>IF(E141="Kurum içi",AC141*AD141+AE141*AF141+AB141*12%,0)</x:f>
        <x:v>9659.569615299999</x:v>
      </x:c>
      <x:c r="AJ141" s="38" t="n">
        <x:f>V141*AG141</x:f>
        <x:v>448.66843567137</x:v>
      </x:c>
      <x:c r="AK141" s="38" t="n">
        <x:f>AB141*2%</x:f>
        <x:v>1418.82648055</x:v>
      </x:c>
      <x:c r="AL141" s="38" t="n">
        <x:f>AB141+AH141+AI141+AJ141+AK141</x:f>
        <x:v>82468.38855902136</x:v>
      </x:c>
      <x:c r="AM141" s="38" t="n">
        <x:f>AL141/V141</x:f>
        <x:v>942.9297888422323</x:v>
      </x:c>
      <x:c r="AN141" s="40" t="n">
        <x:f>(W141+X141)/AL141*100</x:f>
        <x:v>74.31854087476948</x:v>
      </x:c>
      <x:c r="AO141" s="28" t="str">
        <x:v>R01-R20; ilgili satırdaki bölgesel fiyat ve maliyet varsayımları</x:v>
      </x:c>
      <x:c r="AP141" s="28" t="str">
        <x:v>Girdi miktarları, alım fiyatı değişimi, fason bedeli ve parti sonucu simüle edilmiştir; işletme kaydı değildir.</x:v>
      </x:c>
    </x:row>
    <x:row r="142" ht="22" customHeight="1">
      <x:c r="A142" t="str">
        <x:v>SUC-0141</x:v>
      </x:c>
      <x:c r="B142" s="36" t="n">
        <x:v>46294</x:v>
      </x:c>
      <x:c r="C142" t="str">
        <x:v>Akdeniz</x:v>
      </x:c>
      <x:c r="D142" t="str">
        <x:v>MEB_STANDART</x:v>
      </x:c>
      <x:c r="E142" t="str">
        <x:v>Kurum içi</x:v>
      </x:c>
      <x:c r="F142" s="42" t="str">
        <x:v>SENTETİK/SİMÜLE — gerçek parti kaydı değildir</x:v>
      </x:c>
      <x:c r="G142" s="38" t="n">
        <x:v>346.475</x:v>
      </x:c>
      <x:c r="H142" s="38" t="n">
        <x:v>110.583</x:v>
      </x:c>
      <x:c r="I142" s="38" t="n">
        <x:v>22.887</x:v>
      </x:c>
      <x:c r="J142" s="38" t="n">
        <x:v>11.919</x:v>
      </x:c>
      <x:c r="K142" s="38" t="n">
        <x:v>5.365</x:v>
      </x:c>
      <x:c r="L142" s="38" t="n">
        <x:f>SUM(G142:K142)</x:f>
        <x:v>497.229</x:v>
      </x:c>
      <x:c r="M142" s="38" t="n">
        <x:v>645.002</x:v>
      </x:c>
      <x:c r="N142" s="38" t="n">
        <x:v>599.2</x:v>
      </x:c>
      <x:c r="O142" s="38" t="n">
        <x:v>481.95</x:v>
      </x:c>
      <x:c r="P142" s="38" t="n">
        <x:v>400</x:v>
      </x:c>
      <x:c r="Q142" s="38" t="n">
        <x:v>19.88</x:v>
      </x:c>
      <x:c r="R142" s="38" t="n">
        <x:v>43.7475</x:v>
      </x:c>
      <x:c r="S142" s="38" t="n">
        <x:v>77.89</x:v>
      </x:c>
      <x:c r="T142" s="40" t="n">
        <x:v>17.93</x:v>
      </x:c>
      <x:c r="U142" s="40" t="n">
        <x:v>1.22</x:v>
      </x:c>
      <x:c r="V142" s="38" t="n">
        <x:f>L142*(1-T142/100)*(1-U142/100)</x:f>
        <x:v>403.09731504833996</x:v>
      </x:c>
      <x:c r="W142" s="38" t="n">
        <x:f>G142*N142</x:f>
        <x:v>207607.82000000004</x:v>
      </x:c>
      <x:c r="X142" s="38" t="n">
        <x:f>H142*O142</x:f>
        <x:v>53295.47685</x:v>
      </x:c>
      <x:c r="Y142" s="38" t="n">
        <x:f>I142*P142</x:f>
        <x:v>9154.8</x:v>
      </x:c>
      <x:c r="Z142" s="38" t="n">
        <x:f>J142*Q142+K142*P142</x:f>
        <x:v>2382.94972</x:v>
      </x:c>
      <x:c r="AA142" s="38" t="n">
        <x:f>M142*R142</x:f>
        <x:v>28217.224995</x:v>
      </x:c>
      <x:c r="AB142" s="38" t="n">
        <x:f>SUM(W142:AA142)</x:f>
        <x:v>300658.271565</x:v>
      </x:c>
      <x:c r="AC142" s="38" t="n">
        <x:v>21.53</x:v>
      </x:c>
      <x:c r="AD142" s="38" t="n">
        <x:v>174.33</x:v>
      </x:c>
      <x:c r="AE142" s="38" t="n">
        <x:v>207.01</x:v>
      </x:c>
      <x:c r="AF142" s="38" t="n">
        <x:v>4.8148</x:v>
      </x:c>
      <x:c r="AG142" s="38" t="n">
        <x:v>5.33</x:v>
      </x:c>
      <x:c r="AH142" s="38" t="n">
        <x:f>IF(E142="Fason",L142*S142,0)</x:f>
        <x:v>0</x:v>
      </x:c>
      <x:c r="AI142" s="38" t="n">
        <x:f>IF(E142="Kurum içi",AC142*AD142+AE142*AF142+AB142*12%,0)</x:f>
        <x:v>40829.0292358</x:v>
      </x:c>
      <x:c r="AJ142" s="38" t="n">
        <x:f>V142*AG142</x:f>
        <x:v>2148.508689207652</x:v>
      </x:c>
      <x:c r="AK142" s="38" t="n">
        <x:f>AB142*2%</x:f>
        <x:v>6013.1654313</x:v>
      </x:c>
      <x:c r="AL142" s="38" t="n">
        <x:f>AB142+AH142+AI142+AJ142+AK142</x:f>
        <x:v>349648.97492130764</x:v>
      </x:c>
      <x:c r="AM142" s="38" t="n">
        <x:f>AL142/V142</x:f>
        <x:v>867.4058642126586</x:v>
      </x:c>
      <x:c r="AN142" s="40" t="n">
        <x:f>(W142+X142)/AL142*100</x:f>
        <x:v>74.61863627906223</x:v>
      </x:c>
      <x:c r="AO142" s="28" t="str">
        <x:v>R01-R20; ilgili satırdaki bölgesel fiyat ve maliyet varsayımları</x:v>
      </x:c>
      <x:c r="AP142" s="28" t="str">
        <x:v>Girdi miktarları, alım fiyatı değişimi, fason bedeli ve parti sonucu simüle edilmiştir; işletme kaydı değildir.</x:v>
      </x:c>
    </x:row>
    <x:row r="143" ht="22" customHeight="1">
      <x:c r="A143" t="str">
        <x:v>SUC-0142</x:v>
      </x:c>
      <x:c r="B143" s="36" t="n">
        <x:v>46290</x:v>
      </x:c>
      <x:c r="C143" t="str">
        <x:v>Karadeniz</x:v>
      </x:c>
      <x:c r="D143" t="str">
        <x:v>ERZURUM_CI</x:v>
      </x:c>
      <x:c r="E143" t="str">
        <x:v>Fason</x:v>
      </x:c>
      <x:c r="F143" s="42" t="str">
        <x:v>SENTETİK/SİMÜLE — gerçek parti kaydı değildir</x:v>
      </x:c>
      <x:c r="G143" s="38" t="n">
        <x:v>357.063</x:v>
      </x:c>
      <x:c r="H143" s="38" t="n">
        <x:v>64.269</x:v>
      </x:c>
      <x:c r="I143" s="38" t="n">
        <x:v>22.037</x:v>
      </x:c>
      <x:c r="J143" s="38" t="n">
        <x:v>7.517</x:v>
      </x:c>
      <x:c r="K143" s="38" t="n">
        <x:v>0.27</x:v>
      </x:c>
      <x:c r="L143" s="38" t="n">
        <x:f>SUM(G143:K143)</x:f>
        <x:v>451.15599999999995</x:v>
      </x:c>
      <x:c r="M143" s="38" t="n">
        <x:v>535.646</x:v>
      </x:c>
      <x:c r="N143" s="38" t="n">
        <x:v>606.81</x:v>
      </x:c>
      <x:c r="O143" s="38" t="n">
        <x:v>471.44</x:v>
      </x:c>
      <x:c r="P143" s="38" t="n">
        <x:v>669.9</x:v>
      </x:c>
      <x:c r="Q143" s="38" t="n">
        <x:v>19.88</x:v>
      </x:c>
      <x:c r="R143" s="38" t="n">
        <x:v>43.7475</x:v>
      </x:c>
      <x:c r="S143" s="38" t="n">
        <x:v>100.01</x:v>
      </x:c>
      <x:c r="T143" s="40" t="n">
        <x:v>31.75</x:v>
      </x:c>
      <x:c r="U143" s="40" t="n">
        <x:v>1.3</x:v>
      </x:c>
      <x:c r="V143" s="38" t="n">
        <x:f>L143*(1-T143/100)*(1-U143/100)</x:f>
        <x:v>303.9110883899999</x:v>
      </x:c>
      <x:c r="W143" s="38" t="n">
        <x:f>G143*N143</x:f>
        <x:v>216669.39902999997</x:v>
      </x:c>
      <x:c r="X143" s="38" t="n">
        <x:f>H143*O143</x:f>
        <x:v>30298.97736</x:v>
      </x:c>
      <x:c r="Y143" s="38" t="n">
        <x:f>I143*P143</x:f>
        <x:v>14762.586299999999</x:v>
      </x:c>
      <x:c r="Z143" s="38" t="n">
        <x:f>J143*Q143+K143*P143</x:f>
        <x:v>330.31096</x:v>
      </x:c>
      <x:c r="AA143" s="38" t="n">
        <x:f>M143*R143</x:f>
        <x:v>23433.173385</x:v>
      </x:c>
      <x:c r="AB143" s="38" t="n">
        <x:f>SUM(W143:AA143)</x:f>
        <x:v>285494.44703499996</x:v>
      </x:c>
      <x:c r="AC143" s="38" t="n">
        <x:v>27.48</x:v>
      </x:c>
      <x:c r="AD143" s="38" t="n">
        <x:v>174.33</x:v>
      </x:c>
      <x:c r="AE143" s="38" t="n">
        <x:v>194.71</x:v>
      </x:c>
      <x:c r="AF143" s="38" t="n">
        <x:v>4.8148</x:v>
      </x:c>
      <x:c r="AG143" s="38" t="n">
        <x:v>5.66</x:v>
      </x:c>
      <x:c r="AH143" s="38" t="n">
        <x:f>IF(E143="Fason",L143*S143,0)</x:f>
        <x:v>45120.11156</x:v>
      </x:c>
      <x:c r="AI143" s="38" t="n">
        <x:f>IF(E143="Kurum içi",AC143*AD143+AE143*AF143+AB143*12%,0)</x:f>
        <x:v>0</x:v>
      </x:c>
      <x:c r="AJ143" s="38" t="n">
        <x:f>V143*AG143</x:f>
        <x:v>1720.1367602873995</x:v>
      </x:c>
      <x:c r="AK143" s="38" t="n">
        <x:f>AB143*2%</x:f>
        <x:v>5709.8889407</x:v>
      </x:c>
      <x:c r="AL143" s="38" t="n">
        <x:f>AB143+AH143+AI143+AJ143+AK143</x:f>
        <x:v>338044.5842959873</x:v>
      </x:c>
      <x:c r="AM143" s="38" t="n">
        <x:f>AL143/V143</x:f>
        <x:v>1112.3140853030836</x:v>
      </x:c>
      <x:c r="AN143" s="40" t="n">
        <x:f>(W143+X143)/AL143*100</x:f>
        <x:v>73.0579301852556</x:v>
      </x:c>
      <x:c r="AO143" s="28" t="str">
        <x:v>R01-R20; ilgili satırdaki bölgesel fiyat ve maliyet varsayımları</x:v>
      </x:c>
      <x:c r="AP143" s="28" t="str">
        <x:v>Girdi miktarları, alım fiyatı değişimi, fason bedeli ve parti sonucu simüle edilmiştir; işletme kaydı değildir.</x:v>
      </x:c>
    </x:row>
    <x:row r="144" ht="22" customHeight="1">
      <x:c r="A144" t="str">
        <x:v>SUC-0143</x:v>
      </x:c>
      <x:c r="B144" s="36" t="n">
        <x:v>46274</x:v>
      </x:c>
      <x:c r="C144" t="str">
        <x:v>Güneydoğu Anadolu</x:v>
      </x:c>
      <x:c r="D144" t="str">
        <x:v>ERZURUM_CI</x:v>
      </x:c>
      <x:c r="E144" t="str">
        <x:v>Fason</x:v>
      </x:c>
      <x:c r="F144" s="42" t="str">
        <x:v>SENTETİK/SİMÜLE — gerçek parti kaydı değildir</x:v>
      </x:c>
      <x:c r="G144" s="38" t="n">
        <x:v>200.043</x:v>
      </x:c>
      <x:c r="H144" s="38" t="n">
        <x:v>37.011</x:v>
      </x:c>
      <x:c r="I144" s="38" t="n">
        <x:v>11.115</x:v>
      </x:c>
      <x:c r="J144" s="38" t="n">
        <x:v>4.328</x:v>
      </x:c>
      <x:c r="K144" s="38" t="n">
        <x:v>0.164</x:v>
      </x:c>
      <x:c r="L144" s="38" t="n">
        <x:f>SUM(G144:K144)</x:f>
        <x:v>252.661</x:v>
      </x:c>
      <x:c r="M144" s="38" t="n">
        <x:v>292.488</x:v>
      </x:c>
      <x:c r="N144" s="38" t="n">
        <x:v>572.55</x:v>
      </x:c>
      <x:c r="O144" s="38" t="n">
        <x:v>455.18</x:v>
      </x:c>
      <x:c r="P144" s="38" t="n">
        <x:v>669.9</x:v>
      </x:c>
      <x:c r="Q144" s="38" t="n">
        <x:v>19.88</x:v>
      </x:c>
      <x:c r="R144" s="38" t="n">
        <x:v>43.7475</x:v>
      </x:c>
      <x:c r="S144" s="38" t="n">
        <x:v>107.68</x:v>
      </x:c>
      <x:c r="T144" s="40" t="n">
        <x:v>18.32</x:v>
      </x:c>
      <x:c r="U144" s="40" t="n">
        <x:v>0.34</x:v>
      </x:c>
      <x:c r="V144" s="38" t="n">
        <x:f>L144*(1-T144/100)*(1-U144/100)</x:f>
        <x:v>205.67183488368002</x:v>
      </x:c>
      <x:c r="W144" s="38" t="n">
        <x:f>G144*N144</x:f>
        <x:v>114534.61965</x:v>
      </x:c>
      <x:c r="X144" s="38" t="n">
        <x:f>H144*O144</x:f>
        <x:v>16846.66698</x:v>
      </x:c>
      <x:c r="Y144" s="38" t="n">
        <x:f>I144*P144</x:f>
        <x:v>7445.9385</x:v>
      </x:c>
      <x:c r="Z144" s="38" t="n">
        <x:f>J144*Q144+K144*P144</x:f>
        <x:v>195.90424000000002</x:v>
      </x:c>
      <x:c r="AA144" s="38" t="n">
        <x:f>M144*R144</x:f>
        <x:v>12795.61878</x:v>
      </x:c>
      <x:c r="AB144" s="38" t="n">
        <x:f>SUM(W144:AA144)</x:f>
        <x:v>151818.74814999997</x:v>
      </x:c>
      <x:c r="AC144" s="38" t="n">
        <x:v>14.06</x:v>
      </x:c>
      <x:c r="AD144" s="38" t="n">
        <x:v>174.33</x:v>
      </x:c>
      <x:c r="AE144" s="38" t="n">
        <x:v>61.16</x:v>
      </x:c>
      <x:c r="AF144" s="38" t="n">
        <x:v>4.8148</x:v>
      </x:c>
      <x:c r="AG144" s="38" t="n">
        <x:v>5.68</x:v>
      </x:c>
      <x:c r="AH144" s="38" t="n">
        <x:f>IF(E144="Fason",L144*S144,0)</x:f>
        <x:v>27206.536480000002</x:v>
      </x:c>
      <x:c r="AI144" s="38" t="n">
        <x:f>IF(E144="Kurum içi",AC144*AD144+AE144*AF144+AB144*12%,0)</x:f>
        <x:v>0</x:v>
      </x:c>
      <x:c r="AJ144" s="38" t="n">
        <x:f>V144*AG144</x:f>
        <x:v>1168.2160221393024</x:v>
      </x:c>
      <x:c r="AK144" s="38" t="n">
        <x:f>AB144*2%</x:f>
        <x:v>3036.3749629999993</x:v>
      </x:c>
      <x:c r="AL144" s="38" t="n">
        <x:f>AB144+AH144+AI144+AJ144+AK144</x:f>
        <x:v>183229.8756151393</x:v>
      </x:c>
      <x:c r="AM144" s="38" t="n">
        <x:f>AL144/V144</x:f>
        <x:v>890.8846255918656</x:v>
      </x:c>
      <x:c r="AN144" s="40" t="n">
        <x:f>(W144+X144)/AL144*100</x:f>
        <x:v>71.70298303643267</x:v>
      </x:c>
      <x:c r="AO144" s="28" t="str">
        <x:v>R01-R20; ilgili satırdaki bölgesel fiyat ve maliyet varsayımları</x:v>
      </x:c>
      <x:c r="AP144" s="28" t="str">
        <x:v>Girdi miktarları, alım fiyatı değişimi, fason bedeli ve parti sonucu simüle edilmiştir; işletme kaydı değildir.</x:v>
      </x:c>
    </x:row>
    <x:row r="145" ht="22" customHeight="1">
      <x:c r="A145" t="str">
        <x:v>SUC-0144</x:v>
      </x:c>
      <x:c r="B145" s="36" t="n">
        <x:v>46293</x:v>
      </x:c>
      <x:c r="C145" t="str">
        <x:v>Akdeniz</x:v>
      </x:c>
      <x:c r="D145" t="str">
        <x:v>MEB_STANDART</x:v>
      </x:c>
      <x:c r="E145" t="str">
        <x:v>Fason</x:v>
      </x:c>
      <x:c r="F145" s="42" t="str">
        <x:v>SENTETİK/SİMÜLE — gerçek parti kaydı değildir</x:v>
      </x:c>
      <x:c r="G145" s="38" t="n">
        <x:v>206.615</x:v>
      </x:c>
      <x:c r="H145" s="38" t="n">
        <x:v>64.805</x:v>
      </x:c>
      <x:c r="I145" s="38" t="n">
        <x:v>12.939</x:v>
      </x:c>
      <x:c r="J145" s="38" t="n">
        <x:v>7.643</x:v>
      </x:c>
      <x:c r="K145" s="38" t="n">
        <x:v>3.139</x:v>
      </x:c>
      <x:c r="L145" s="38" t="n">
        <x:f>SUM(G145:K145)</x:f>
        <x:v>295.141</x:v>
      </x:c>
      <x:c r="M145" s="38" t="n">
        <x:v>379.636</x:v>
      </x:c>
      <x:c r="N145" s="38" t="n">
        <x:v>587.69</x:v>
      </x:c>
      <x:c r="O145" s="38" t="n">
        <x:v>415.9</x:v>
      </x:c>
      <x:c r="P145" s="38" t="n">
        <x:v>400</x:v>
      </x:c>
      <x:c r="Q145" s="38" t="n">
        <x:v>19.88</x:v>
      </x:c>
      <x:c r="R145" s="38" t="n">
        <x:v>43.7475</x:v>
      </x:c>
      <x:c r="S145" s="38" t="n">
        <x:v>110.93</x:v>
      </x:c>
      <x:c r="T145" s="40" t="n">
        <x:v>17.84</x:v>
      </x:c>
      <x:c r="U145" s="40" t="n">
        <x:v>1.65</x:v>
      </x:c>
      <x:c r="V145" s="38" t="n">
        <x:f>L145*(1-T145/100)*(1-U145/100)</x:f>
        <x:v>238.48679614760002</x:v>
      </x:c>
      <x:c r="W145" s="38" t="n">
        <x:f>G145*N145</x:f>
        <x:v>121425.56935000002</x:v>
      </x:c>
      <x:c r="X145" s="38" t="n">
        <x:f>H145*O145</x:f>
        <x:v>26952.399500000003</x:v>
      </x:c>
      <x:c r="Y145" s="38" t="n">
        <x:f>I145*P145</x:f>
        <x:v>5175.6</x:v>
      </x:c>
      <x:c r="Z145" s="38" t="n">
        <x:f>J145*Q145+K145*P145</x:f>
        <x:v>1407.5428399999998</x:v>
      </x:c>
      <x:c r="AA145" s="38" t="n">
        <x:f>M145*R145</x:f>
        <x:v>16608.125910000002</x:v>
      </x:c>
      <x:c r="AB145" s="38" t="n">
        <x:f>SUM(W145:AA145)</x:f>
        <x:v>171569.23760000005</x:v>
      </x:c>
      <x:c r="AC145" s="38" t="n">
        <x:v>20.2</x:v>
      </x:c>
      <x:c r="AD145" s="38" t="n">
        <x:v>174.33</x:v>
      </x:c>
      <x:c r="AE145" s="38" t="n">
        <x:v>133.25</x:v>
      </x:c>
      <x:c r="AF145" s="38" t="n">
        <x:v>4.8148</x:v>
      </x:c>
      <x:c r="AG145" s="38" t="n">
        <x:v>5.39</x:v>
      </x:c>
      <x:c r="AH145" s="38" t="n">
        <x:f>IF(E145="Fason",L145*S145,0)</x:f>
        <x:v>32739.991130000006</x:v>
      </x:c>
      <x:c r="AI145" s="38" t="n">
        <x:f>IF(E145="Kurum içi",AC145*AD145+AE145*AF145+AB145*12%,0)</x:f>
        <x:v>0</x:v>
      </x:c>
      <x:c r="AJ145" s="38" t="n">
        <x:f>V145*AG145</x:f>
        <x:v>1285.443831235564</x:v>
      </x:c>
      <x:c r="AK145" s="38" t="n">
        <x:f>AB145*2%</x:f>
        <x:v>3431.3847520000013</x:v>
      </x:c>
      <x:c r="AL145" s="38" t="n">
        <x:f>AB145+AH145+AI145+AJ145+AK145</x:f>
        <x:v>209026.05731323565</x:v>
      </x:c>
      <x:c r="AM145" s="38" t="n">
        <x:f>AL145/V145</x:f>
        <x:v>876.4680505996188</x:v>
      </x:c>
      <x:c r="AN145" s="40" t="n">
        <x:f>(W145+X145)/AL145*100</x:f>
        <x:v>70.98539328407676</x:v>
      </x:c>
      <x:c r="AO145" s="28" t="str">
        <x:v>R01-R20; ilgili satırdaki bölgesel fiyat ve maliyet varsayımları</x:v>
      </x:c>
      <x:c r="AP145" s="28" t="str">
        <x:v>Girdi miktarları, alım fiyatı değişimi, fason bedeli ve parti sonucu simüle edilmiştir; işletme kaydı değildir.</x:v>
      </x:c>
    </x:row>
    <x:row r="146" ht="22" customHeight="1">
      <x:c r="A146" t="str">
        <x:v>SUC-0145</x:v>
      </x:c>
      <x:c r="B146" s="36" t="n">
        <x:v>46287</x:v>
      </x:c>
      <x:c r="C146" t="str">
        <x:v>Güneydoğu Anadolu</x:v>
      </x:c>
      <x:c r="D146" t="str">
        <x:v>ERZURUM_CI</x:v>
      </x:c>
      <x:c r="E146" t="str">
        <x:v>Kurum içi</x:v>
      </x:c>
      <x:c r="F146" s="42" t="str">
        <x:v>SENTETİK/SİMÜLE — gerçek parti kaydı değildir</x:v>
      </x:c>
      <x:c r="G146" s="38" t="n">
        <x:v>290.586</x:v>
      </x:c>
      <x:c r="H146" s="38" t="n">
        <x:v>50.429</x:v>
      </x:c>
      <x:c r="I146" s="38" t="n">
        <x:v>16.854</x:v>
      </x:c>
      <x:c r="J146" s="38" t="n">
        <x:v>6.007</x:v>
      </x:c>
      <x:c r="K146" s="38" t="n">
        <x:v>0.76</x:v>
      </x:c>
      <x:c r="L146" s="38" t="n">
        <x:f>SUM(G146:K146)</x:f>
        <x:v>364.63599999999997</x:v>
      </x:c>
      <x:c r="M146" s="38" t="n">
        <x:v>420.506</x:v>
      </x:c>
      <x:c r="N146" s="38" t="n">
        <x:v>590.05</x:v>
      </x:c>
      <x:c r="O146" s="38" t="n">
        <x:v>462.68</x:v>
      </x:c>
      <x:c r="P146" s="38" t="n">
        <x:v>400</x:v>
      </x:c>
      <x:c r="Q146" s="38" t="n">
        <x:v>19.88</x:v>
      </x:c>
      <x:c r="R146" s="38" t="n">
        <x:v>43.7475</x:v>
      </x:c>
      <x:c r="S146" s="38" t="n">
        <x:v>73.39</x:v>
      </x:c>
      <x:c r="T146" s="40" t="n">
        <x:v>18.5</x:v>
      </x:c>
      <x:c r="U146" s="40" t="n">
        <x:v>1.3</x:v>
      </x:c>
      <x:c r="V146" s="38" t="n">
        <x:f>L146*(1-T146/100)*(1-U146/100)</x:f>
        <x:v>293.31502157999995</x:v>
      </x:c>
      <x:c r="W146" s="38" t="n">
        <x:f>G146*N146</x:f>
        <x:v>171460.26929999999</x:v>
      </x:c>
      <x:c r="X146" s="38" t="n">
        <x:f>H146*O146</x:f>
        <x:v>23332.48972</x:v>
      </x:c>
      <x:c r="Y146" s="38" t="n">
        <x:f>I146*P146</x:f>
        <x:v>6741.599999999999</x:v>
      </x:c>
      <x:c r="Z146" s="38" t="n">
        <x:f>J146*Q146+K146*P146</x:f>
        <x:v>423.41916</x:v>
      </x:c>
      <x:c r="AA146" s="38" t="n">
        <x:f>M146*R146</x:f>
        <x:v>18396.086235</x:v>
      </x:c>
      <x:c r="AB146" s="38" t="n">
        <x:f>SUM(W146:AA146)</x:f>
        <x:v>220353.864415</x:v>
      </x:c>
      <x:c r="AC146" s="38" t="n">
        <x:v>19.23</x:v>
      </x:c>
      <x:c r="AD146" s="38" t="n">
        <x:v>174.33</x:v>
      </x:c>
      <x:c r="AE146" s="38" t="n">
        <x:v>127.42</x:v>
      </x:c>
      <x:c r="AF146" s="38" t="n">
        <x:v>4.8148</x:v>
      </x:c>
      <x:c r="AG146" s="38" t="n">
        <x:v>5.11</x:v>
      </x:c>
      <x:c r="AH146" s="38" t="n">
        <x:f>IF(E146="Fason",L146*S146,0)</x:f>
        <x:v>0</x:v>
      </x:c>
      <x:c r="AI146" s="38" t="n">
        <x:f>IF(E146="Kurum içi",AC146*AD146+AE146*AF146+AB146*12%,0)</x:f>
        <x:v>30408.3314458</x:v>
      </x:c>
      <x:c r="AJ146" s="38" t="n">
        <x:f>V146*AG146</x:f>
        <x:v>1498.8397602737998</x:v>
      </x:c>
      <x:c r="AK146" s="38" t="n">
        <x:f>AB146*2%</x:f>
        <x:v>4407.0772883</x:v>
      </x:c>
      <x:c r="AL146" s="38" t="n">
        <x:f>AB146+AH146+AI146+AJ146+AK146</x:f>
        <x:v>256668.1129093738</x:v>
      </x:c>
      <x:c r="AM146" s="38" t="n">
        <x:f>AL146/V146</x:f>
        <x:v>875.059557218651</x:v>
      </x:c>
      <x:c r="AN146" s="40" t="n">
        <x:f>(W146+X146)/AL146*100</x:f>
        <x:v>75.89285510069527</x:v>
      </x:c>
      <x:c r="AO146" s="28" t="str">
        <x:v>R01-R20; ilgili satırdaki bölgesel fiyat ve maliyet varsayımları</x:v>
      </x:c>
      <x:c r="AP146" s="28" t="str">
        <x:v>Girdi miktarları, alım fiyatı değişimi, fason bedeli ve parti sonucu simüle edilmiştir; işletme kaydı değildir.</x:v>
      </x:c>
    </x:row>
    <x:row r="147" ht="22" customHeight="1">
      <x:c r="A147" t="str">
        <x:v>SUC-0146</x:v>
      </x:c>
      <x:c r="B147" s="36" t="n">
        <x:v>46281</x:v>
      </x:c>
      <x:c r="C147" t="str">
        <x:v>Ege</x:v>
      </x:c>
      <x:c r="D147" t="str">
        <x:v>ERZURUM_CI</x:v>
      </x:c>
      <x:c r="E147" t="str">
        <x:v>Kurum içi</x:v>
      </x:c>
      <x:c r="F147" s="42" t="str">
        <x:v>SENTETİK/SİMÜLE — gerçek parti kaydı değildir</x:v>
      </x:c>
      <x:c r="G147" s="38" t="n">
        <x:v>140.055</x:v>
      </x:c>
      <x:c r="H147" s="38" t="n">
        <x:v>25.543</x:v>
      </x:c>
      <x:c r="I147" s="38" t="n">
        <x:v>8.045</x:v>
      </x:c>
      <x:c r="J147" s="38" t="n">
        <x:v>2.68</x:v>
      </x:c>
      <x:c r="K147" s="38" t="n">
        <x:v>0.096</x:v>
      </x:c>
      <x:c r="L147" s="38" t="n">
        <x:f>SUM(G147:K147)</x:f>
        <x:v>176.419</x:v>
      </x:c>
      <x:c r="M147" s="38" t="n">
        <x:v>228.574</x:v>
      </x:c>
      <x:c r="N147" s="38" t="n">
        <x:v>607.31</x:v>
      </x:c>
      <x:c r="O147" s="38" t="n">
        <x:v>455.65</x:v>
      </x:c>
      <x:c r="P147" s="38" t="n">
        <x:v>669.9</x:v>
      </x:c>
      <x:c r="Q147" s="38" t="n">
        <x:v>19.88</x:v>
      </x:c>
      <x:c r="R147" s="38" t="n">
        <x:v>43.7475</x:v>
      </x:c>
      <x:c r="S147" s="38" t="n">
        <x:v>98.57</x:v>
      </x:c>
      <x:c r="T147" s="40" t="n">
        <x:v>15.62</x:v>
      </x:c>
      <x:c r="U147" s="40" t="n">
        <x:v>0.61</x:v>
      </x:c>
      <x:c r="V147" s="38" t="n">
        <x:f>L147*(1-T147/100)*(1-U147/100)</x:f>
        <x:v>147.95429185158</x:v>
      </x:c>
      <x:c r="W147" s="38" t="n">
        <x:f>G147*N147</x:f>
        <x:v>85056.80205</x:v>
      </x:c>
      <x:c r="X147" s="38" t="n">
        <x:f>H147*O147</x:f>
        <x:v>11638.66795</x:v>
      </x:c>
      <x:c r="Y147" s="38" t="n">
        <x:f>I147*P147</x:f>
        <x:v>5389.345499999999</x:v>
      </x:c>
      <x:c r="Z147" s="38" t="n">
        <x:f>J147*Q147+K147*P147</x:f>
        <x:v>117.58879999999999</x:v>
      </x:c>
      <x:c r="AA147" s="38" t="n">
        <x:f>M147*R147</x:f>
        <x:v>9999.541065000001</x:v>
      </x:c>
      <x:c r="AB147" s="38" t="n">
        <x:f>SUM(W147:AA147)</x:f>
        <x:v>112201.94536499999</x:v>
      </x:c>
      <x:c r="AC147" s="38" t="n">
        <x:v>10.35</x:v>
      </x:c>
      <x:c r="AD147" s="38" t="n">
        <x:v>174.33</x:v>
      </x:c>
      <x:c r="AE147" s="38" t="n">
        <x:v>39.43</x:v>
      </x:c>
      <x:c r="AF147" s="38" t="n">
        <x:v>4.8148</x:v>
      </x:c>
      <x:c r="AG147" s="38" t="n">
        <x:v>5.64</x:v>
      </x:c>
      <x:c r="AH147" s="38" t="n">
        <x:f>IF(E147="Fason",L147*S147,0)</x:f>
        <x:v>0</x:v>
      </x:c>
      <x:c r="AI147" s="38" t="n">
        <x:f>IF(E147="Kurum içi",AC147*AD147+AE147*AF147+AB147*12%,0)</x:f>
        <x:v>15458.396507799998</x:v>
      </x:c>
      <x:c r="AJ147" s="38" t="n">
        <x:f>V147*AG147</x:f>
        <x:v>834.4622060429111</x:v>
      </x:c>
      <x:c r="AK147" s="38" t="n">
        <x:f>AB147*2%</x:f>
        <x:v>2244.0389073</x:v>
      </x:c>
      <x:c r="AL147" s="38" t="n">
        <x:f>AB147+AH147+AI147+AJ147+AK147</x:f>
        <x:v>130738.8429861429</x:v>
      </x:c>
      <x:c r="AM147" s="38" t="n">
        <x:f>AL147/V147</x:f>
        <x:v>883.6434641402175</x:v>
      </x:c>
      <x:c r="AN147" s="40" t="n">
        <x:f>(W147+X147)/AL147*100</x:f>
        <x:v>73.96078150259355</x:v>
      </x:c>
      <x:c r="AO147" s="28" t="str">
        <x:v>R01-R20; ilgili satırdaki bölgesel fiyat ve maliyet varsayımları</x:v>
      </x:c>
      <x:c r="AP147" s="28" t="str">
        <x:v>Girdi miktarları, alım fiyatı değişimi, fason bedeli ve parti sonucu simüle edilmiştir; işletme kaydı değildir.</x:v>
      </x:c>
    </x:row>
    <x:row r="148" ht="22" customHeight="1">
      <x:c r="A148" t="str">
        <x:v>SUC-0147</x:v>
      </x:c>
      <x:c r="B148" s="36" t="n">
        <x:v>46311</x:v>
      </x:c>
      <x:c r="C148" t="str">
        <x:v>Doğu Anadolu</x:v>
      </x:c>
      <x:c r="D148" t="str">
        <x:v>MEB_STANDART</x:v>
      </x:c>
      <x:c r="E148" t="str">
        <x:v>Kurum içi</x:v>
      </x:c>
      <x:c r="F148" s="42" t="str">
        <x:v>SENTETİK/SİMÜLE — gerçek parti kaydı değildir</x:v>
      </x:c>
      <x:c r="G148" s="38" t="n">
        <x:v>55.656</x:v>
      </x:c>
      <x:c r="H148" s="38" t="n">
        <x:v>17.203</x:v>
      </x:c>
      <x:c r="I148" s="38" t="n">
        <x:v>3.411</x:v>
      </x:c>
      <x:c r="J148" s="38" t="n">
        <x:v>2.016</x:v>
      </x:c>
      <x:c r="K148" s="38" t="n">
        <x:v>0.785</x:v>
      </x:c>
      <x:c r="L148" s="38" t="n">
        <x:f>SUM(G148:K148)</x:f>
        <x:v>79.071</x:v>
      </x:c>
      <x:c r="M148" s="38" t="n">
        <x:v>100.483</x:v>
      </x:c>
      <x:c r="N148" s="38" t="n">
        <x:v>579.09</x:v>
      </x:c>
      <x:c r="O148" s="38" t="n">
        <x:v>432.89</x:v>
      </x:c>
      <x:c r="P148" s="38" t="n">
        <x:v>550</x:v>
      </x:c>
      <x:c r="Q148" s="38" t="n">
        <x:v>19.88</x:v>
      </x:c>
      <x:c r="R148" s="38" t="n">
        <x:v>43.7475</x:v>
      </x:c>
      <x:c r="S148" s="38" t="n">
        <x:v>103.28</x:v>
      </x:c>
      <x:c r="T148" s="40" t="n">
        <x:v>18.94</x:v>
      </x:c>
      <x:c r="U148" s="40" t="n">
        <x:v>0.67</x:v>
      </x:c>
      <x:c r="V148" s="38" t="n">
        <x:f>L148*(1-T148/100)*(1-U148/100)</x:f>
        <x:v>63.665516417579994</x:v>
      </x:c>
      <x:c r="W148" s="38" t="n">
        <x:f>G148*N148</x:f>
        <x:v>32229.83304</x:v>
      </x:c>
      <x:c r="X148" s="38" t="n">
        <x:f>H148*O148</x:f>
        <x:v>7447.00667</x:v>
      </x:c>
      <x:c r="Y148" s="38" t="n">
        <x:f>I148*P148</x:f>
        <x:v>1876.05</x:v>
      </x:c>
      <x:c r="Z148" s="38" t="n">
        <x:f>J148*Q148+K148*P148</x:f>
        <x:v>471.82808</x:v>
      </x:c>
      <x:c r="AA148" s="38" t="n">
        <x:f>M148*R148</x:f>
        <x:v>4395.880042500001</x:v>
      </x:c>
      <x:c r="AB148" s="38" t="n">
        <x:f>SUM(W148:AA148)</x:f>
        <x:v>46420.5978325</x:v>
      </x:c>
      <x:c r="AC148" s="38" t="n">
        <x:v>5.16</x:v>
      </x:c>
      <x:c r="AD148" s="38" t="n">
        <x:v>174.33</x:v>
      </x:c>
      <x:c r="AE148" s="38" t="n">
        <x:v>22.3</x:v>
      </x:c>
      <x:c r="AF148" s="38" t="n">
        <x:v>4.8148</x:v>
      </x:c>
      <x:c r="AG148" s="38" t="n">
        <x:v>5.64</x:v>
      </x:c>
      <x:c r="AH148" s="38" t="n">
        <x:f>IF(E148="Fason",L148*S148,0)</x:f>
        <x:v>0</x:v>
      </x:c>
      <x:c r="AI148" s="38" t="n">
        <x:f>IF(E148="Kurum içi",AC148*AD148+AE148*AF148+AB148*12%,0)</x:f>
        <x:v>6577.3845799</x:v>
      </x:c>
      <x:c r="AJ148" s="38" t="n">
        <x:f>V148*AG148</x:f>
        <x:v>359.07351259515116</x:v>
      </x:c>
      <x:c r="AK148" s="38" t="n">
        <x:f>AB148*2%</x:f>
        <x:v>928.4119566500001</x:v>
      </x:c>
      <x:c r="AL148" s="38" t="n">
        <x:f>AB148+AH148+AI148+AJ148+AK148</x:f>
        <x:v>54285.467881645156</x:v>
      </x:c>
      <x:c r="AM148" s="38" t="n">
        <x:f>AL148/V148</x:f>
        <x:v>852.6667328917681</x:v>
      </x:c>
      <x:c r="AN148" s="40" t="n">
        <x:f>(W148+X148)/AL148*100</x:f>
        <x:v>73.08924700898713</x:v>
      </x:c>
      <x:c r="AO148" s="28" t="str">
        <x:v>R01-R20; ilgili satırdaki bölgesel fiyat ve maliyet varsayımları</x:v>
      </x:c>
      <x:c r="AP148" s="28" t="str">
        <x:v>Girdi miktarları, alım fiyatı değişimi, fason bedeli ve parti sonucu simüle edilmiştir; işletme kaydı değildir.</x:v>
      </x:c>
    </x:row>
    <x:row r="149" ht="22" customHeight="1">
      <x:c r="A149" t="str">
        <x:v>SUC-0148</x:v>
      </x:c>
      <x:c r="B149" s="36" t="n">
        <x:v>46311</x:v>
      </x:c>
      <x:c r="C149" t="str">
        <x:v>Ege</x:v>
      </x:c>
      <x:c r="D149" t="str">
        <x:v>MEB_STANDART</x:v>
      </x:c>
      <x:c r="E149" t="str">
        <x:v>Fason</x:v>
      </x:c>
      <x:c r="F149" s="42" t="str">
        <x:v>SENTETİK/SİMÜLE — gerçek parti kaydı değildir</x:v>
      </x:c>
      <x:c r="G149" s="38" t="n">
        <x:v>337.11</x:v>
      </x:c>
      <x:c r="H149" s="38" t="n">
        <x:v>101.5</x:v>
      </x:c>
      <x:c r="I149" s="38" t="n">
        <x:v>22.431</x:v>
      </x:c>
      <x:c r="J149" s="38" t="n">
        <x:v>12.762</x:v>
      </x:c>
      <x:c r="K149" s="38" t="n">
        <x:v>5.232</x:v>
      </x:c>
      <x:c r="L149" s="38" t="n">
        <x:f>SUM(G149:K149)</x:f>
        <x:v>479.035</x:v>
      </x:c>
      <x:c r="M149" s="38" t="n">
        <x:v>558.03</x:v>
      </x:c>
      <x:c r="N149" s="38" t="n">
        <x:v>581.83</x:v>
      </x:c>
      <x:c r="O149" s="38" t="n">
        <x:v>414.79</x:v>
      </x:c>
      <x:c r="P149" s="38" t="n">
        <x:v>669.9</x:v>
      </x:c>
      <x:c r="Q149" s="38" t="n">
        <x:v>19.88</x:v>
      </x:c>
      <x:c r="R149" s="38" t="n">
        <x:v>43.7475</x:v>
      </x:c>
      <x:c r="S149" s="38" t="n">
        <x:v>73.12</x:v>
      </x:c>
      <x:c r="T149" s="40" t="n">
        <x:v>21.84</x:v>
      </x:c>
      <x:c r="U149" s="40" t="n">
        <x:v>0.41</x:v>
      </x:c>
      <x:c r="V149" s="38" t="n">
        <x:f>L149*(1-T149/100)*(1-U149/100)</x:f>
        <x:v>372.8786596004</x:v>
      </x:c>
      <x:c r="W149" s="38" t="n">
        <x:f>G149*N149</x:f>
        <x:v>196140.71130000002</x:v>
      </x:c>
      <x:c r="X149" s="38" t="n">
        <x:f>H149*O149</x:f>
        <x:v>42101.185000000005</x:v>
      </x:c>
      <x:c r="Y149" s="38" t="n">
        <x:f>I149*P149</x:f>
        <x:v>15026.5269</x:v>
      </x:c>
      <x:c r="Z149" s="38" t="n">
        <x:f>J149*Q149+K149*P149</x:f>
        <x:v>3758.62536</x:v>
      </x:c>
      <x:c r="AA149" s="38" t="n">
        <x:f>M149*R149</x:f>
        <x:v>24412.417425</x:v>
      </x:c>
      <x:c r="AB149" s="38" t="n">
        <x:f>SUM(W149:AA149)</x:f>
        <x:v>281439.465985</x:v>
      </x:c>
      <x:c r="AC149" s="38" t="n">
        <x:v>27.75</x:v>
      </x:c>
      <x:c r="AD149" s="38" t="n">
        <x:v>174.33</x:v>
      </x:c>
      <x:c r="AE149" s="38" t="n">
        <x:v>151.36</x:v>
      </x:c>
      <x:c r="AF149" s="38" t="n">
        <x:v>4.8148</x:v>
      </x:c>
      <x:c r="AG149" s="38" t="n">
        <x:v>5.61</x:v>
      </x:c>
      <x:c r="AH149" s="38" t="n">
        <x:f>IF(E149="Fason",L149*S149,0)</x:f>
        <x:v>35027.03920000001</x:v>
      </x:c>
      <x:c r="AI149" s="38" t="n">
        <x:f>IF(E149="Kurum içi",AC149*AD149+AE149*AF149+AB149*12%,0)</x:f>
        <x:v>0</x:v>
      </x:c>
      <x:c r="AJ149" s="38" t="n">
        <x:f>V149*AG149</x:f>
        <x:v>2091.849280358244</x:v>
      </x:c>
      <x:c r="AK149" s="38" t="n">
        <x:f>AB149*2%</x:f>
        <x:v>5628.7893197</x:v>
      </x:c>
      <x:c r="AL149" s="38" t="n">
        <x:f>AB149+AH149+AI149+AJ149+AK149</x:f>
        <x:v>324187.14378505823</x:v>
      </x:c>
      <x:c r="AM149" s="38" t="n">
        <x:f>AL149/V149</x:f>
        <x:v>869.4172633330032</x:v>
      </x:c>
      <x:c r="AN149" s="40" t="n">
        <x:f>(W149+X149)/AL149*100</x:f>
        <x:v>73.48900191364733</x:v>
      </x:c>
      <x:c r="AO149" s="28" t="str">
        <x:v>R01-R20; ilgili satırdaki bölgesel fiyat ve maliyet varsayımları</x:v>
      </x:c>
      <x:c r="AP149" s="28" t="str">
        <x:v>Girdi miktarları, alım fiyatı değişimi, fason bedeli ve parti sonucu simüle edilmiştir; işletme kaydı değildir.</x:v>
      </x:c>
    </x:row>
    <x:row r="150" ht="22" customHeight="1">
      <x:c r="A150" t="str">
        <x:v>SUC-0149</x:v>
      </x:c>
      <x:c r="B150" s="36" t="n">
        <x:v>46314</x:v>
      </x:c>
      <x:c r="C150" t="str">
        <x:v>Ege</x:v>
      </x:c>
      <x:c r="D150" t="str">
        <x:v>MEB_STANDART</x:v>
      </x:c>
      <x:c r="E150" t="str">
        <x:v>Kurum içi</x:v>
      </x:c>
      <x:c r="F150" s="42" t="str">
        <x:v>SENTETİK/SİMÜLE — gerçek parti kaydı değildir</x:v>
      </x:c>
      <x:c r="G150" s="38" t="n">
        <x:v>301.377</x:v>
      </x:c>
      <x:c r="H150" s="38" t="n">
        <x:v>94.985</x:v>
      </x:c>
      <x:c r="I150" s="38" t="n">
        <x:v>20.5</x:v>
      </x:c>
      <x:c r="J150" s="38" t="n">
        <x:v>10.796</x:v>
      </x:c>
      <x:c r="K150" s="38" t="n">
        <x:v>4.048</x:v>
      </x:c>
      <x:c r="L150" s="38" t="n">
        <x:f>SUM(G150:K150)</x:f>
        <x:v>431.706</x:v>
      </x:c>
      <x:c r="M150" s="38" t="n">
        <x:v>521.499</x:v>
      </x:c>
      <x:c r="N150" s="38" t="n">
        <x:v>589.94</x:v>
      </x:c>
      <x:c r="O150" s="38" t="n">
        <x:v>477.52</x:v>
      </x:c>
      <x:c r="P150" s="38" t="n">
        <x:v>669.9</x:v>
      </x:c>
      <x:c r="Q150" s="38" t="n">
        <x:v>19.88</x:v>
      </x:c>
      <x:c r="R150" s="38" t="n">
        <x:v>43.7475</x:v>
      </x:c>
      <x:c r="S150" s="38" t="n">
        <x:v>108.93</x:v>
      </x:c>
      <x:c r="T150" s="40" t="n">
        <x:v>17.69</x:v>
      </x:c>
      <x:c r="U150" s="40" t="n">
        <x:v>0.94</x:v>
      </x:c>
      <x:c r="V150" s="38" t="n">
        <x:f>L150*(1-T150/100)*(1-U150/100)</x:f>
        <x:v>351.99703883916</x:v>
      </x:c>
      <x:c r="W150" s="38" t="n">
        <x:f>G150*N150</x:f>
        <x:v>177794.34738000002</x:v>
      </x:c>
      <x:c r="X150" s="38" t="n">
        <x:f>H150*O150</x:f>
        <x:v>45357.237199999996</x:v>
      </x:c>
      <x:c r="Y150" s="38" t="n">
        <x:f>I150*P150</x:f>
        <x:v>13732.949999999999</x:v>
      </x:c>
      <x:c r="Z150" s="38" t="n">
        <x:f>J150*Q150+K150*P150</x:f>
        <x:v>2926.37968</x:v>
      </x:c>
      <x:c r="AA150" s="38" t="n">
        <x:f>M150*R150</x:f>
        <x:v>22814.2775025</x:v>
      </x:c>
      <x:c r="AB150" s="38" t="n">
        <x:f>SUM(W150:AA150)</x:f>
        <x:v>262625.19176250004</x:v>
      </x:c>
      <x:c r="AC150" s="38" t="n">
        <x:v>15.27</x:v>
      </x:c>
      <x:c r="AD150" s="38" t="n">
        <x:v>174.33</x:v>
      </x:c>
      <x:c r="AE150" s="38" t="n">
        <x:v>186.91</x:v>
      </x:c>
      <x:c r="AF150" s="38" t="n">
        <x:v>4.8148</x:v>
      </x:c>
      <x:c r="AG150" s="38" t="n">
        <x:v>5.11</x:v>
      </x:c>
      <x:c r="AH150" s="38" t="n">
        <x:f>IF(E150="Fason",L150*S150,0)</x:f>
        <x:v>0</x:v>
      </x:c>
      <x:c r="AI150" s="38" t="n">
        <x:f>IF(E150="Kurum içi",AC150*AD150+AE150*AF150+AB150*12%,0)</x:f>
        <x:v>35076.9763795</x:v>
      </x:c>
      <x:c r="AJ150" s="38" t="n">
        <x:f>V150*AG150</x:f>
        <x:v>1798.7048684681076</x:v>
      </x:c>
      <x:c r="AK150" s="38" t="n">
        <x:f>AB150*2%</x:f>
        <x:v>5252.5038352500005</x:v>
      </x:c>
      <x:c r="AL150" s="38" t="n">
        <x:f>AB150+AH150+AI150+AJ150+AK150</x:f>
        <x:v>304753.3768457181</x:v>
      </x:c>
      <x:c r="AM150" s="38" t="n">
        <x:f>AL150/V150</x:f>
        <x:v>865.7839220771707</x:v>
      </x:c>
      <x:c r="AN150" s="40" t="n">
        <x:f>(W150+X150)/AL150*100</x:f>
        <x:v>73.22366265131521</x:v>
      </x:c>
      <x:c r="AO150" s="28" t="str">
        <x:v>R01-R20; ilgili satırdaki bölgesel fiyat ve maliyet varsayımları</x:v>
      </x:c>
      <x:c r="AP150" s="28" t="str">
        <x:v>Girdi miktarları, alım fiyatı değişimi, fason bedeli ve parti sonucu simüle edilmiştir; işletme kaydı değildir.</x:v>
      </x:c>
    </x:row>
    <x:row r="151" ht="22" customHeight="1">
      <x:c r="A151" t="str">
        <x:v>SUC-0150</x:v>
      </x:c>
      <x:c r="B151" s="36" t="n">
        <x:v>46290</x:v>
      </x:c>
      <x:c r="C151" t="str">
        <x:v>Karadeniz</x:v>
      </x:c>
      <x:c r="D151" t="str">
        <x:v>ERZURUM_CI</x:v>
      </x:c>
      <x:c r="E151" t="str">
        <x:v>Kurum içi</x:v>
      </x:c>
      <x:c r="F151" s="42" t="str">
        <x:v>SENTETİK/SİMÜLE — gerçek parti kaydı değildir</x:v>
      </x:c>
      <x:c r="G151" s="38" t="n">
        <x:v>301.419</x:v>
      </x:c>
      <x:c r="H151" s="38" t="n">
        <x:v>51.718</x:v>
      </x:c>
      <x:c r="I151" s="38" t="n">
        <x:v>18.843</x:v>
      </x:c>
      <x:c r="J151" s="38" t="n">
        <x:v>5.819</x:v>
      </x:c>
      <x:c r="K151" s="38" t="n">
        <x:v>0.415</x:v>
      </x:c>
      <x:c r="L151" s="38" t="n">
        <x:f>SUM(G151:K151)</x:f>
        <x:v>378.21400000000006</x:v>
      </x:c>
      <x:c r="M151" s="38" t="n">
        <x:v>447.449</x:v>
      </x:c>
      <x:c r="N151" s="38" t="n">
        <x:v>603.99</x:v>
      </x:c>
      <x:c r="O151" s="38" t="n">
        <x:v>425.54</x:v>
      </x:c>
      <x:c r="P151" s="38" t="n">
        <x:v>669.9</x:v>
      </x:c>
      <x:c r="Q151" s="38" t="n">
        <x:v>19.88</x:v>
      </x:c>
      <x:c r="R151" s="38" t="n">
        <x:v>43.7475</x:v>
      </x:c>
      <x:c r="S151" s="38" t="n">
        <x:v>72.11</x:v>
      </x:c>
      <x:c r="T151" s="40" t="n">
        <x:v>25.24</x:v>
      </x:c>
      <x:c r="U151" s="40" t="n">
        <x:v>0.42</x:v>
      </x:c>
      <x:c r="V151" s="38" t="n">
        <x:f>L151*(1-T151/100)*(1-U151/100)</x:f>
        <x:v>281.5652246971201</x:v>
      </x:c>
      <x:c r="W151" s="38" t="n">
        <x:f>G151*N151</x:f>
        <x:v>182054.06180999998</x:v>
      </x:c>
      <x:c r="X151" s="38" t="n">
        <x:f>H151*O151</x:f>
        <x:v>22008.07772</x:v>
      </x:c>
      <x:c r="Y151" s="38" t="n">
        <x:f>I151*P151</x:f>
        <x:v>12622.9257</x:v>
      </x:c>
      <x:c r="Z151" s="38" t="n">
        <x:f>J151*Q151+K151*P151</x:f>
        <x:v>393.69021999999995</x:v>
      </x:c>
      <x:c r="AA151" s="38" t="n">
        <x:f>M151*R151</x:f>
        <x:v>19574.7751275</x:v>
      </x:c>
      <x:c r="AB151" s="38" t="n">
        <x:f>SUM(W151:AA151)</x:f>
        <x:v>236653.53057749997</x:v>
      </x:c>
      <x:c r="AC151" s="38" t="n">
        <x:v>24.23</x:v>
      </x:c>
      <x:c r="AD151" s="38" t="n">
        <x:v>174.33</x:v>
      </x:c>
      <x:c r="AE151" s="38" t="n">
        <x:v>88.84</x:v>
      </x:c>
      <x:c r="AF151" s="38" t="n">
        <x:v>4.8148</x:v>
      </x:c>
      <x:c r="AG151" s="38" t="n">
        <x:v>5.82</x:v>
      </x:c>
      <x:c r="AH151" s="38" t="n">
        <x:f>IF(E151="Fason",L151*S151,0)</x:f>
        <x:v>0</x:v>
      </x:c>
      <x:c r="AI151" s="38" t="n">
        <x:f>IF(E151="Kurum içi",AC151*AD151+AE151*AF151+AB151*12%,0)</x:f>
        <x:v>33050.186401299994</x:v>
      </x:c>
      <x:c r="AJ151" s="38" t="n">
        <x:f>V151*AG151</x:f>
        <x:v>1638.709607737239</x:v>
      </x:c>
      <x:c r="AK151" s="38" t="n">
        <x:f>AB151*2%</x:f>
        <x:v>4733.07061155</x:v>
      </x:c>
      <x:c r="AL151" s="38" t="n">
        <x:f>AB151+AH151+AI151+AJ151+AK151</x:f>
        <x:v>276075.4971980872</x:v>
      </x:c>
      <x:c r="AM151" s="38" t="n">
        <x:f>AL151/V151</x:f>
        <x:v>980.5028213092077</x:v>
      </x:c>
      <x:c r="AN151" s="40" t="n">
        <x:f>(W151+X151)/AL151*100</x:f>
        <x:v>73.91533895656924</x:v>
      </x:c>
      <x:c r="AO151" s="28" t="str">
        <x:v>R01-R20; ilgili satırdaki bölgesel fiyat ve maliyet varsayımları</x:v>
      </x:c>
      <x:c r="AP151" s="28" t="str">
        <x:v>Girdi miktarları, alım fiyatı değişimi, fason bedeli ve parti sonucu simüle edilmiştir; işletme kaydı değildir.</x:v>
      </x:c>
    </x:row>
    <x:row r="152" ht="22" customHeight="1">
      <x:c r="A152" t="str">
        <x:v>SUC-0151</x:v>
      </x:c>
      <x:c r="B152" s="36" t="n">
        <x:v>46281</x:v>
      </x:c>
      <x:c r="C152" t="str">
        <x:v>İç Anadolu</x:v>
      </x:c>
      <x:c r="D152" t="str">
        <x:v>ERZURUM_CI</x:v>
      </x:c>
      <x:c r="E152" t="str">
        <x:v>Kurum içi</x:v>
      </x:c>
      <x:c r="F152" s="42" t="str">
        <x:v>SENTETİK/SİMÜLE — gerçek parti kaydı değildir</x:v>
      </x:c>
      <x:c r="G152" s="38" t="n">
        <x:v>359.08</x:v>
      </x:c>
      <x:c r="H152" s="38" t="n">
        <x:v>64.353</x:v>
      </x:c>
      <x:c r="I152" s="38" t="n">
        <x:v>20.689</x:v>
      </x:c>
      <x:c r="J152" s="38" t="n">
        <x:v>7.946</x:v>
      </x:c>
      <x:c r="K152" s="38" t="n">
        <x:v>1.024</x:v>
      </x:c>
      <x:c r="L152" s="38" t="n">
        <x:f>SUM(G152:K152)</x:f>
        <x:v>453.09200000000004</x:v>
      </x:c>
      <x:c r="M152" s="38" t="n">
        <x:v>610.938</x:v>
      </x:c>
      <x:c r="N152" s="38" t="n">
        <x:v>594.28</x:v>
      </x:c>
      <x:c r="O152" s="38" t="n">
        <x:v>412.87</x:v>
      </x:c>
      <x:c r="P152" s="38" t="n">
        <x:v>550</x:v>
      </x:c>
      <x:c r="Q152" s="38" t="n">
        <x:v>19.88</x:v>
      </x:c>
      <x:c r="R152" s="38" t="n">
        <x:v>43.7475</x:v>
      </x:c>
      <x:c r="S152" s="38" t="n">
        <x:v>95.65</x:v>
      </x:c>
      <x:c r="T152" s="40" t="n">
        <x:v>19.04</x:v>
      </x:c>
      <x:c r="U152" s="40" t="n">
        <x:v>0.32</x:v>
      </x:c>
      <x:c r="V152" s="38" t="n">
        <x:f>L152*(1-T152/100)*(1-U152/100)</x:f>
        <x:v>365.64944869376006</x:v>
      </x:c>
      <x:c r="W152" s="38" t="n">
        <x:f>G152*N152</x:f>
        <x:v>213394.0624</x:v>
      </x:c>
      <x:c r="X152" s="38" t="n">
        <x:f>H152*O152</x:f>
        <x:v>26569.42311</x:v>
      </x:c>
      <x:c r="Y152" s="38" t="n">
        <x:f>I152*P152</x:f>
        <x:v>11378.95</x:v>
      </x:c>
      <x:c r="Z152" s="38" t="n">
        <x:f>J152*Q152+K152*P152</x:f>
        <x:v>721.1664800000001</x:v>
      </x:c>
      <x:c r="AA152" s="38" t="n">
        <x:f>M152*R152</x:f>
        <x:v>26727.010155</x:v>
      </x:c>
      <x:c r="AB152" s="38" t="n">
        <x:f>SUM(W152:AA152)</x:f>
        <x:v>278790.612145</x:v>
      </x:c>
      <x:c r="AC152" s="38" t="n">
        <x:v>31.01</x:v>
      </x:c>
      <x:c r="AD152" s="38" t="n">
        <x:v>174.33</x:v>
      </x:c>
      <x:c r="AE152" s="38" t="n">
        <x:v>126.33</x:v>
      </x:c>
      <x:c r="AF152" s="38" t="n">
        <x:v>4.8148</x:v>
      </x:c>
      <x:c r="AG152" s="38" t="n">
        <x:v>5.77</x:v>
      </x:c>
      <x:c r="AH152" s="38" t="n">
        <x:f>IF(E152="Fason",L152*S152,0)</x:f>
        <x:v>0</x:v>
      </x:c>
      <x:c r="AI152" s="38" t="n">
        <x:f>IF(E152="Kurum içi",AC152*AD152+AE152*AF152+AB152*12%,0)</x:f>
        <x:v>39469.100441400005</x:v>
      </x:c>
      <x:c r="AJ152" s="38" t="n">
        <x:f>V152*AG152</x:f>
        <x:v>2109.7973189629956</x:v>
      </x:c>
      <x:c r="AK152" s="38" t="n">
        <x:f>AB152*2%</x:f>
        <x:v>5575.8122429000005</x:v>
      </x:c>
      <x:c r="AL152" s="38" t="n">
        <x:f>AB152+AH152+AI152+AJ152+AK152</x:f>
        <x:v>325945.32214826305</x:v>
      </x:c>
      <x:c r="AM152" s="38" t="n">
        <x:f>AL152/V152</x:f>
        <x:v>891.414778041276</x:v>
      </x:c>
      <x:c r="AN152" s="40" t="n">
        <x:f>(W152+X152)/AL152*100</x:f>
        <x:v>73.6207790706834</x:v>
      </x:c>
      <x:c r="AO152" s="28" t="str">
        <x:v>R01-R20; ilgili satırdaki bölgesel fiyat ve maliyet varsayımları</x:v>
      </x:c>
      <x:c r="AP152" s="28" t="str">
        <x:v>Girdi miktarları, alım fiyatı değişimi, fason bedeli ve parti sonucu simüle edilmiştir; işletme kaydı değildir.</x:v>
      </x:c>
    </x:row>
    <x:row r="153" ht="22" customHeight="1">
      <x:c r="A153" t="str">
        <x:v>SUC-0152</x:v>
      </x:c>
      <x:c r="B153" s="36" t="n">
        <x:v>46316</x:v>
      </x:c>
      <x:c r="C153" t="str">
        <x:v>Karadeniz</x:v>
      </x:c>
      <x:c r="D153" t="str">
        <x:v>MEB_STANDART</x:v>
      </x:c>
      <x:c r="E153" t="str">
        <x:v>Kurum içi</x:v>
      </x:c>
      <x:c r="F153" s="42" t="str">
        <x:v>SENTETİK/SİMÜLE — gerçek parti kaydı değildir</x:v>
      </x:c>
      <x:c r="G153" s="38" t="n">
        <x:v>124.494</x:v>
      </x:c>
      <x:c r="H153" s="38" t="n">
        <x:v>37.351</x:v>
      </x:c>
      <x:c r="I153" s="38" t="n">
        <x:v>7.532</x:v>
      </x:c>
      <x:c r="J153" s="38" t="n">
        <x:v>4.367</x:v>
      </x:c>
      <x:c r="K153" s="38" t="n">
        <x:v>1.748</x:v>
      </x:c>
      <x:c r="L153" s="38" t="n">
        <x:f>SUM(G153:K153)</x:f>
        <x:v>175.492</x:v>
      </x:c>
      <x:c r="M153" s="38" t="n">
        <x:v>228.272</x:v>
      </x:c>
      <x:c r="N153" s="38" t="n">
        <x:v>594.5</x:v>
      </x:c>
      <x:c r="O153" s="38" t="n">
        <x:v>465.1</x:v>
      </x:c>
      <x:c r="P153" s="38" t="n">
        <x:v>400</x:v>
      </x:c>
      <x:c r="Q153" s="38" t="n">
        <x:v>19.88</x:v>
      </x:c>
      <x:c r="R153" s="38" t="n">
        <x:v>43.7475</x:v>
      </x:c>
      <x:c r="S153" s="38" t="n">
        <x:v>104.5</x:v>
      </x:c>
      <x:c r="T153" s="40" t="n">
        <x:v>21.13</x:v>
      </x:c>
      <x:c r="U153" s="40" t="n">
        <x:v>0.86</x:v>
      </x:c>
      <x:c r="V153" s="38" t="n">
        <x:f>L153*(1-T153/100)*(1-U153/100)</x:f>
        <x:v>137.22020975255995</x:v>
      </x:c>
      <x:c r="W153" s="38" t="n">
        <x:f>G153*N153</x:f>
        <x:v>74011.683</x:v>
      </x:c>
      <x:c r="X153" s="38" t="n">
        <x:f>H153*O153</x:f>
        <x:v>17371.950100000002</x:v>
      </x:c>
      <x:c r="Y153" s="38" t="n">
        <x:f>I153*P153</x:f>
        <x:v>3012.8</x:v>
      </x:c>
      <x:c r="Z153" s="38" t="n">
        <x:f>J153*Q153+K153*P153</x:f>
        <x:v>786.0159600000001</x:v>
      </x:c>
      <x:c r="AA153" s="38" t="n">
        <x:f>M153*R153</x:f>
        <x:v>9986.32932</x:v>
      </x:c>
      <x:c r="AB153" s="38" t="n">
        <x:f>SUM(W153:AA153)</x:f>
        <x:v>105168.77838000002</x:v>
      </x:c>
      <x:c r="AC153" s="38" t="n">
        <x:v>12.25</x:v>
      </x:c>
      <x:c r="AD153" s="38" t="n">
        <x:v>174.33</x:v>
      </x:c>
      <x:c r="AE153" s="38" t="n">
        <x:v>42.84</x:v>
      </x:c>
      <x:c r="AF153" s="38" t="n">
        <x:v>4.8148</x:v>
      </x:c>
      <x:c r="AG153" s="38" t="n">
        <x:v>5.56</x:v>
      </x:c>
      <x:c r="AH153" s="38" t="n">
        <x:f>IF(E153="Fason",L153*S153,0)</x:f>
        <x:v>0</x:v>
      </x:c>
      <x:c r="AI153" s="38" t="n">
        <x:f>IF(E153="Kurum içi",AC153*AD153+AE153*AF153+AB153*12%,0)</x:f>
        <x:v>14962.061937600003</x:v>
      </x:c>
      <x:c r="AJ153" s="38" t="n">
        <x:f>V153*AG153</x:f>
        <x:v>762.9443662242332</x:v>
      </x:c>
      <x:c r="AK153" s="38" t="n">
        <x:f>AB153*2%</x:f>
        <x:v>2103.3755676000005</x:v>
      </x:c>
      <x:c r="AL153" s="38" t="n">
        <x:f>AB153+AH153+AI153+AJ153+AK153</x:f>
        <x:v>122997.16025142425</x:v>
      </x:c>
      <x:c r="AM153" s="38" t="n">
        <x:f>AL153/V153</x:f>
        <x:v>896.3487264246048</x:v>
      </x:c>
      <x:c r="AN153" s="40" t="n">
        <x:f>(W153+X153)/AL153*100</x:f>
        <x:v>74.29735199837008</x:v>
      </x:c>
      <x:c r="AO153" s="28" t="str">
        <x:v>R01-R20; ilgili satırdaki bölgesel fiyat ve maliyet varsayımları</x:v>
      </x:c>
      <x:c r="AP153" s="28" t="str">
        <x:v>Girdi miktarları, alım fiyatı değişimi, fason bedeli ve parti sonucu simüle edilmiştir; işletme kaydı değildir.</x:v>
      </x:c>
    </x:row>
    <x:row r="154" ht="22" customHeight="1">
      <x:c r="A154" t="str">
        <x:v>SUC-0153</x:v>
      </x:c>
      <x:c r="B154" s="36" t="n">
        <x:v>46314</x:v>
      </x:c>
      <x:c r="C154" t="str">
        <x:v>Ege</x:v>
      </x:c>
      <x:c r="D154" t="str">
        <x:v>MEB_STANDART</x:v>
      </x:c>
      <x:c r="E154" t="str">
        <x:v>Kurum içi</x:v>
      </x:c>
      <x:c r="F154" s="42" t="str">
        <x:v>SENTETİK/SİMÜLE — gerçek parti kaydı değildir</x:v>
      </x:c>
      <x:c r="G154" s="38" t="n">
        <x:v>104.275</x:v>
      </x:c>
      <x:c r="H154" s="38" t="n">
        <x:v>31.411</x:v>
      </x:c>
      <x:c r="I154" s="38" t="n">
        <x:v>6.799</x:v>
      </x:c>
      <x:c r="J154" s="38" t="n">
        <x:v>3.927</x:v>
      </x:c>
      <x:c r="K154" s="38" t="n">
        <x:v>1.606</x:v>
      </x:c>
      <x:c r="L154" s="38" t="n">
        <x:f>SUM(G154:K154)</x:f>
        <x:v>148.018</x:v>
      </x:c>
      <x:c r="M154" s="38" t="n">
        <x:v>195.273</x:v>
      </x:c>
      <x:c r="N154" s="38" t="n">
        <x:v>589.77</x:v>
      </x:c>
      <x:c r="O154" s="38" t="n">
        <x:v>444.26</x:v>
      </x:c>
      <x:c r="P154" s="38" t="n">
        <x:v>550</x:v>
      </x:c>
      <x:c r="Q154" s="38" t="n">
        <x:v>19.88</x:v>
      </x:c>
      <x:c r="R154" s="38" t="n">
        <x:v>43.7475</x:v>
      </x:c>
      <x:c r="S154" s="38" t="n">
        <x:v>89.55</x:v>
      </x:c>
      <x:c r="T154" s="40" t="n">
        <x:v>23.1</x:v>
      </x:c>
      <x:c r="U154" s="40" t="n">
        <x:v>1.21</x:v>
      </x:c>
      <x:c r="V154" s="38" t="n">
        <x:f>L154*(1-T154/100)*(1-U154/100)</x:f>
        <x:v>112.44854931180001</x:v>
      </x:c>
      <x:c r="W154" s="38" t="n">
        <x:f>G154*N154</x:f>
        <x:v>61498.26675</x:v>
      </x:c>
      <x:c r="X154" s="38" t="n">
        <x:f>H154*O154</x:f>
        <x:v>13954.65086</x:v>
      </x:c>
      <x:c r="Y154" s="38" t="n">
        <x:f>I154*P154</x:f>
        <x:v>3739.4500000000003</x:v>
      </x:c>
      <x:c r="Z154" s="38" t="n">
        <x:f>J154*Q154+K154*P154</x:f>
        <x:v>961.3687600000001</x:v>
      </x:c>
      <x:c r="AA154" s="38" t="n">
        <x:f>M154*R154</x:f>
        <x:v>8542.705567500001</x:v>
      </x:c>
      <x:c r="AB154" s="38" t="n">
        <x:f>SUM(W154:AA154)</x:f>
        <x:v>88696.4419375</x:v>
      </x:c>
      <x:c r="AC154" s="38" t="n">
        <x:v>9.91</x:v>
      </x:c>
      <x:c r="AD154" s="38" t="n">
        <x:v>174.33</x:v>
      </x:c>
      <x:c r="AE154" s="38" t="n">
        <x:v>54.82</x:v>
      </x:c>
      <x:c r="AF154" s="38" t="n">
        <x:v>4.8148</x:v>
      </x:c>
      <x:c r="AG154" s="38" t="n">
        <x:v>5.9</x:v>
      </x:c>
      <x:c r="AH154" s="38" t="n">
        <x:f>IF(E154="Fason",L154*S154,0)</x:f>
        <x:v>0</x:v>
      </x:c>
      <x:c r="AI154" s="38" t="n">
        <x:f>IF(E154="Kurum içi",AC154*AD154+AE154*AF154+AB154*12%,0)</x:f>
        <x:v>12635.1306685</x:v>
      </x:c>
      <x:c r="AJ154" s="38" t="n">
        <x:f>V154*AG154</x:f>
        <x:v>663.4464409396201</x:v>
      </x:c>
      <x:c r="AK154" s="38" t="n">
        <x:f>AB154*2%</x:f>
        <x:v>1773.92883875</x:v>
      </x:c>
      <x:c r="AL154" s="38" t="n">
        <x:f>AB154+AH154+AI154+AJ154+AK154</x:f>
        <x:v>103768.94788568962</x:v>
      </x:c>
      <x:c r="AM154" s="38" t="n">
        <x:f>AL154/V154</x:f>
        <x:v>922.8126865199177</x:v>
      </x:c>
      <x:c r="AN154" s="40" t="n">
        <x:f>(W154+X154)/AL154*100</x:f>
        <x:v>72.71242423419176</x:v>
      </x:c>
      <x:c r="AO154" s="28" t="str">
        <x:v>R01-R20; ilgili satırdaki bölgesel fiyat ve maliyet varsayımları</x:v>
      </x:c>
      <x:c r="AP154" s="28" t="str">
        <x:v>Girdi miktarları, alım fiyatı değişimi, fason bedeli ve parti sonucu simüle edilmiştir; işletme kaydı değildir.</x:v>
      </x:c>
    </x:row>
    <x:row r="155" ht="22" customHeight="1">
      <x:c r="A155" t="str">
        <x:v>SUC-0154</x:v>
      </x:c>
      <x:c r="B155" s="36" t="n">
        <x:v>46292</x:v>
      </x:c>
      <x:c r="C155" t="str">
        <x:v>Karadeniz</x:v>
      </x:c>
      <x:c r="D155" t="str">
        <x:v>MEB_STANDART</x:v>
      </x:c>
      <x:c r="E155" t="str">
        <x:v>Kurum içi</x:v>
      </x:c>
      <x:c r="F155" s="42" t="str">
        <x:v>SENTETİK/SİMÜLE — gerçek parti kaydı değildir</x:v>
      </x:c>
      <x:c r="G155" s="38" t="n">
        <x:v>172.715</x:v>
      </x:c>
      <x:c r="H155" s="38" t="n">
        <x:v>52.82</x:v>
      </x:c>
      <x:c r="I155" s="38" t="n">
        <x:v>11.512</x:v>
      </x:c>
      <x:c r="J155" s="38" t="n">
        <x:v>5.99</x:v>
      </x:c>
      <x:c r="K155" s="38" t="n">
        <x:v>2.609</x:v>
      </x:c>
      <x:c r="L155" s="38" t="n">
        <x:f>SUM(G155:K155)</x:f>
        <x:v>245.64600000000002</x:v>
      </x:c>
      <x:c r="M155" s="38" t="n">
        <x:v>303.565</x:v>
      </x:c>
      <x:c r="N155" s="38" t="n">
        <x:v>603.18</x:v>
      </x:c>
      <x:c r="O155" s="38" t="n">
        <x:v>456.38</x:v>
      </x:c>
      <x:c r="P155" s="38" t="n">
        <x:v>400</x:v>
      </x:c>
      <x:c r="Q155" s="38" t="n">
        <x:v>19.88</x:v>
      </x:c>
      <x:c r="R155" s="38" t="n">
        <x:v>43.7475</x:v>
      </x:c>
      <x:c r="S155" s="38" t="n">
        <x:v>111.1</x:v>
      </x:c>
      <x:c r="T155" s="40" t="n">
        <x:v>19.37</x:v>
      </x:c>
      <x:c r="U155" s="40" t="n">
        <x:v>1.47</x:v>
      </x:c>
      <x:c r="V155" s="38" t="n">
        <x:f>L155*(1-T155/100)*(1-U155/100)</x:f>
        <x:v>195.15282356394</x:v>
      </x:c>
      <x:c r="W155" s="38" t="n">
        <x:f>G155*N155</x:f>
        <x:v>104178.2337</x:v>
      </x:c>
      <x:c r="X155" s="38" t="n">
        <x:f>H155*O155</x:f>
        <x:v>24105.9916</x:v>
      </x:c>
      <x:c r="Y155" s="38" t="n">
        <x:f>I155*P155</x:f>
        <x:v>4604.8</x:v>
      </x:c>
      <x:c r="Z155" s="38" t="n">
        <x:f>J155*Q155+K155*P155</x:f>
        <x:v>1162.6812</x:v>
      </x:c>
      <x:c r="AA155" s="38" t="n">
        <x:f>M155*R155</x:f>
        <x:v>13280.2098375</x:v>
      </x:c>
      <x:c r="AB155" s="38" t="n">
        <x:f>SUM(W155:AA155)</x:f>
        <x:v>147331.91633749998</x:v>
      </x:c>
      <x:c r="AC155" s="38" t="n">
        <x:v>13.37</x:v>
      </x:c>
      <x:c r="AD155" s="38" t="n">
        <x:v>174.33</x:v>
      </x:c>
      <x:c r="AE155" s="38" t="n">
        <x:v>105.03</x:v>
      </x:c>
      <x:c r="AF155" s="38" t="n">
        <x:v>4.8148</x:v>
      </x:c>
      <x:c r="AG155" s="38" t="n">
        <x:v>5.53</x:v>
      </x:c>
      <x:c r="AH155" s="38" t="n">
        <x:f>IF(E155="Fason",L155*S155,0)</x:f>
        <x:v>0</x:v>
      </x:c>
      <x:c r="AI155" s="38" t="n">
        <x:f>IF(E155="Kurum içi",AC155*AD155+AE155*AF155+AB155*12%,0)</x:f>
        <x:v>20516.320504499996</x:v>
      </x:c>
      <x:c r="AJ155" s="38" t="n">
        <x:f>V155*AG155</x:f>
        <x:v>1079.1951143085882</x:v>
      </x:c>
      <x:c r="AK155" s="38" t="n">
        <x:f>AB155*2%</x:f>
        <x:v>2946.6383267499996</x:v>
      </x:c>
      <x:c r="AL155" s="38" t="n">
        <x:f>AB155+AH155+AI155+AJ155+AK155</x:f>
        <x:v>171874.07028305857</x:v>
      </x:c>
      <x:c r="AM155" s="38" t="n">
        <x:f>AL155/V155</x:f>
        <x:v>880.715262757885</x:v>
      </x:c>
      <x:c r="AN155" s="40" t="n">
        <x:f>(W155+X155)/AL155*100</x:f>
        <x:v>74.63849845920872</x:v>
      </x:c>
      <x:c r="AO155" s="28" t="str">
        <x:v>R01-R20; ilgili satırdaki bölgesel fiyat ve maliyet varsayımları</x:v>
      </x:c>
      <x:c r="AP155" s="28" t="str">
        <x:v>Girdi miktarları, alım fiyatı değişimi, fason bedeli ve parti sonucu simüle edilmiştir; işletme kaydı değildir.</x:v>
      </x:c>
    </x:row>
    <x:row r="156" ht="22" customHeight="1">
      <x:c r="A156" t="str">
        <x:v>SUC-0155</x:v>
      </x:c>
      <x:c r="B156" s="36" t="n">
        <x:v>46294</x:v>
      </x:c>
      <x:c r="C156" t="str">
        <x:v>Karadeniz</x:v>
      </x:c>
      <x:c r="D156" t="str">
        <x:v>ERZURUM_CI</x:v>
      </x:c>
      <x:c r="E156" t="str">
        <x:v>Kurum içi</x:v>
      </x:c>
      <x:c r="F156" s="42" t="str">
        <x:v>SENTETİK/SİMÜLE — gerçek parti kaydı değildir</x:v>
      </x:c>
      <x:c r="G156" s="38" t="n">
        <x:v>175.84</x:v>
      </x:c>
      <x:c r="H156" s="38" t="n">
        <x:v>31.065</x:v>
      </x:c>
      <x:c r="I156" s="38" t="n">
        <x:v>9.691</x:v>
      </x:c>
      <x:c r="J156" s="38" t="n">
        <x:v>3.098</x:v>
      </x:c>
      <x:c r="K156" s="38" t="n">
        <x:v>0.029</x:v>
      </x:c>
      <x:c r="L156" s="38" t="n">
        <x:f>SUM(G156:K156)</x:f>
        <x:v>219.723</x:v>
      </x:c>
      <x:c r="M156" s="38" t="n">
        <x:v>288.164</x:v>
      </x:c>
      <x:c r="N156" s="38" t="n">
        <x:v>593.2</x:v>
      </x:c>
      <x:c r="O156" s="38" t="n">
        <x:v>433.2</x:v>
      </x:c>
      <x:c r="P156" s="38" t="n">
        <x:v>669.9</x:v>
      </x:c>
      <x:c r="Q156" s="38" t="n">
        <x:v>19.88</x:v>
      </x:c>
      <x:c r="R156" s="38" t="n">
        <x:v>43.7475</x:v>
      </x:c>
      <x:c r="S156" s="38" t="n">
        <x:v>83.79</x:v>
      </x:c>
      <x:c r="T156" s="40" t="n">
        <x:v>25.28</x:v>
      </x:c>
      <x:c r="U156" s="40" t="n">
        <x:v>1.2</x:v>
      </x:c>
      <x:c r="V156" s="38" t="n">
        <x:f>L156*(1-T156/100)*(1-U156/100)</x:f>
        <x:v>162.2069012928</x:v>
      </x:c>
      <x:c r="W156" s="38" t="n">
        <x:f>G156*N156</x:f>
        <x:v>104308.28800000002</x:v>
      </x:c>
      <x:c r="X156" s="38" t="n">
        <x:f>H156*O156</x:f>
        <x:v>13457.358</x:v>
      </x:c>
      <x:c r="Y156" s="38" t="n">
        <x:f>I156*P156</x:f>
        <x:v>6492.0009</x:v>
      </x:c>
      <x:c r="Z156" s="38" t="n">
        <x:f>J156*Q156+K156*P156</x:f>
        <x:v>81.01534</x:v>
      </x:c>
      <x:c r="AA156" s="38" t="n">
        <x:f>M156*R156</x:f>
        <x:v>12606.45459</x:v>
      </x:c>
      <x:c r="AB156" s="38" t="n">
        <x:f>SUM(W156:AA156)</x:f>
        <x:v>136945.11683</x:v>
      </x:c>
      <x:c r="AC156" s="38" t="n">
        <x:v>13.87</x:v>
      </x:c>
      <x:c r="AD156" s="38" t="n">
        <x:v>174.33</x:v>
      </x:c>
      <x:c r="AE156" s="38" t="n">
        <x:v>53.69</x:v>
      </x:c>
      <x:c r="AF156" s="38" t="n">
        <x:v>4.8148</x:v>
      </x:c>
      <x:c r="AG156" s="38" t="n">
        <x:v>5.18</x:v>
      </x:c>
      <x:c r="AH156" s="38" t="n">
        <x:f>IF(E156="Fason",L156*S156,0)</x:f>
        <x:v>0</x:v>
      </x:c>
      <x:c r="AI156" s="38" t="n">
        <x:f>IF(E156="Kurum içi",AC156*AD156+AE156*AF156+AB156*12%,0)</x:f>
        <x:v>19109.8777316</x:v>
      </x:c>
      <x:c r="AJ156" s="38" t="n">
        <x:f>V156*AG156</x:f>
        <x:v>840.231748696704</x:v>
      </x:c>
      <x:c r="AK156" s="38" t="n">
        <x:f>AB156*2%</x:f>
        <x:v>2738.9023366</x:v>
      </x:c>
      <x:c r="AL156" s="38" t="n">
        <x:f>AB156+AH156+AI156+AJ156+AK156</x:f>
        <x:v>159634.12864689672</x:v>
      </x:c>
      <x:c r="AM156" s="38" t="n">
        <x:f>AL156/V156</x:f>
        <x:v>984.1389446108758</x:v>
      </x:c>
      <x:c r="AN156" s="40" t="n">
        <x:f>(W156+X156)/AL156*100</x:f>
        <x:v>73.77222339496848</x:v>
      </x:c>
      <x:c r="AO156" s="28" t="str">
        <x:v>R01-R20; ilgili satırdaki bölgesel fiyat ve maliyet varsayımları</x:v>
      </x:c>
      <x:c r="AP156" s="28" t="str">
        <x:v>Girdi miktarları, alım fiyatı değişimi, fason bedeli ve parti sonucu simüle edilmiştir; işletme kaydı değildir.</x:v>
      </x:c>
    </x:row>
    <x:row r="157" ht="22" customHeight="1">
      <x:c r="A157" t="str">
        <x:v>SUC-0156</x:v>
      </x:c>
      <x:c r="B157" s="36" t="n">
        <x:v>46307</x:v>
      </x:c>
      <x:c r="C157" t="str">
        <x:v>Marmara</x:v>
      </x:c>
      <x:c r="D157" t="str">
        <x:v>MEB_STANDART</x:v>
      </x:c>
      <x:c r="E157" t="str">
        <x:v>Kurum içi</x:v>
      </x:c>
      <x:c r="F157" s="42" t="str">
        <x:v>SENTETİK/SİMÜLE — gerçek parti kaydı değildir</x:v>
      </x:c>
      <x:c r="G157" s="38" t="n">
        <x:v>247.802</x:v>
      </x:c>
      <x:c r="H157" s="38" t="n">
        <x:v>79.687</x:v>
      </x:c>
      <x:c r="I157" s="38" t="n">
        <x:v>15.592</x:v>
      </x:c>
      <x:c r="J157" s="38" t="n">
        <x:v>8.721</x:v>
      </x:c>
      <x:c r="K157" s="38" t="n">
        <x:v>3.698</x:v>
      </x:c>
      <x:c r="L157" s="38" t="n">
        <x:f>SUM(G157:K157)</x:f>
        <x:v>355.49999999999994</x:v>
      </x:c>
      <x:c r="M157" s="38" t="n">
        <x:v>452.511</x:v>
      </x:c>
      <x:c r="N157" s="38" t="n">
        <x:v>621.68</x:v>
      </x:c>
      <x:c r="O157" s="38" t="n">
        <x:v>454.75</x:v>
      </x:c>
      <x:c r="P157" s="38" t="n">
        <x:v>550</x:v>
      </x:c>
      <x:c r="Q157" s="38" t="n">
        <x:v>19.88</x:v>
      </x:c>
      <x:c r="R157" s="38" t="n">
        <x:v>43.7475</x:v>
      </x:c>
      <x:c r="S157" s="38" t="n">
        <x:v>76.98</x:v>
      </x:c>
      <x:c r="T157" s="40" t="n">
        <x:v>17.52</x:v>
      </x:c>
      <x:c r="U157" s="40" t="n">
        <x:v>0.83</x:v>
      </x:c>
      <x:c r="V157" s="38" t="n">
        <x:f>L157*(1-T157/100)*(1-U157/100)</x:f>
        <x:v>290.78270388</x:v>
      </x:c>
      <x:c r="W157" s="38" t="n">
        <x:f>G157*N157</x:f>
        <x:v>154053.54736</x:v>
      </x:c>
      <x:c r="X157" s="38" t="n">
        <x:f>H157*O157</x:f>
        <x:v>36237.66325</x:v>
      </x:c>
      <x:c r="Y157" s="38" t="n">
        <x:f>I157*P157</x:f>
        <x:v>8575.6</x:v>
      </x:c>
      <x:c r="Z157" s="38" t="n">
        <x:f>J157*Q157+K157*P157</x:f>
        <x:v>2207.27348</x:v>
      </x:c>
      <x:c r="AA157" s="38" t="n">
        <x:f>M157*R157</x:f>
        <x:v>19796.224972500004</x:v>
      </x:c>
      <x:c r="AB157" s="38" t="n">
        <x:f>SUM(W157:AA157)</x:f>
        <x:v>220870.30906250002</x:v>
      </x:c>
      <x:c r="AC157" s="38" t="n">
        <x:v>16.7</x:v>
      </x:c>
      <x:c r="AD157" s="38" t="n">
        <x:v>174.33</x:v>
      </x:c>
      <x:c r="AE157" s="38" t="n">
        <x:v>159.95</x:v>
      </x:c>
      <x:c r="AF157" s="38" t="n">
        <x:v>4.8148</x:v>
      </x:c>
      <x:c r="AG157" s="38" t="n">
        <x:v>5.58</x:v>
      </x:c>
      <x:c r="AH157" s="38" t="n">
        <x:f>IF(E157="Fason",L157*S157,0)</x:f>
        <x:v>0</x:v>
      </x:c>
      <x:c r="AI157" s="38" t="n">
        <x:f>IF(E157="Kurum içi",AC157*AD157+AE157*AF157+AB157*12%,0)</x:f>
        <x:v>30185.8753475</x:v>
      </x:c>
      <x:c r="AJ157" s="38" t="n">
        <x:f>V157*AG157</x:f>
        <x:v>1622.5674876504</x:v>
      </x:c>
      <x:c r="AK157" s="38" t="n">
        <x:f>AB157*2%</x:f>
        <x:v>4417.40618125</x:v>
      </x:c>
      <x:c r="AL157" s="38" t="n">
        <x:f>AB157+AH157+AI157+AJ157+AK157</x:f>
        <x:v>257096.15807890042</x:v>
      </x:c>
      <x:c r="AM157" s="38" t="n">
        <x:f>AL157/V157</x:f>
        <x:v>884.1521680911211</x:v>
      </x:c>
      <x:c r="AN157" s="40" t="n">
        <x:f>(W157+X157)/AL157*100</x:f>
        <x:v>74.01557924160088</x:v>
      </x:c>
      <x:c r="AO157" s="28" t="str">
        <x:v>R01-R20; ilgili satırdaki bölgesel fiyat ve maliyet varsayımları</x:v>
      </x:c>
      <x:c r="AP157" s="28" t="str">
        <x:v>Girdi miktarları, alım fiyatı değişimi, fason bedeli ve parti sonucu simüle edilmiştir; işletme kaydı değildir.</x:v>
      </x:c>
    </x:row>
    <x:row r="158" ht="22" customHeight="1">
      <x:c r="A158" t="str">
        <x:v>SUC-0157</x:v>
      </x:c>
      <x:c r="B158" s="36" t="n">
        <x:v>46279</x:v>
      </x:c>
      <x:c r="C158" t="str">
        <x:v>Doğu Anadolu</x:v>
      </x:c>
      <x:c r="D158" t="str">
        <x:v>ERZURUM_CI</x:v>
      </x:c>
      <x:c r="E158" t="str">
        <x:v>Kurum içi</x:v>
      </x:c>
      <x:c r="F158" s="42" t="str">
        <x:v>SENTETİK/SİMÜLE — gerçek parti kaydı değildir</x:v>
      </x:c>
      <x:c r="G158" s="38" t="n">
        <x:v>130.908</x:v>
      </x:c>
      <x:c r="H158" s="38" t="n">
        <x:v>23.286</x:v>
      </x:c>
      <x:c r="I158" s="38" t="n">
        <x:v>8.156</x:v>
      </x:c>
      <x:c r="J158" s="38" t="n">
        <x:v>2.7</x:v>
      </x:c>
      <x:c r="K158" s="38" t="n">
        <x:v>0.017</x:v>
      </x:c>
      <x:c r="L158" s="38" t="n">
        <x:f>SUM(G158:K158)</x:f>
        <x:v>165.06699999999998</x:v>
      </x:c>
      <x:c r="M158" s="38" t="n">
        <x:v>197.595</x:v>
      </x:c>
      <x:c r="N158" s="38" t="n">
        <x:v>586.17</x:v>
      </x:c>
      <x:c r="O158" s="38" t="n">
        <x:v>454.31</x:v>
      </x:c>
      <x:c r="P158" s="38" t="n">
        <x:v>400</x:v>
      </x:c>
      <x:c r="Q158" s="38" t="n">
        <x:v>19.88</x:v>
      </x:c>
      <x:c r="R158" s="38" t="n">
        <x:v>43.7475</x:v>
      </x:c>
      <x:c r="S158" s="38" t="n">
        <x:v>124.98</x:v>
      </x:c>
      <x:c r="T158" s="40" t="n">
        <x:v>16.14</x:v>
      </x:c>
      <x:c r="U158" s="40" t="n">
        <x:v>1.62</x:v>
      </x:c>
      <x:c r="V158" s="38" t="n">
        <x:f>L158*(1-T158/100)*(1-U158/100)</x:f>
        <x:v>136.18269818355998</x:v>
      </x:c>
      <x:c r="W158" s="38" t="n">
        <x:f>G158*N158</x:f>
        <x:v>76734.34235999998</x:v>
      </x:c>
      <x:c r="X158" s="38" t="n">
        <x:f>H158*O158</x:f>
        <x:v>10579.062660000001</x:v>
      </x:c>
      <x:c r="Y158" s="38" t="n">
        <x:f>I158*P158</x:f>
        <x:v>3262.4</x:v>
      </x:c>
      <x:c r="Z158" s="38" t="n">
        <x:f>J158*Q158+K158*P158</x:f>
        <x:v>60.476</x:v>
      </x:c>
      <x:c r="AA158" s="38" t="n">
        <x:f>M158*R158</x:f>
        <x:v>8644.2872625</x:v>
      </x:c>
      <x:c r="AB158" s="38" t="n">
        <x:f>SUM(W158:AA158)</x:f>
        <x:v>99280.56828249997</x:v>
      </x:c>
      <x:c r="AC158" s="38" t="n">
        <x:v>10.24</x:v>
      </x:c>
      <x:c r="AD158" s="38" t="n">
        <x:v>174.33</x:v>
      </x:c>
      <x:c r="AE158" s="38" t="n">
        <x:v>42.58</x:v>
      </x:c>
      <x:c r="AF158" s="38" t="n">
        <x:v>4.8148</x:v>
      </x:c>
      <x:c r="AG158" s="38" t="n">
        <x:v>5.9</x:v>
      </x:c>
      <x:c r="AH158" s="38" t="n">
        <x:f>IF(E158="Fason",L158*S158,0)</x:f>
        <x:v>0</x:v>
      </x:c>
      <x:c r="AI158" s="38" t="n">
        <x:f>IF(E158="Kurum içi",AC158*AD158+AE158*AF158+AB158*12%,0)</x:f>
        <x:v>13903.821577899995</x:v>
      </x:c>
      <x:c r="AJ158" s="38" t="n">
        <x:f>V158*AG158</x:f>
        <x:v>803.4779192830039</x:v>
      </x:c>
      <x:c r="AK158" s="38" t="n">
        <x:f>AB158*2%</x:f>
        <x:v>1985.6113656499995</x:v>
      </x:c>
      <x:c r="AL158" s="38" t="n">
        <x:f>AB158+AH158+AI158+AJ158+AK158</x:f>
        <x:v>115973.47914533297</x:v>
      </x:c>
      <x:c r="AM158" s="38" t="n">
        <x:f>AL158/V158</x:f>
        <x:v>851.6021542546682</x:v>
      </x:c>
      <x:c r="AN158" s="40" t="n">
        <x:f>(W158+X158)/AL158*100</x:f>
        <x:v>75.28738955100465</x:v>
      </x:c>
      <x:c r="AO158" s="28" t="str">
        <x:v>R01-R20; ilgili satırdaki bölgesel fiyat ve maliyet varsayımları</x:v>
      </x:c>
      <x:c r="AP158" s="28" t="str">
        <x:v>Girdi miktarları, alım fiyatı değişimi, fason bedeli ve parti sonucu simüle edilmiştir; işletme kaydı değildir.</x:v>
      </x:c>
    </x:row>
    <x:row r="159" ht="22" customHeight="1">
      <x:c r="A159" t="str">
        <x:v>SUC-0158</x:v>
      </x:c>
      <x:c r="B159" s="36" t="n">
        <x:v>46276</x:v>
      </x:c>
      <x:c r="C159" t="str">
        <x:v>Güneydoğu Anadolu</x:v>
      </x:c>
      <x:c r="D159" t="str">
        <x:v>MEB_STANDART</x:v>
      </x:c>
      <x:c r="E159" t="str">
        <x:v>Kurum içi</x:v>
      </x:c>
      <x:c r="F159" s="42" t="str">
        <x:v>SENTETİK/SİMÜLE — gerçek parti kaydı değildir</x:v>
      </x:c>
      <x:c r="G159" s="38" t="n">
        <x:v>72.523</x:v>
      </x:c>
      <x:c r="H159" s="38" t="n">
        <x:v>24.08</x:v>
      </x:c>
      <x:c r="I159" s="38" t="n">
        <x:v>4.816</x:v>
      </x:c>
      <x:c r="J159" s="38" t="n">
        <x:v>2.514</x:v>
      </x:c>
      <x:c r="K159" s="38" t="n">
        <x:v>1.142</x:v>
      </x:c>
      <x:c r="L159" s="38" t="n">
        <x:f>SUM(G159:K159)</x:f>
        <x:v>105.07499999999999</x:v>
      </x:c>
      <x:c r="M159" s="38" t="n">
        <x:v>123.773</x:v>
      </x:c>
      <x:c r="N159" s="38" t="n">
        <x:v>590.96</x:v>
      </x:c>
      <x:c r="O159" s="38" t="n">
        <x:v>420.45</x:v>
      </x:c>
      <x:c r="P159" s="38" t="n">
        <x:v>400</x:v>
      </x:c>
      <x:c r="Q159" s="38" t="n">
        <x:v>19.88</x:v>
      </x:c>
      <x:c r="R159" s="38" t="n">
        <x:v>43.7475</x:v>
      </x:c>
      <x:c r="S159" s="38" t="n">
        <x:v>91.84</x:v>
      </x:c>
      <x:c r="T159" s="40" t="n">
        <x:v>24.85</x:v>
      </x:c>
      <x:c r="U159" s="40" t="n">
        <x:v>0.82</x:v>
      </x:c>
      <x:c r="V159" s="38" t="n">
        <x:f>L159*(1-T159/100)*(1-U159/100)</x:f>
        <x:v>78.3163588275</x:v>
      </x:c>
      <x:c r="W159" s="38" t="n">
        <x:f>G159*N159</x:f>
        <x:v>42858.19208</x:v>
      </x:c>
      <x:c r="X159" s="38" t="n">
        <x:f>H159*O159</x:f>
        <x:v>10124.436</x:v>
      </x:c>
      <x:c r="Y159" s="38" t="n">
        <x:f>I159*P159</x:f>
        <x:v>1926.3999999999999</x:v>
      </x:c>
      <x:c r="Z159" s="38" t="n">
        <x:f>J159*Q159+K159*P159</x:f>
        <x:v>506.77831999999995</x:v>
      </x:c>
      <x:c r="AA159" s="38" t="n">
        <x:f>M159*R159</x:f>
        <x:v>5414.7593175</x:v>
      </x:c>
      <x:c r="AB159" s="38" t="n">
        <x:f>SUM(W159:AA159)</x:f>
        <x:v>60830.5657175</x:v>
      </x:c>
      <x:c r="AC159" s="38" t="n">
        <x:v>5.72</x:v>
      </x:c>
      <x:c r="AD159" s="38" t="n">
        <x:v>174.33</x:v>
      </x:c>
      <x:c r="AE159" s="38" t="n">
        <x:v>48.31</x:v>
      </x:c>
      <x:c r="AF159" s="38" t="n">
        <x:v>4.8148</x:v>
      </x:c>
      <x:c r="AG159" s="38" t="n">
        <x:v>5.24</x:v>
      </x:c>
      <x:c r="AH159" s="38" t="n">
        <x:f>IF(E159="Fason",L159*S159,0)</x:f>
        <x:v>0</x:v>
      </x:c>
      <x:c r="AI159" s="38" t="n">
        <x:f>IF(E159="Kurum içi",AC159*AD159+AE159*AF159+AB159*12%,0)</x:f>
        <x:v>8529.4384741</x:v>
      </x:c>
      <x:c r="AJ159" s="38" t="n">
        <x:f>V159*AG159</x:f>
        <x:v>410.3777202561</x:v>
      </x:c>
      <x:c r="AK159" s="38" t="n">
        <x:f>AB159*2%</x:f>
        <x:v>1216.6113143500002</x:v>
      </x:c>
      <x:c r="AL159" s="38" t="n">
        <x:f>AB159+AH159+AI159+AJ159+AK159</x:f>
        <x:v>70986.9932262061</x:v>
      </x:c>
      <x:c r="AM159" s="38" t="n">
        <x:f>AL159/V159</x:f>
        <x:v>906.4133507861673</x:v>
      </x:c>
      <x:c r="AN159" s="40" t="n">
        <x:f>(W159+X159)/AL159*100</x:f>
        <x:v>74.63709289836568</x:v>
      </x:c>
      <x:c r="AO159" s="28" t="str">
        <x:v>R01-R20; ilgili satırdaki bölgesel fiyat ve maliyet varsayımları</x:v>
      </x:c>
      <x:c r="AP159" s="28" t="str">
        <x:v>Girdi miktarları, alım fiyatı değişimi, fason bedeli ve parti sonucu simüle edilmiştir; işletme kaydı değildir.</x:v>
      </x:c>
    </x:row>
    <x:row r="160" ht="22" customHeight="1">
      <x:c r="A160" t="str">
        <x:v>SUC-0159</x:v>
      </x:c>
      <x:c r="B160" s="36" t="n">
        <x:v>46312</x:v>
      </x:c>
      <x:c r="C160" t="str">
        <x:v>İç Anadolu</x:v>
      </x:c>
      <x:c r="D160" t="str">
        <x:v>MEB_STANDART</x:v>
      </x:c>
      <x:c r="E160" t="str">
        <x:v>Kurum içi</x:v>
      </x:c>
      <x:c r="F160" s="42" t="str">
        <x:v>SENTETİK/SİMÜLE — gerçek parti kaydı değildir</x:v>
      </x:c>
      <x:c r="G160" s="38" t="n">
        <x:v>321.399</x:v>
      </x:c>
      <x:c r="H160" s="38" t="n">
        <x:v>98.095</x:v>
      </x:c>
      <x:c r="I160" s="38" t="n">
        <x:v>21.434</x:v>
      </x:c>
      <x:c r="J160" s="38" t="n">
        <x:v>11.641</x:v>
      </x:c>
      <x:c r="K160" s="38" t="n">
        <x:v>4.528</x:v>
      </x:c>
      <x:c r="L160" s="38" t="n">
        <x:f>SUM(G160:K160)</x:f>
        <x:v>457.0970000000001</x:v>
      </x:c>
      <x:c r="M160" s="38" t="n">
        <x:v>544.622</x:v>
      </x:c>
      <x:c r="N160" s="38" t="n">
        <x:v>603.4</x:v>
      </x:c>
      <x:c r="O160" s="38" t="n">
        <x:v>464.6</x:v>
      </x:c>
      <x:c r="P160" s="38" t="n">
        <x:v>400</x:v>
      </x:c>
      <x:c r="Q160" s="38" t="n">
        <x:v>19.88</x:v>
      </x:c>
      <x:c r="R160" s="38" t="n">
        <x:v>43.7475</x:v>
      </x:c>
      <x:c r="S160" s="38" t="n">
        <x:v>114.65</x:v>
      </x:c>
      <x:c r="T160" s="40" t="n">
        <x:v>15.82</x:v>
      </x:c>
      <x:c r="U160" s="40" t="n">
        <x:v>0.9</x:v>
      </x:c>
      <x:c r="V160" s="38" t="n">
        <x:f>L160*(1-T160/100)*(1-U160/100)</x:f>
        <x:v>381.32119630860007</x:v>
      </x:c>
      <x:c r="W160" s="38" t="n">
        <x:f>G160*N160</x:f>
        <x:v>193932.1566</x:v>
      </x:c>
      <x:c r="X160" s="38" t="n">
        <x:f>H160*O160</x:f>
        <x:v>45574.937</x:v>
      </x:c>
      <x:c r="Y160" s="38" t="n">
        <x:f>I160*P160</x:f>
        <x:v>8573.6</x:v>
      </x:c>
      <x:c r="Z160" s="38" t="n">
        <x:f>J160*Q160+K160*P160</x:f>
        <x:v>2042.6230799999998</x:v>
      </x:c>
      <x:c r="AA160" s="38" t="n">
        <x:f>M160*R160</x:f>
        <x:v>23825.850945</x:v>
      </x:c>
      <x:c r="AB160" s="38" t="n">
        <x:f>SUM(W160:AA160)</x:f>
        <x:v>273949.167625</x:v>
      </x:c>
      <x:c r="AC160" s="38" t="n">
        <x:v>18.43</x:v>
      </x:c>
      <x:c r="AD160" s="38" t="n">
        <x:v>174.33</x:v>
      </x:c>
      <x:c r="AE160" s="38" t="n">
        <x:v>185.31</x:v>
      </x:c>
      <x:c r="AF160" s="38" t="n">
        <x:v>4.8148</x:v>
      </x:c>
      <x:c r="AG160" s="38" t="n">
        <x:v>5.26</x:v>
      </x:c>
      <x:c r="AH160" s="38" t="n">
        <x:f>IF(E160="Fason",L160*S160,0)</x:f>
        <x:v>0</x:v>
      </x:c>
      <x:c r="AI160" s="38" t="n">
        <x:f>IF(E160="Kurum içi",AC160*AD160+AE160*AF160+AB160*12%,0)</x:f>
        <x:v>36979.032603</x:v>
      </x:c>
      <x:c r="AJ160" s="38" t="n">
        <x:f>V160*AG160</x:f>
        <x:v>2005.7494925832364</x:v>
      </x:c>
      <x:c r="AK160" s="38" t="n">
        <x:f>AB160*2%</x:f>
        <x:v>5478.9833525</x:v>
      </x:c>
      <x:c r="AL160" s="38" t="n">
        <x:f>AB160+AH160+AI160+AJ160+AK160</x:f>
        <x:v>318412.93307308323</x:v>
      </x:c>
      <x:c r="AM160" s="38" t="n">
        <x:f>AL160/V160</x:f>
        <x:v>835.0255274437834</x:v>
      </x:c>
      <x:c r="AN160" s="40" t="n">
        <x:f>(W160+X160)/AL160*100</x:f>
        <x:v>75.21902181813309</x:v>
      </x:c>
      <x:c r="AO160" s="28" t="str">
        <x:v>R01-R20; ilgili satırdaki bölgesel fiyat ve maliyet varsayımları</x:v>
      </x:c>
      <x:c r="AP160" s="28" t="str">
        <x:v>Girdi miktarları, alım fiyatı değişimi, fason bedeli ve parti sonucu simüle edilmiştir; işletme kaydı değildir.</x:v>
      </x:c>
    </x:row>
    <x:row r="161" ht="22" customHeight="1">
      <x:c r="A161" t="str">
        <x:v>SUC-0160</x:v>
      </x:c>
      <x:c r="B161" s="36" t="n">
        <x:v>46273</x:v>
      </x:c>
      <x:c r="C161" t="str">
        <x:v>Karadeniz</x:v>
      </x:c>
      <x:c r="D161" t="str">
        <x:v>MEB_STANDART</x:v>
      </x:c>
      <x:c r="E161" t="str">
        <x:v>Kurum içi</x:v>
      </x:c>
      <x:c r="F161" s="42" t="str">
        <x:v>SENTETİK/SİMÜLE — gerçek parti kaydı değildir</x:v>
      </x:c>
      <x:c r="G161" s="38" t="n">
        <x:v>207.148</x:v>
      </x:c>
      <x:c r="H161" s="38" t="n">
        <x:v>68.5</x:v>
      </x:c>
      <x:c r="I161" s="38" t="n">
        <x:v>12.991</x:v>
      </x:c>
      <x:c r="J161" s="38" t="n">
        <x:v>7.173</x:v>
      </x:c>
      <x:c r="K161" s="38" t="n">
        <x:v>3.101</x:v>
      </x:c>
      <x:c r="L161" s="38" t="n">
        <x:f>SUM(G161:K161)</x:f>
        <x:v>298.913</x:v>
      </x:c>
      <x:c r="M161" s="38" t="n">
        <x:v>373.158</x:v>
      </x:c>
      <x:c r="N161" s="38" t="n">
        <x:v>608.8</x:v>
      </x:c>
      <x:c r="O161" s="38" t="n">
        <x:v>439.92</x:v>
      </x:c>
      <x:c r="P161" s="38" t="n">
        <x:v>669.9</x:v>
      </x:c>
      <x:c r="Q161" s="38" t="n">
        <x:v>19.88</x:v>
      </x:c>
      <x:c r="R161" s="38" t="n">
        <x:v>43.7475</x:v>
      </x:c>
      <x:c r="S161" s="38" t="n">
        <x:v>83.22</x:v>
      </x:c>
      <x:c r="T161" s="40" t="n">
        <x:v>17.48</x:v>
      </x:c>
      <x:c r="U161" s="40" t="n">
        <x:v>0.83</x:v>
      </x:c>
      <x:c r="V161" s="38" t="n">
        <x:f>L161*(1-T161/100)*(1-U161/100)</x:f>
        <x:v>244.61570463692</x:v>
      </x:c>
      <x:c r="W161" s="38" t="n">
        <x:f>G161*N161</x:f>
        <x:v>126111.7024</x:v>
      </x:c>
      <x:c r="X161" s="38" t="n">
        <x:f>H161*O161</x:f>
        <x:v>30134.52</x:v>
      </x:c>
      <x:c r="Y161" s="38" t="n">
        <x:f>I161*P161</x:f>
        <x:v>8702.6709</x:v>
      </x:c>
      <x:c r="Z161" s="38" t="n">
        <x:f>J161*Q161+K161*P161</x:f>
        <x:v>2219.95914</x:v>
      </x:c>
      <x:c r="AA161" s="38" t="n">
        <x:f>M161*R161</x:f>
        <x:v>16324.729605000002</x:v>
      </x:c>
      <x:c r="AB161" s="38" t="n">
        <x:f>SUM(W161:AA161)</x:f>
        <x:v>183493.582045</x:v>
      </x:c>
      <x:c r="AC161" s="38" t="n">
        <x:v>16.4</x:v>
      </x:c>
      <x:c r="AD161" s="38" t="n">
        <x:v>174.33</x:v>
      </x:c>
      <x:c r="AE161" s="38" t="n">
        <x:v>85.04</x:v>
      </x:c>
      <x:c r="AF161" s="38" t="n">
        <x:v>4.8148</x:v>
      </x:c>
      <x:c r="AG161" s="38" t="n">
        <x:v>5.34</x:v>
      </x:c>
      <x:c r="AH161" s="38" t="n">
        <x:f>IF(E161="Fason",L161*S161,0)</x:f>
        <x:v>0</x:v>
      </x:c>
      <x:c r="AI161" s="38" t="n">
        <x:f>IF(E161="Kurum içi",AC161*AD161+AE161*AF161+AB161*12%,0)</x:f>
        <x:v>25287.692437399997</x:v>
      </x:c>
      <x:c r="AJ161" s="38" t="n">
        <x:f>V161*AG161</x:f>
        <x:v>1306.2478627611526</x:v>
      </x:c>
      <x:c r="AK161" s="38" t="n">
        <x:f>AB161*2%</x:f>
        <x:v>3669.8716409</x:v>
      </x:c>
      <x:c r="AL161" s="38" t="n">
        <x:f>AB161+AH161+AI161+AJ161+AK161</x:f>
        <x:v>213757.39398606113</x:v>
      </x:c>
      <x:c r="AM161" s="38" t="n">
        <x:f>AL161/V161</x:f>
        <x:v>873.8498384776175</x:v>
      </x:c>
      <x:c r="AN161" s="40" t="n">
        <x:f>(W161+X161)/AL161*100</x:f>
        <x:v>73.09511941850705</x:v>
      </x:c>
      <x:c r="AO161" s="28" t="str">
        <x:v>R01-R20; ilgili satırdaki bölgesel fiyat ve maliyet varsayımları</x:v>
      </x:c>
      <x:c r="AP161" s="28" t="str">
        <x:v>Girdi miktarları, alım fiyatı değişimi, fason bedeli ve parti sonucu simüle edilmiştir; işletme kaydı değildir.</x:v>
      </x:c>
    </x:row>
    <x:row r="162" ht="22" customHeight="1">
      <x:c r="A162" t="str">
        <x:v>SUC-0161</x:v>
      </x:c>
      <x:c r="B162" s="36" t="n">
        <x:v>46284</x:v>
      </x:c>
      <x:c r="C162" t="str">
        <x:v>Akdeniz</x:v>
      </x:c>
      <x:c r="D162" t="str">
        <x:v>ERZURUM_CI</x:v>
      </x:c>
      <x:c r="E162" t="str">
        <x:v>Kurum içi</x:v>
      </x:c>
      <x:c r="F162" s="42" t="str">
        <x:v>SENTETİK/SİMÜLE — gerçek parti kaydı değildir</x:v>
      </x:c>
      <x:c r="G162" s="38" t="n">
        <x:v>58.786</x:v>
      </x:c>
      <x:c r="H162" s="38" t="n">
        <x:v>10.571</x:v>
      </x:c>
      <x:c r="I162" s="38" t="n">
        <x:v>3.604</x:v>
      </x:c>
      <x:c r="J162" s="38" t="n">
        <x:v>1.232</x:v>
      </x:c>
      <x:c r="K162" s="38" t="n">
        <x:v>0.155</x:v>
      </x:c>
      <x:c r="L162" s="38" t="n">
        <x:f>SUM(G162:K162)</x:f>
        <x:v>74.348</x:v>
      </x:c>
      <x:c r="M162" s="38" t="n">
        <x:v>88.989</x:v>
      </x:c>
      <x:c r="N162" s="38" t="n">
        <x:v>574.9</x:v>
      </x:c>
      <x:c r="O162" s="38" t="n">
        <x:v>465.45</x:v>
      </x:c>
      <x:c r="P162" s="38" t="n">
        <x:v>400</x:v>
      </x:c>
      <x:c r="Q162" s="38" t="n">
        <x:v>19.88</x:v>
      </x:c>
      <x:c r="R162" s="38" t="n">
        <x:v>43.7475</x:v>
      </x:c>
      <x:c r="S162" s="38" t="n">
        <x:v>115.31</x:v>
      </x:c>
      <x:c r="T162" s="40" t="n">
        <x:v>16.96</x:v>
      </x:c>
      <x:c r="U162" s="40" t="n">
        <x:v>0.72</x:v>
      </x:c>
      <x:c r="V162" s="38" t="n">
        <x:f>L162*(1-T162/100)*(1-U162/100)</x:f>
        <x:v>61.294061429760006</x:v>
      </x:c>
      <x:c r="W162" s="38" t="n">
        <x:f>G162*N162</x:f>
        <x:v>33796.0714</x:v>
      </x:c>
      <x:c r="X162" s="38" t="n">
        <x:f>H162*O162</x:f>
        <x:v>4920.271949999999</x:v>
      </x:c>
      <x:c r="Y162" s="38" t="n">
        <x:f>I162*P162</x:f>
        <x:v>1441.6000000000001</x:v>
      </x:c>
      <x:c r="Z162" s="38" t="n">
        <x:f>J162*Q162+K162*P162</x:f>
        <x:v>86.49216</x:v>
      </x:c>
      <x:c r="AA162" s="38" t="n">
        <x:f>M162*R162</x:f>
        <x:v>3893.0462775000005</x:v>
      </x:c>
      <x:c r="AB162" s="38" t="n">
        <x:f>SUM(W162:AA162)</x:f>
        <x:v>44137.4817875</x:v>
      </x:c>
      <x:c r="AC162" s="38" t="n">
        <x:v>4.25</x:v>
      </x:c>
      <x:c r="AD162" s="38" t="n">
        <x:v>174.33</x:v>
      </x:c>
      <x:c r="AE162" s="38" t="n">
        <x:v>22.31</x:v>
      </x:c>
      <x:c r="AF162" s="38" t="n">
        <x:v>4.8148</x:v>
      </x:c>
      <x:c r="AG162" s="38" t="n">
        <x:v>5.21</x:v>
      </x:c>
      <x:c r="AH162" s="38" t="n">
        <x:f>IF(E162="Fason",L162*S162,0)</x:f>
        <x:v>0</x:v>
      </x:c>
      <x:c r="AI162" s="38" t="n">
        <x:f>IF(E162="Kurum içi",AC162*AD162+AE162*AF162+AB162*12%,0)</x:f>
        <x:v>6144.818502499999</x:v>
      </x:c>
      <x:c r="AJ162" s="38" t="n">
        <x:f>V162*AG162</x:f>
        <x:v>319.3420600490496</x:v>
      </x:c>
      <x:c r="AK162" s="38" t="n">
        <x:f>AB162*2%</x:f>
        <x:v>882.74963575</x:v>
      </x:c>
      <x:c r="AL162" s="38" t="n">
        <x:f>AB162+AH162+AI162+AJ162+AK162</x:f>
        <x:v>51484.39198579905</x:v>
      </x:c>
      <x:c r="AM162" s="38" t="n">
        <x:f>AL162/V162</x:f>
        <x:v>839.9572615170499</x:v>
      </x:c>
      <x:c r="AN162" s="40" t="n">
        <x:f>(W162+X162)/AL162*100</x:f>
        <x:v>75.2001565070034</x:v>
      </x:c>
      <x:c r="AO162" s="28" t="str">
        <x:v>R01-R20; ilgili satırdaki bölgesel fiyat ve maliyet varsayımları</x:v>
      </x:c>
      <x:c r="AP162" s="28" t="str">
        <x:v>Girdi miktarları, alım fiyatı değişimi, fason bedeli ve parti sonucu simüle edilmiştir; işletme kaydı değildir.</x:v>
      </x:c>
    </x:row>
    <x:row r="163" ht="22" customHeight="1">
      <x:c r="A163" t="str">
        <x:v>SUC-0162</x:v>
      </x:c>
      <x:c r="B163" s="36" t="n">
        <x:v>46286</x:v>
      </x:c>
      <x:c r="C163" t="str">
        <x:v>Ege</x:v>
      </x:c>
      <x:c r="D163" t="str">
        <x:v>MEB_STANDART</x:v>
      </x:c>
      <x:c r="E163" t="str">
        <x:v>Kurum içi</x:v>
      </x:c>
      <x:c r="F163" s="42" t="str">
        <x:v>SENTETİK/SİMÜLE — gerçek parti kaydı değildir</x:v>
      </x:c>
      <x:c r="G163" s="38" t="n">
        <x:v>223.096</x:v>
      </x:c>
      <x:c r="H163" s="38" t="n">
        <x:v>70.049</x:v>
      </x:c>
      <x:c r="I163" s="38" t="n">
        <x:v>15.025</x:v>
      </x:c>
      <x:c r="J163" s="38" t="n">
        <x:v>7.988</x:v>
      </x:c>
      <x:c r="K163" s="38" t="n">
        <x:v>3.45</x:v>
      </x:c>
      <x:c r="L163" s="38" t="n">
        <x:f>SUM(G163:K163)</x:f>
        <x:v>319.60799999999995</x:v>
      </x:c>
      <x:c r="M163" s="38" t="n">
        <x:v>409.488</x:v>
      </x:c>
      <x:c r="N163" s="38" t="n">
        <x:v>587.83</x:v>
      </x:c>
      <x:c r="O163" s="38" t="n">
        <x:v>413.09</x:v>
      </x:c>
      <x:c r="P163" s="38" t="n">
        <x:v>400</x:v>
      </x:c>
      <x:c r="Q163" s="38" t="n">
        <x:v>19.88</x:v>
      </x:c>
      <x:c r="R163" s="38" t="n">
        <x:v>43.7475</x:v>
      </x:c>
      <x:c r="S163" s="38" t="n">
        <x:v>82.85</x:v>
      </x:c>
      <x:c r="T163" s="40" t="n">
        <x:v>15.68</x:v>
      </x:c>
      <x:c r="U163" s="40" t="n">
        <x:v>1.29</x:v>
      </x:c>
      <x:c r="V163" s="38" t="n">
        <x:f>L163*(1-T163/100)*(1-U163/100)</x:f>
        <x:v>266.01699989375993</x:v>
      </x:c>
      <x:c r="W163" s="38" t="n">
        <x:f>G163*N163</x:f>
        <x:v>131142.52168</x:v>
      </x:c>
      <x:c r="X163" s="38" t="n">
        <x:f>H163*O163</x:f>
        <x:v>28936.54141</x:v>
      </x:c>
      <x:c r="Y163" s="38" t="n">
        <x:f>I163*P163</x:f>
        <x:v>6010</x:v>
      </x:c>
      <x:c r="Z163" s="38" t="n">
        <x:f>J163*Q163+K163*P163</x:f>
        <x:v>1538.80144</x:v>
      </x:c>
      <x:c r="AA163" s="38" t="n">
        <x:f>M163*R163</x:f>
        <x:v>17914.07628</x:v>
      </x:c>
      <x:c r="AB163" s="38" t="n">
        <x:f>SUM(W163:AA163)</x:f>
        <x:v>185541.94081000003</x:v>
      </x:c>
      <x:c r="AC163" s="38" t="n">
        <x:v>12.19</x:v>
      </x:c>
      <x:c r="AD163" s="38" t="n">
        <x:v>174.33</x:v>
      </x:c>
      <x:c r="AE163" s="38" t="n">
        <x:v>122.67</x:v>
      </x:c>
      <x:c r="AF163" s="38" t="n">
        <x:v>4.8148</x:v>
      </x:c>
      <x:c r="AG163" s="38" t="n">
        <x:v>5.21</x:v>
      </x:c>
      <x:c r="AH163" s="38" t="n">
        <x:f>IF(E163="Fason",L163*S163,0)</x:f>
        <x:v>0</x:v>
      </x:c>
      <x:c r="AI163" s="38" t="n">
        <x:f>IF(E163="Kurum içi",AC163*AD163+AE163*AF163+AB163*12%,0)</x:f>
        <x:v>24980.747113200003</x:v>
      </x:c>
      <x:c r="AJ163" s="38" t="n">
        <x:f>V163*AG163</x:f>
        <x:v>1385.9485694464893</x:v>
      </x:c>
      <x:c r="AK163" s="38" t="n">
        <x:f>AB163*2%</x:f>
        <x:v>3710.8388162000006</x:v>
      </x:c>
      <x:c r="AL163" s="38" t="n">
        <x:f>AB163+AH163+AI163+AJ163+AK163</x:f>
        <x:v>215619.4753088465</x:v>
      </x:c>
      <x:c r="AM163" s="38" t="n">
        <x:f>AL163/V163</x:f>
        <x:v>810.547729637426</x:v>
      </x:c>
      <x:c r="AN163" s="40" t="n">
        <x:f>(W163+X163)/AL163*100</x:f>
        <x:v>74.24146768779019</x:v>
      </x:c>
      <x:c r="AO163" s="28" t="str">
        <x:v>R01-R20; ilgili satırdaki bölgesel fiyat ve maliyet varsayımları</x:v>
      </x:c>
      <x:c r="AP163" s="28" t="str">
        <x:v>Girdi miktarları, alım fiyatı değişimi, fason bedeli ve parti sonucu simüle edilmiştir; işletme kaydı değildir.</x:v>
      </x:c>
    </x:row>
    <x:row r="164" ht="22" customHeight="1">
      <x:c r="A164" t="str">
        <x:v>SUC-0163</x:v>
      </x:c>
      <x:c r="B164" s="36" t="n">
        <x:v>46278</x:v>
      </x:c>
      <x:c r="C164" t="str">
        <x:v>Akdeniz</x:v>
      </x:c>
      <x:c r="D164" t="str">
        <x:v>ERZURUM_CI</x:v>
      </x:c>
      <x:c r="E164" t="str">
        <x:v>Kurum içi</x:v>
      </x:c>
      <x:c r="F164" s="42" t="str">
        <x:v>SENTETİK/SİMÜLE — gerçek parti kaydı değildir</x:v>
      </x:c>
      <x:c r="G164" s="38" t="n">
        <x:v>320.474</x:v>
      </x:c>
      <x:c r="H164" s="38" t="n">
        <x:v>58.724</x:v>
      </x:c>
      <x:c r="I164" s="38" t="n">
        <x:v>19.811</x:v>
      </x:c>
      <x:c r="J164" s="38" t="n">
        <x:v>6.926</x:v>
      </x:c>
      <x:c r="K164" s="38" t="n">
        <x:v>0.805</x:v>
      </x:c>
      <x:c r="L164" s="38" t="n">
        <x:f>SUM(G164:K164)</x:f>
        <x:v>406.73999999999995</x:v>
      </x:c>
      <x:c r="M164" s="38" t="n">
        <x:v>552.098</x:v>
      </x:c>
      <x:c r="N164" s="38" t="n">
        <x:v>598.37</x:v>
      </x:c>
      <x:c r="O164" s="38" t="n">
        <x:v>454.4</x:v>
      </x:c>
      <x:c r="P164" s="38" t="n">
        <x:v>550</x:v>
      </x:c>
      <x:c r="Q164" s="38" t="n">
        <x:v>19.88</x:v>
      </x:c>
      <x:c r="R164" s="38" t="n">
        <x:v>43.7475</x:v>
      </x:c>
      <x:c r="S164" s="38" t="n">
        <x:v>85.61</x:v>
      </x:c>
      <x:c r="T164" s="40" t="n">
        <x:v>16.6</x:v>
      </x:c>
      <x:c r="U164" s="40" t="n">
        <x:v>1.5</x:v>
      </x:c>
      <x:c r="V164" s="38" t="n">
        <x:f>L164*(1-T164/100)*(1-U164/100)</x:f>
        <x:v>334.13284259999995</x:v>
      </x:c>
      <x:c r="W164" s="38" t="n">
        <x:f>G164*N164</x:f>
        <x:v>191762.02737999998</x:v>
      </x:c>
      <x:c r="X164" s="38" t="n">
        <x:f>H164*O164</x:f>
        <x:v>26684.185599999997</x:v>
      </x:c>
      <x:c r="Y164" s="38" t="n">
        <x:f>I164*P164</x:f>
        <x:v>10896.05</x:v>
      </x:c>
      <x:c r="Z164" s="38" t="n">
        <x:f>J164*Q164+K164*P164</x:f>
        <x:v>580.4388799999999</x:v>
      </x:c>
      <x:c r="AA164" s="38" t="n">
        <x:f>M164*R164</x:f>
        <x:v>24152.907255</x:v>
      </x:c>
      <x:c r="AB164" s="38" t="n">
        <x:f>SUM(W164:AA164)</x:f>
        <x:v>254075.60911499997</x:v>
      </x:c>
      <x:c r="AC164" s="38" t="n">
        <x:v>20</x:v>
      </x:c>
      <x:c r="AD164" s="38" t="n">
        <x:v>174.33</x:v>
      </x:c>
      <x:c r="AE164" s="38" t="n">
        <x:v>162.54</x:v>
      </x:c>
      <x:c r="AF164" s="38" t="n">
        <x:v>4.8148</x:v>
      </x:c>
      <x:c r="AG164" s="38" t="n">
        <x:v>5.21</x:v>
      </x:c>
      <x:c r="AH164" s="38" t="n">
        <x:f>IF(E164="Fason",L164*S164,0)</x:f>
        <x:v>0</x:v>
      </x:c>
      <x:c r="AI164" s="38" t="n">
        <x:f>IF(E164="Kurum içi",AC164*AD164+AE164*AF164+AB164*12%,0)</x:f>
        <x:v>34758.270685799995</x:v>
      </x:c>
      <x:c r="AJ164" s="38" t="n">
        <x:f>V164*AG164</x:f>
        <x:v>1740.8321099459997</x:v>
      </x:c>
      <x:c r="AK164" s="38" t="n">
        <x:f>AB164*2%</x:f>
        <x:v>5081.5121823</x:v>
      </x:c>
      <x:c r="AL164" s="38" t="n">
        <x:f>AB164+AH164+AI164+AJ164+AK164</x:f>
        <x:v>295656.2240930459</x:v>
      </x:c>
      <x:c r="AM164" s="38" t="n">
        <x:f>AL164/V164</x:f>
        <x:v>884.8463437249852</x:v>
      </x:c>
      <x:c r="AN164" s="40" t="n">
        <x:f>(W164+X164)/AL164*100</x:f>
        <x:v>73.88520693251253</x:v>
      </x:c>
      <x:c r="AO164" s="28" t="str">
        <x:v>R01-R20; ilgili satırdaki bölgesel fiyat ve maliyet varsayımları</x:v>
      </x:c>
      <x:c r="AP164" s="28" t="str">
        <x:v>Girdi miktarları, alım fiyatı değişimi, fason bedeli ve parti sonucu simüle edilmiştir; işletme kaydı değildir.</x:v>
      </x:c>
    </x:row>
    <x:row r="165" ht="22" customHeight="1">
      <x:c r="A165" t="str">
        <x:v>SUC-0164</x:v>
      </x:c>
      <x:c r="B165" s="36" t="n">
        <x:v>46274</x:v>
      </x:c>
      <x:c r="C165" t="str">
        <x:v>Karadeniz</x:v>
      </x:c>
      <x:c r="D165" t="str">
        <x:v>MEB_STANDART</x:v>
      </x:c>
      <x:c r="E165" t="str">
        <x:v>Fason</x:v>
      </x:c>
      <x:c r="F165" s="42" t="str">
        <x:v>SENTETİK/SİMÜLE — gerçek parti kaydı değildir</x:v>
      </x:c>
      <x:c r="G165" s="38" t="n">
        <x:v>334.754</x:v>
      </x:c>
      <x:c r="H165" s="38" t="n">
        <x:v>106.11</x:v>
      </x:c>
      <x:c r="I165" s="38" t="n">
        <x:v>22.118</x:v>
      </x:c>
      <x:c r="J165" s="38" t="n">
        <x:v>12.298</x:v>
      </x:c>
      <x:c r="K165" s="38" t="n">
        <x:v>5.601</x:v>
      </x:c>
      <x:c r="L165" s="38" t="n">
        <x:f>SUM(G165:K165)</x:f>
        <x:v>480.88100000000003</x:v>
      </x:c>
      <x:c r="M165" s="38" t="n">
        <x:v>577.594</x:v>
      </x:c>
      <x:c r="N165" s="38" t="n">
        <x:v>610.4</x:v>
      </x:c>
      <x:c r="O165" s="38" t="n">
        <x:v>445.82</x:v>
      </x:c>
      <x:c r="P165" s="38" t="n">
        <x:v>400</x:v>
      </x:c>
      <x:c r="Q165" s="38" t="n">
        <x:v>19.88</x:v>
      </x:c>
      <x:c r="R165" s="38" t="n">
        <x:v>43.7475</x:v>
      </x:c>
      <x:c r="S165" s="38" t="n">
        <x:v>112.49</x:v>
      </x:c>
      <x:c r="T165" s="40" t="n">
        <x:v>33.25</x:v>
      </x:c>
      <x:c r="U165" s="40" t="n">
        <x:v>1.65</x:v>
      </x:c>
      <x:c r="V165" s="38" t="n">
        <x:f>L165*(1-T165/100)*(1-U165/100)</x:f>
        <x:v>315.69176438625</x:v>
      </x:c>
      <x:c r="W165" s="38" t="n">
        <x:f>G165*N165</x:f>
        <x:v>204333.8416</x:v>
      </x:c>
      <x:c r="X165" s="38" t="n">
        <x:f>H165*O165</x:f>
        <x:v>47305.9602</x:v>
      </x:c>
      <x:c r="Y165" s="38" t="n">
        <x:f>I165*P165</x:f>
        <x:v>8847.199999999999</x:v>
      </x:c>
      <x:c r="Z165" s="38" t="n">
        <x:f>J165*Q165+K165*P165</x:f>
        <x:v>2484.8842400000003</x:v>
      </x:c>
      <x:c r="AA165" s="38" t="n">
        <x:f>M165*R165</x:f>
        <x:v>25268.293515000005</x:v>
      </x:c>
      <x:c r="AB165" s="38" t="n">
        <x:f>SUM(W165:AA165)</x:f>
        <x:v>288240.17955500004</x:v>
      </x:c>
      <x:c r="AC165" s="38" t="n">
        <x:v>29.17</x:v>
      </x:c>
      <x:c r="AD165" s="38" t="n">
        <x:v>174.33</x:v>
      </x:c>
      <x:c r="AE165" s="38" t="n">
        <x:v>173.99</x:v>
      </x:c>
      <x:c r="AF165" s="38" t="n">
        <x:v>4.8148</x:v>
      </x:c>
      <x:c r="AG165" s="38" t="n">
        <x:v>5.52</x:v>
      </x:c>
      <x:c r="AH165" s="38" t="n">
        <x:f>IF(E165="Fason",L165*S165,0)</x:f>
        <x:v>54094.30369</x:v>
      </x:c>
      <x:c r="AI165" s="38" t="n">
        <x:f>IF(E165="Kurum içi",AC165*AD165+AE165*AF165+AB165*12%,0)</x:f>
        <x:v>0</x:v>
      </x:c>
      <x:c r="AJ165" s="38" t="n">
        <x:f>V165*AG165</x:f>
        <x:v>1742.6185394120998</x:v>
      </x:c>
      <x:c r="AK165" s="38" t="n">
        <x:f>AB165*2%</x:f>
        <x:v>5764.803591100001</x:v>
      </x:c>
      <x:c r="AL165" s="38" t="n">
        <x:f>AB165+AH165+AI165+AJ165+AK165</x:f>
        <x:v>349841.9053755121</x:v>
      </x:c>
      <x:c r="AM165" s="38" t="n">
        <x:f>AL165/V165</x:f>
        <x:v>1108.1755840405115</x:v>
      </x:c>
      <x:c r="AN165" s="40" t="n">
        <x:f>(W165+X165)/AL165*100</x:f>
        <x:v>71.9295767412128</x:v>
      </x:c>
      <x:c r="AO165" s="28" t="str">
        <x:v>R01-R20; ilgili satırdaki bölgesel fiyat ve maliyet varsayımları</x:v>
      </x:c>
      <x:c r="AP165" s="28" t="str">
        <x:v>Girdi miktarları, alım fiyatı değişimi, fason bedeli ve parti sonucu simüle edilmiştir; işletme kaydı değildir.</x:v>
      </x:c>
    </x:row>
    <x:row r="166" ht="22" customHeight="1">
      <x:c r="A166" t="str">
        <x:v>SUC-0165</x:v>
      </x:c>
      <x:c r="B166" s="36" t="n">
        <x:v>46279</x:v>
      </x:c>
      <x:c r="C166" t="str">
        <x:v>Marmara</x:v>
      </x:c>
      <x:c r="D166" t="str">
        <x:v>MEB_STANDART</x:v>
      </x:c>
      <x:c r="E166" t="str">
        <x:v>Fason</x:v>
      </x:c>
      <x:c r="F166" s="42" t="str">
        <x:v>SENTETİK/SİMÜLE — gerçek parti kaydı değildir</x:v>
      </x:c>
      <x:c r="G166" s="38" t="n">
        <x:v>331.706</x:v>
      </x:c>
      <x:c r="H166" s="38" t="n">
        <x:v>99.069</x:v>
      </x:c>
      <x:c r="I166" s="38" t="n">
        <x:v>19.823</x:v>
      </x:c>
      <x:c r="J166" s="38" t="n">
        <x:v>11.291</x:v>
      </x:c>
      <x:c r="K166" s="38" t="n">
        <x:v>5.108</x:v>
      </x:c>
      <x:c r="L166" s="38" t="n">
        <x:f>SUM(G166:K166)</x:f>
        <x:v>466.997</x:v>
      </x:c>
      <x:c r="M166" s="38" t="n">
        <x:v>619.033</x:v>
      </x:c>
      <x:c r="N166" s="38" t="n">
        <x:v>594.46</x:v>
      </x:c>
      <x:c r="O166" s="38" t="n">
        <x:v>434.05</x:v>
      </x:c>
      <x:c r="P166" s="38" t="n">
        <x:v>400</x:v>
      </x:c>
      <x:c r="Q166" s="38" t="n">
        <x:v>19.88</x:v>
      </x:c>
      <x:c r="R166" s="38" t="n">
        <x:v>43.7475</x:v>
      </x:c>
      <x:c r="S166" s="38" t="n">
        <x:v>106.79</x:v>
      </x:c>
      <x:c r="T166" s="40" t="n">
        <x:v>27.18</x:v>
      </x:c>
      <x:c r="U166" s="40" t="n">
        <x:v>1.29</x:v>
      </x:c>
      <x:c r="V166" s="38" t="n">
        <x:f>L166*(1-T166/100)*(1-U166/100)</x:f>
        <x:v>335.68034832134</x:v>
      </x:c>
      <x:c r="W166" s="38" t="n">
        <x:f>G166*N166</x:f>
        <x:v>197185.94876000003</x:v>
      </x:c>
      <x:c r="X166" s="38" t="n">
        <x:f>H166*O166</x:f>
        <x:v>43000.899450000004</x:v>
      </x:c>
      <x:c r="Y166" s="38" t="n">
        <x:f>I166*P166</x:f>
        <x:v>7929.2</x:v>
      </x:c>
      <x:c r="Z166" s="38" t="n">
        <x:f>J166*Q166+K166*P166</x:f>
        <x:v>2267.6650799999998</x:v>
      </x:c>
      <x:c r="AA166" s="38" t="n">
        <x:f>M166*R166</x:f>
        <x:v>27081.146167500003</x:v>
      </x:c>
      <x:c r="AB166" s="38" t="n">
        <x:f>SUM(W166:AA166)</x:f>
        <x:v>277464.85945750005</x:v>
      </x:c>
      <x:c r="AC166" s="38" t="n">
        <x:v>31.8</x:v>
      </x:c>
      <x:c r="AD166" s="38" t="n">
        <x:v>174.33</x:v>
      </x:c>
      <x:c r="AE166" s="38" t="n">
        <x:v>189.93</x:v>
      </x:c>
      <x:c r="AF166" s="38" t="n">
        <x:v>4.8148</x:v>
      </x:c>
      <x:c r="AG166" s="38" t="n">
        <x:v>5.72</x:v>
      </x:c>
      <x:c r="AH166" s="38" t="n">
        <x:f>IF(E166="Fason",L166*S166,0)</x:f>
        <x:v>49870.609630000006</x:v>
      </x:c>
      <x:c r="AI166" s="38" t="n">
        <x:f>IF(E166="Kurum içi",AC166*AD166+AE166*AF166+AB166*12%,0)</x:f>
        <x:v>0</x:v>
      </x:c>
      <x:c r="AJ166" s="38" t="n">
        <x:f>V166*AG166</x:f>
        <x:v>1920.0915923980647</x:v>
      </x:c>
      <x:c r="AK166" s="38" t="n">
        <x:f>AB166*2%</x:f>
        <x:v>5549.297189150001</x:v>
      </x:c>
      <x:c r="AL166" s="38" t="n">
        <x:f>AB166+AH166+AI166+AJ166+AK166</x:f>
        <x:v>334804.85786904814</x:v>
      </x:c>
      <x:c r="AM166" s="38" t="n">
        <x:f>AL166/V166</x:f>
        <x:v>997.3918924456854</x:v>
      </x:c>
      <x:c r="AN166" s="40" t="n">
        <x:f>(W166+X166)/AL166*100</x:f>
        <x:v>71.73935579630808</x:v>
      </x:c>
      <x:c r="AO166" s="28" t="str">
        <x:v>R01-R20; ilgili satırdaki bölgesel fiyat ve maliyet varsayımları</x:v>
      </x:c>
      <x:c r="AP166" s="28" t="str">
        <x:v>Girdi miktarları, alım fiyatı değişimi, fason bedeli ve parti sonucu simüle edilmiştir; işletme kaydı değildir.</x:v>
      </x:c>
    </x:row>
    <x:row r="167" ht="22" customHeight="1">
      <x:c r="A167" t="str">
        <x:v>SUC-0166</x:v>
      </x:c>
      <x:c r="B167" s="36" t="n">
        <x:v>46269</x:v>
      </x:c>
      <x:c r="C167" t="str">
        <x:v>Marmara</x:v>
      </x:c>
      <x:c r="D167" t="str">
        <x:v>ERZURUM_CI</x:v>
      </x:c>
      <x:c r="E167" t="str">
        <x:v>Kurum içi</x:v>
      </x:c>
      <x:c r="F167" s="42" t="str">
        <x:v>SENTETİK/SİMÜLE — gerçek parti kaydı değildir</x:v>
      </x:c>
      <x:c r="G167" s="38" t="n">
        <x:v>361.935</x:v>
      </x:c>
      <x:c r="H167" s="38" t="n">
        <x:v>62.763</x:v>
      </x:c>
      <x:c r="I167" s="38" t="n">
        <x:v>20.901</x:v>
      </x:c>
      <x:c r="J167" s="38" t="n">
        <x:v>6.847</x:v>
      </x:c>
      <x:c r="K167" s="38" t="n">
        <x:v>0.581</x:v>
      </x:c>
      <x:c r="L167" s="38" t="n">
        <x:f>SUM(G167:K167)</x:f>
        <x:v>453.027</x:v>
      </x:c>
      <x:c r="M167" s="38" t="n">
        <x:v>593.32</x:v>
      </x:c>
      <x:c r="N167" s="38" t="n">
        <x:v>592.56</x:v>
      </x:c>
      <x:c r="O167" s="38" t="n">
        <x:v>425.15</x:v>
      </x:c>
      <x:c r="P167" s="38" t="n">
        <x:v>400</x:v>
      </x:c>
      <x:c r="Q167" s="38" t="n">
        <x:v>19.88</x:v>
      </x:c>
      <x:c r="R167" s="38" t="n">
        <x:v>43.7475</x:v>
      </x:c>
      <x:c r="S167" s="38" t="n">
        <x:v>106.17</x:v>
      </x:c>
      <x:c r="T167" s="40" t="n">
        <x:v>18.37</x:v>
      </x:c>
      <x:c r="U167" s="40" t="n">
        <x:v>0.94</x:v>
      </x:c>
      <x:c r="V167" s="38" t="n">
        <x:f>L167*(1-T167/100)*(1-U167/100)</x:f>
        <x:v>366.32976426306</x:v>
      </x:c>
      <x:c r="W167" s="38" t="n">
        <x:f>G167*N167</x:f>
        <x:v>214468.20359999998</x:v>
      </x:c>
      <x:c r="X167" s="38" t="n">
        <x:f>H167*O167</x:f>
        <x:v>26683.689449999998</x:v>
      </x:c>
      <x:c r="Y167" s="38" t="n">
        <x:f>I167*P167</x:f>
        <x:v>8360.4</x:v>
      </x:c>
      <x:c r="Z167" s="38" t="n">
        <x:f>J167*Q167+K167*P167</x:f>
        <x:v>368.51836</x:v>
      </x:c>
      <x:c r="AA167" s="38" t="n">
        <x:f>M167*R167</x:f>
        <x:v>25956.266700000004</x:v>
      </x:c>
      <x:c r="AB167" s="38" t="n">
        <x:f>SUM(W167:AA167)</x:f>
        <x:v>275837.07810999994</x:v>
      </x:c>
      <x:c r="AC167" s="38" t="n">
        <x:v>27.45</x:v>
      </x:c>
      <x:c r="AD167" s="38" t="n">
        <x:v>174.33</x:v>
      </x:c>
      <x:c r="AE167" s="38" t="n">
        <x:v>119.26</x:v>
      </x:c>
      <x:c r="AF167" s="38" t="n">
        <x:v>4.8148</x:v>
      </x:c>
      <x:c r="AG167" s="38" t="n">
        <x:v>5.88</x:v>
      </x:c>
      <x:c r="AH167" s="38" t="n">
        <x:f>IF(E167="Fason",L167*S167,0)</x:f>
        <x:v>0</x:v>
      </x:c>
      <x:c r="AI167" s="38" t="n">
        <x:f>IF(E167="Kurum içi",AC167*AD167+AE167*AF167+AB167*12%,0)</x:f>
        <x:v>38460.02092119999</x:v>
      </x:c>
      <x:c r="AJ167" s="38" t="n">
        <x:f>V167*AG167</x:f>
        <x:v>2154.0190138667926</x:v>
      </x:c>
      <x:c r="AK167" s="38" t="n">
        <x:f>AB167*2%</x:f>
        <x:v>5516.741562199999</x:v>
      </x:c>
      <x:c r="AL167" s="38" t="n">
        <x:f>AB167+AH167+AI167+AJ167+AK167</x:f>
        <x:v>321967.8596072667</x:v>
      </x:c>
      <x:c r="AM167" s="38" t="n">
        <x:f>AL167/V167</x:f>
        <x:v>878.9017192063675</x:v>
      </x:c>
      <x:c r="AN167" s="40" t="n">
        <x:f>(W167+X167)/AL167*100</x:f>
        <x:v>74.89936832333349</x:v>
      </x:c>
      <x:c r="AO167" s="28" t="str">
        <x:v>R01-R20; ilgili satırdaki bölgesel fiyat ve maliyet varsayımları</x:v>
      </x:c>
      <x:c r="AP167" s="28" t="str">
        <x:v>Girdi miktarları, alım fiyatı değişimi, fason bedeli ve parti sonucu simüle edilmiştir; işletme kaydı değildir.</x:v>
      </x:c>
    </x:row>
    <x:row r="168" ht="22" customHeight="1">
      <x:c r="A168" t="str">
        <x:v>SUC-0167</x:v>
      </x:c>
      <x:c r="B168" s="36" t="n">
        <x:v>46274</x:v>
      </x:c>
      <x:c r="C168" t="str">
        <x:v>Marmara</x:v>
      </x:c>
      <x:c r="D168" t="str">
        <x:v>MEB_STANDART</x:v>
      </x:c>
      <x:c r="E168" t="str">
        <x:v>Kurum içi</x:v>
      </x:c>
      <x:c r="F168" s="42" t="str">
        <x:v>SENTETİK/SİMÜLE — gerçek parti kaydı değildir</x:v>
      </x:c>
      <x:c r="G168" s="38" t="n">
        <x:v>191.365</x:v>
      </x:c>
      <x:c r="H168" s="38" t="n">
        <x:v>58.181</x:v>
      </x:c>
      <x:c r="I168" s="38" t="n">
        <x:v>11.513</x:v>
      </x:c>
      <x:c r="J168" s="38" t="n">
        <x:v>6.505</x:v>
      </x:c>
      <x:c r="K168" s="38" t="n">
        <x:v>2.72</x:v>
      </x:c>
      <x:c r="L168" s="38" t="n">
        <x:f>SUM(G168:K168)</x:f>
        <x:v>270.284</x:v>
      </x:c>
      <x:c r="M168" s="38" t="n">
        <x:v>337.267</x:v>
      </x:c>
      <x:c r="N168" s="38" t="n">
        <x:v>593.85</x:v>
      </x:c>
      <x:c r="O168" s="38" t="n">
        <x:v>482.34</x:v>
      </x:c>
      <x:c r="P168" s="38" t="n">
        <x:v>669.9</x:v>
      </x:c>
      <x:c r="Q168" s="38" t="n">
        <x:v>19.88</x:v>
      </x:c>
      <x:c r="R168" s="38" t="n">
        <x:v>43.7475</x:v>
      </x:c>
      <x:c r="S168" s="38" t="n">
        <x:v>81.76</x:v>
      </x:c>
      <x:c r="T168" s="40" t="n">
        <x:v>18.51</x:v>
      </x:c>
      <x:c r="U168" s="40" t="n">
        <x:v>0.58</x:v>
      </x:c>
      <x:c r="V168" s="38" t="n">
        <x:f>L168*(1-T168/100)*(1-U168/100)</x:f>
        <x:v>218.97695589671997</x:v>
      </x:c>
      <x:c r="W168" s="38" t="n">
        <x:f>G168*N168</x:f>
        <x:v>113642.10525000001</x:v>
      </x:c>
      <x:c r="X168" s="38" t="n">
        <x:f>H168*O168</x:f>
        <x:v>28063.02354</x:v>
      </x:c>
      <x:c r="Y168" s="38" t="n">
        <x:f>I168*P168</x:f>
        <x:v>7712.5587</x:v>
      </x:c>
      <x:c r="Z168" s="38" t="n">
        <x:f>J168*Q168+K168*P168</x:f>
        <x:v>1951.4474000000002</x:v>
      </x:c>
      <x:c r="AA168" s="38" t="n">
        <x:f>M168*R168</x:f>
        <x:v>14754.5880825</x:v>
      </x:c>
      <x:c r="AB168" s="38" t="n">
        <x:f>SUM(W168:AA168)</x:f>
        <x:v>166123.72297250002</x:v>
      </x:c>
      <x:c r="AC168" s="38" t="n">
        <x:v>11.75</x:v>
      </x:c>
      <x:c r="AD168" s="38" t="n">
        <x:v>174.33</x:v>
      </x:c>
      <x:c r="AE168" s="38" t="n">
        <x:v>100.47</x:v>
      </x:c>
      <x:c r="AF168" s="38" t="n">
        <x:v>4.8148</x:v>
      </x:c>
      <x:c r="AG168" s="38" t="n">
        <x:v>5.52</x:v>
      </x:c>
      <x:c r="AH168" s="38" t="n">
        <x:f>IF(E168="Fason",L168*S168,0)</x:f>
        <x:v>0</x:v>
      </x:c>
      <x:c r="AI168" s="38" t="n">
        <x:f>IF(E168="Kurum içi",AC168*AD168+AE168*AF168+AB168*12%,0)</x:f>
        <x:v>22466.9672127</x:v>
      </x:c>
      <x:c r="AJ168" s="38" t="n">
        <x:f>V168*AG168</x:f>
        <x:v>1208.7527965498941</x:v>
      </x:c>
      <x:c r="AK168" s="38" t="n">
        <x:f>AB168*2%</x:f>
        <x:v>3322.4744594500007</x:v>
      </x:c>
      <x:c r="AL168" s="38" t="n">
        <x:f>AB168+AH168+AI168+AJ168+AK168</x:f>
        <x:v>193121.9174411999</x:v>
      </x:c>
      <x:c r="AM168" s="38" t="n">
        <x:f>AL168/V168</x:f>
        <x:v>881.9280396439773</x:v>
      </x:c>
      <x:c r="AN168" s="40" t="n">
        <x:f>(W168+X168)/AL168*100</x:f>
        <x:v>73.3759951576419</x:v>
      </x:c>
      <x:c r="AO168" s="28" t="str">
        <x:v>R01-R20; ilgili satırdaki bölgesel fiyat ve maliyet varsayımları</x:v>
      </x:c>
      <x:c r="AP168" s="28" t="str">
        <x:v>Girdi miktarları, alım fiyatı değişimi, fason bedeli ve parti sonucu simüle edilmiştir; işletme kaydı değildir.</x:v>
      </x:c>
    </x:row>
    <x:row r="169" ht="22" customHeight="1">
      <x:c r="A169" t="str">
        <x:v>SUC-0168</x:v>
      </x:c>
      <x:c r="B169" s="36" t="n">
        <x:v>46270</x:v>
      </x:c>
      <x:c r="C169" t="str">
        <x:v>Akdeniz</x:v>
      </x:c>
      <x:c r="D169" t="str">
        <x:v>MEB_STANDART</x:v>
      </x:c>
      <x:c r="E169" t="str">
        <x:v>Kurum içi</x:v>
      </x:c>
      <x:c r="F169" s="42" t="str">
        <x:v>SENTETİK/SİMÜLE — gerçek parti kaydı değildir</x:v>
      </x:c>
      <x:c r="G169" s="38" t="n">
        <x:v>207.541</x:v>
      </x:c>
      <x:c r="H169" s="38" t="n">
        <x:v>64.559</x:v>
      </x:c>
      <x:c r="I169" s="38" t="n">
        <x:v>13.904</x:v>
      </x:c>
      <x:c r="J169" s="38" t="n">
        <x:v>7.465</x:v>
      </x:c>
      <x:c r="K169" s="38" t="n">
        <x:v>2.57</x:v>
      </x:c>
      <x:c r="L169" s="38" t="n">
        <x:f>SUM(G169:K169)</x:f>
        <x:v>296.039</x:v>
      </x:c>
      <x:c r="M169" s="38" t="n">
        <x:v>384.812</x:v>
      </x:c>
      <x:c r="N169" s="38" t="n">
        <x:v>594.47</x:v>
      </x:c>
      <x:c r="O169" s="38" t="n">
        <x:v>414.17</x:v>
      </x:c>
      <x:c r="P169" s="38" t="n">
        <x:v>669.9</x:v>
      </x:c>
      <x:c r="Q169" s="38" t="n">
        <x:v>19.88</x:v>
      </x:c>
      <x:c r="R169" s="38" t="n">
        <x:v>43.7475</x:v>
      </x:c>
      <x:c r="S169" s="38" t="n">
        <x:v>122.97</x:v>
      </x:c>
      <x:c r="T169" s="40" t="n">
        <x:v>16.01</x:v>
      </x:c>
      <x:c r="U169" s="40" t="n">
        <x:v>0.69</x:v>
      </x:c>
      <x:c r="V169" s="38" t="n">
        <x:f>L169*(1-T169/100)*(1-U169/100)</x:f>
        <x:v>246.92751832290998</x:v>
      </x:c>
      <x:c r="W169" s="38" t="n">
        <x:f>G169*N169</x:f>
        <x:v>123376.89827</x:v>
      </x:c>
      <x:c r="X169" s="38" t="n">
        <x:f>H169*O169</x:f>
        <x:v>26738.40103</x:v>
      </x:c>
      <x:c r="Y169" s="38" t="n">
        <x:f>I169*P169</x:f>
        <x:v>9314.2896</x:v>
      </x:c>
      <x:c r="Z169" s="38" t="n">
        <x:f>J169*Q169+K169*P169</x:f>
        <x:v>1870.0471999999997</x:v>
      </x:c>
      <x:c r="AA169" s="38" t="n">
        <x:f>M169*R169</x:f>
        <x:v>16834.562970000003</x:v>
      </x:c>
      <x:c r="AB169" s="38" t="n">
        <x:f>SUM(W169:AA169)</x:f>
        <x:v>178134.19907</x:v>
      </x:c>
      <x:c r="AC169" s="38" t="n">
        <x:v>10.46</x:v>
      </x:c>
      <x:c r="AD169" s="38" t="n">
        <x:v>174.33</x:v>
      </x:c>
      <x:c r="AE169" s="38" t="n">
        <x:v>74.68</x:v>
      </x:c>
      <x:c r="AF169" s="38" t="n">
        <x:v>4.8148</x:v>
      </x:c>
      <x:c r="AG169" s="38" t="n">
        <x:v>5.6</x:v>
      </x:c>
      <x:c r="AH169" s="38" t="n">
        <x:f>IF(E169="Fason",L169*S169,0)</x:f>
        <x:v>0</x:v>
      </x:c>
      <x:c r="AI169" s="38" t="n">
        <x:f>IF(E169="Kurum içi",AC169*AD169+AE169*AF169+AB169*12%,0)</x:f>
        <x:v>23559.164952400002</x:v>
      </x:c>
      <x:c r="AJ169" s="38" t="n">
        <x:f>V169*AG169</x:f>
        <x:v>1382.7941026082958</x:v>
      </x:c>
      <x:c r="AK169" s="38" t="n">
        <x:f>AB169*2%</x:f>
        <x:v>3562.6839814</x:v>
      </x:c>
      <x:c r="AL169" s="38" t="n">
        <x:f>AB169+AH169+AI169+AJ169+AK169</x:f>
        <x:v>206638.8421064083</x:v>
      </x:c>
      <x:c r="AM169" s="38" t="n">
        <x:f>AL169/V169</x:f>
        <x:v>836.8400715718702</x:v>
      </x:c>
      <x:c r="AN169" s="40" t="n">
        <x:f>(W169+X169)/AL169*100</x:f>
        <x:v>72.64621586618183</x:v>
      </x:c>
      <x:c r="AO169" s="28" t="str">
        <x:v>R01-R20; ilgili satırdaki bölgesel fiyat ve maliyet varsayımları</x:v>
      </x:c>
      <x:c r="AP169" s="28" t="str">
        <x:v>Girdi miktarları, alım fiyatı değişimi, fason bedeli ve parti sonucu simüle edilmiştir; işletme kaydı değildir.</x:v>
      </x:c>
    </x:row>
    <x:row r="170" ht="22" customHeight="1">
      <x:c r="A170" t="str">
        <x:v>SUC-0169</x:v>
      </x:c>
      <x:c r="B170" s="36" t="n">
        <x:v>46304</x:v>
      </x:c>
      <x:c r="C170" t="str">
        <x:v>Akdeniz</x:v>
      </x:c>
      <x:c r="D170" t="str">
        <x:v>ERZURUM_CI</x:v>
      </x:c>
      <x:c r="E170" t="str">
        <x:v>Kurum içi</x:v>
      </x:c>
      <x:c r="F170" s="42" t="str">
        <x:v>SENTETİK/SİMÜLE — gerçek parti kaydı değildir</x:v>
      </x:c>
      <x:c r="G170" s="38" t="n">
        <x:v>293.645</x:v>
      </x:c>
      <x:c r="H170" s="38" t="n">
        <x:v>49.883</x:v>
      </x:c>
      <x:c r="I170" s="38" t="n">
        <x:v>16.891</x:v>
      </x:c>
      <x:c r="J170" s="38" t="n">
        <x:v>6.537</x:v>
      </x:c>
      <x:c r="K170" s="38" t="n">
        <x:v>0.037</x:v>
      </x:c>
      <x:c r="L170" s="38" t="n">
        <x:f>SUM(G170:K170)</x:f>
        <x:v>366.99299999999994</x:v>
      </x:c>
      <x:c r="M170" s="38" t="n">
        <x:v>441.299</x:v>
      </x:c>
      <x:c r="N170" s="38" t="n">
        <x:v>572.49</x:v>
      </x:c>
      <x:c r="O170" s="38" t="n">
        <x:v>439.42</x:v>
      </x:c>
      <x:c r="P170" s="38" t="n">
        <x:v>400</x:v>
      </x:c>
      <x:c r="Q170" s="38" t="n">
        <x:v>19.88</x:v>
      </x:c>
      <x:c r="R170" s="38" t="n">
        <x:v>43.7475</x:v>
      </x:c>
      <x:c r="S170" s="38" t="n">
        <x:v>85.17</x:v>
      </x:c>
      <x:c r="T170" s="40" t="n">
        <x:v>17.66</x:v>
      </x:c>
      <x:c r="U170" s="40" t="n">
        <x:v>1.49</x:v>
      </x:c>
      <x:c r="V170" s="38" t="n">
        <x:f>L170*(1-T170/100)*(1-U170/100)</x:f>
        <x:v>297.67952386061995</x:v>
      </x:c>
      <x:c r="W170" s="38" t="n">
        <x:f>G170*N170</x:f>
        <x:v>168108.82605</x:v>
      </x:c>
      <x:c r="X170" s="38" t="n">
        <x:f>H170*O170</x:f>
        <x:v>21919.587860000003</x:v>
      </x:c>
      <x:c r="Y170" s="38" t="n">
        <x:f>I170*P170</x:f>
        <x:v>6756.4</x:v>
      </x:c>
      <x:c r="Z170" s="38" t="n">
        <x:f>J170*Q170+K170*P170</x:f>
        <x:v>144.75556</x:v>
      </x:c>
      <x:c r="AA170" s="38" t="n">
        <x:f>M170*R170</x:f>
        <x:v>19305.7280025</x:v>
      </x:c>
      <x:c r="AB170" s="38" t="n">
        <x:f>SUM(W170:AA170)</x:f>
        <x:v>216235.29747249998</x:v>
      </x:c>
      <x:c r="AC170" s="38" t="n">
        <x:v>22.82</x:v>
      </x:c>
      <x:c r="AD170" s="38" t="n">
        <x:v>174.33</x:v>
      </x:c>
      <x:c r="AE170" s="38" t="n">
        <x:v>128.09</x:v>
      </x:c>
      <x:c r="AF170" s="38" t="n">
        <x:v>4.8148</x:v>
      </x:c>
      <x:c r="AG170" s="38" t="n">
        <x:v>5.67</x:v>
      </x:c>
      <x:c r="AH170" s="38" t="n">
        <x:f>IF(E170="Fason",L170*S170,0)</x:f>
        <x:v>0</x:v>
      </x:c>
      <x:c r="AI170" s="38" t="n">
        <x:f>IF(E170="Kurum içi",AC170*AD170+AE170*AF170+AB170*12%,0)</x:f>
        <x:v>30543.1740287</x:v>
      </x:c>
      <x:c r="AJ170" s="38" t="n">
        <x:f>V170*AG170</x:f>
        <x:v>1687.842900289715</x:v>
      </x:c>
      <x:c r="AK170" s="38" t="n">
        <x:f>AB170*2%</x:f>
        <x:v>4324.70594945</x:v>
      </x:c>
      <x:c r="AL170" s="38" t="n">
        <x:f>AB170+AH170+AI170+AJ170+AK170</x:f>
        <x:v>252791.0203509397</x:v>
      </x:c>
      <x:c r="AM170" s="38" t="n">
        <x:f>AL170/V170</x:f>
        <x:v>849.2052697225556</x:v>
      </x:c>
      <x:c r="AN170" s="40" t="n">
        <x:f>(W170+X170)/AL170*100</x:f>
        <x:v>75.17213769942902</x:v>
      </x:c>
      <x:c r="AO170" s="28" t="str">
        <x:v>R01-R20; ilgili satırdaki bölgesel fiyat ve maliyet varsayımları</x:v>
      </x:c>
      <x:c r="AP170" s="28" t="str">
        <x:v>Girdi miktarları, alım fiyatı değişimi, fason bedeli ve parti sonucu simüle edilmiştir; işletme kaydı değildir.</x:v>
      </x:c>
    </x:row>
    <x:row r="171" ht="22" customHeight="1">
      <x:c r="A171" t="str">
        <x:v>SUC-0170</x:v>
      </x:c>
      <x:c r="B171" s="36" t="n">
        <x:v>46278</x:v>
      </x:c>
      <x:c r="C171" t="str">
        <x:v>İç Anadolu</x:v>
      </x:c>
      <x:c r="D171" t="str">
        <x:v>MEB_STANDART</x:v>
      </x:c>
      <x:c r="E171" t="str">
        <x:v>Kurum içi</x:v>
      </x:c>
      <x:c r="F171" s="42" t="str">
        <x:v>SENTETİK/SİMÜLE — gerçek parti kaydı değildir</x:v>
      </x:c>
      <x:c r="G171" s="38" t="n">
        <x:v>267.235</x:v>
      </x:c>
      <x:c r="H171" s="38" t="n">
        <x:v>86.877</x:v>
      </x:c>
      <x:c r="I171" s="38" t="n">
        <x:v>17.792</x:v>
      </x:c>
      <x:c r="J171" s="38" t="n">
        <x:v>9.92</x:v>
      </x:c>
      <x:c r="K171" s="38" t="n">
        <x:v>4.379</x:v>
      </x:c>
      <x:c r="L171" s="38" t="n">
        <x:f>SUM(G171:K171)</x:f>
        <x:v>386.20300000000003</x:v>
      </x:c>
      <x:c r="M171" s="38" t="n">
        <x:v>459.917</x:v>
      </x:c>
      <x:c r="N171" s="38" t="n">
        <x:v>590.01</x:v>
      </x:c>
      <x:c r="O171" s="38" t="n">
        <x:v>445.73</x:v>
      </x:c>
      <x:c r="P171" s="38" t="n">
        <x:v>669.9</x:v>
      </x:c>
      <x:c r="Q171" s="38" t="n">
        <x:v>19.88</x:v>
      </x:c>
      <x:c r="R171" s="38" t="n">
        <x:v>43.7475</x:v>
      </x:c>
      <x:c r="S171" s="38" t="n">
        <x:v>71.84</x:v>
      </x:c>
      <x:c r="T171" s="40" t="n">
        <x:v>24.07</x:v>
      </x:c>
      <x:c r="U171" s="40" t="n">
        <x:v>1.29</x:v>
      </x:c>
      <x:c r="V171" s="38" t="n">
        <x:f>L171*(1-T171/100)*(1-U171/100)</x:f>
        <x:v>289.46109110109</x:v>
      </x:c>
      <x:c r="W171" s="38" t="n">
        <x:f>G171*N171</x:f>
        <x:v>157671.32235</x:v>
      </x:c>
      <x:c r="X171" s="38" t="n">
        <x:f>H171*O171</x:f>
        <x:v>38723.685209999996</x:v>
      </x:c>
      <x:c r="Y171" s="38" t="n">
        <x:f>I171*P171</x:f>
        <x:v>11918.8608</x:v>
      </x:c>
      <x:c r="Z171" s="38" t="n">
        <x:f>J171*Q171+K171*P171</x:f>
        <x:v>3130.7016999999996</x:v>
      </x:c>
      <x:c r="AA171" s="38" t="n">
        <x:f>M171*R171</x:f>
        <x:v>20120.2189575</x:v>
      </x:c>
      <x:c r="AB171" s="38" t="n">
        <x:f>SUM(W171:AA171)</x:f>
        <x:v>231564.7890175</x:v>
      </x:c>
      <x:c r="AC171" s="38" t="n">
        <x:v>22.5</x:v>
      </x:c>
      <x:c r="AD171" s="38" t="n">
        <x:v>174.33</x:v>
      </x:c>
      <x:c r="AE171" s="38" t="n">
        <x:v>178.08</x:v>
      </x:c>
      <x:c r="AF171" s="38" t="n">
        <x:v>4.8148</x:v>
      </x:c>
      <x:c r="AG171" s="38" t="n">
        <x:v>5.37</x:v>
      </x:c>
      <x:c r="AH171" s="38" t="n">
        <x:f>IF(E171="Fason",L171*S171,0)</x:f>
        <x:v>0</x:v>
      </x:c>
      <x:c r="AI171" s="38" t="n">
        <x:f>IF(E171="Kurum içi",AC171*AD171+AE171*AF171+AB171*12%,0)</x:f>
        <x:v>32567.619266100002</x:v>
      </x:c>
      <x:c r="AJ171" s="38" t="n">
        <x:f>V171*AG171</x:f>
        <x:v>1554.4060592128533</x:v>
      </x:c>
      <x:c r="AK171" s="38" t="n">
        <x:f>AB171*2%</x:f>
        <x:v>4631.29578035</x:v>
      </x:c>
      <x:c r="AL171" s="38" t="n">
        <x:f>AB171+AH171+AI171+AJ171+AK171</x:f>
        <x:v>270318.11012316286</x:v>
      </x:c>
      <x:c r="AM171" s="38" t="n">
        <x:f>AL171/V171</x:f>
        <x:v>933.866825053728</x:v>
      </x:c>
      <x:c r="AN171" s="40" t="n">
        <x:f>(W171+X171)/AL171*100</x:f>
        <x:v>72.65329262272444</x:v>
      </x:c>
      <x:c r="AO171" s="28" t="str">
        <x:v>R01-R20; ilgili satırdaki bölgesel fiyat ve maliyet varsayımları</x:v>
      </x:c>
      <x:c r="AP171" s="28" t="str">
        <x:v>Girdi miktarları, alım fiyatı değişimi, fason bedeli ve parti sonucu simüle edilmiştir; işletme kaydı değildir.</x:v>
      </x:c>
    </x:row>
    <x:row r="172" ht="22" customHeight="1">
      <x:c r="A172" t="str">
        <x:v>SUC-0171</x:v>
      </x:c>
      <x:c r="B172" s="36" t="n">
        <x:v>46309</x:v>
      </x:c>
      <x:c r="C172" t="str">
        <x:v>Ege</x:v>
      </x:c>
      <x:c r="D172" t="str">
        <x:v>ERZURUM_CI</x:v>
      </x:c>
      <x:c r="E172" t="str">
        <x:v>Kurum içi</x:v>
      </x:c>
      <x:c r="F172" s="42" t="str">
        <x:v>SENTETİK/SİMÜLE — gerçek parti kaydı değildir</x:v>
      </x:c>
      <x:c r="G172" s="38" t="n">
        <x:v>110.946</x:v>
      </x:c>
      <x:c r="H172" s="38" t="n">
        <x:v>19.879</x:v>
      </x:c>
      <x:c r="I172" s="38" t="n">
        <x:v>6.961</x:v>
      </x:c>
      <x:c r="J172" s="38" t="n">
        <x:v>2.378</x:v>
      </x:c>
      <x:c r="K172" s="38" t="n">
        <x:v>0.219</x:v>
      </x:c>
      <x:c r="L172" s="38" t="n">
        <x:f>SUM(G172:K172)</x:f>
        <x:v>140.38299999999998</x:v>
      </x:c>
      <x:c r="M172" s="38" t="n">
        <x:v>184.156</x:v>
      </x:c>
      <x:c r="N172" s="38" t="n">
        <x:v>593.86</x:v>
      </x:c>
      <x:c r="O172" s="38" t="n">
        <x:v>411.69</x:v>
      </x:c>
      <x:c r="P172" s="38" t="n">
        <x:v>550</x:v>
      </x:c>
      <x:c r="Q172" s="38" t="n">
        <x:v>19.88</x:v>
      </x:c>
      <x:c r="R172" s="38" t="n">
        <x:v>43.7475</x:v>
      </x:c>
      <x:c r="S172" s="38" t="n">
        <x:v>110.2</x:v>
      </x:c>
      <x:c r="T172" s="40" t="n">
        <x:v>17.46</x:v>
      </x:c>
      <x:c r="U172" s="40" t="n">
        <x:v>0.68</x:v>
      </x:c>
      <x:c r="V172" s="38" t="n">
        <x:f>L172*(1-T172/100)*(1-U172/100)</x:f>
        <x:v>115.08419772823999</x:v>
      </x:c>
      <x:c r="W172" s="38" t="n">
        <x:f>G172*N172</x:f>
        <x:v>65886.39156</x:v>
      </x:c>
      <x:c r="X172" s="38" t="n">
        <x:f>H172*O172</x:f>
        <x:v>8183.98551</x:v>
      </x:c>
      <x:c r="Y172" s="38" t="n">
        <x:f>I172*P172</x:f>
        <x:v>3828.55</x:v>
      </x:c>
      <x:c r="Z172" s="38" t="n">
        <x:f>J172*Q172+K172*P172</x:f>
        <x:v>167.72464</x:v>
      </x:c>
      <x:c r="AA172" s="38" t="n">
        <x:f>M172*R172</x:f>
        <x:v>8056.3646100000005</x:v>
      </x:c>
      <x:c r="AB172" s="38" t="n">
        <x:f>SUM(W172:AA172)</x:f>
        <x:v>86123.01632000001</x:v>
      </x:c>
      <x:c r="AC172" s="38" t="n">
        <x:v>7.66</x:v>
      </x:c>
      <x:c r="AD172" s="38" t="n">
        <x:v>174.33</x:v>
      </x:c>
      <x:c r="AE172" s="38" t="n">
        <x:v>39.85</x:v>
      </x:c>
      <x:c r="AF172" s="38" t="n">
        <x:v>4.8148</x:v>
      </x:c>
      <x:c r="AG172" s="38" t="n">
        <x:v>5.88</x:v>
      </x:c>
      <x:c r="AH172" s="38" t="n">
        <x:f>IF(E172="Fason",L172*S172,0)</x:f>
        <x:v>0</x:v>
      </x:c>
      <x:c r="AI172" s="38" t="n">
        <x:f>IF(E172="Kurum içi",AC172*AD172+AE172*AF172+AB172*12%,0)</x:f>
        <x:v>11861.999538400001</x:v>
      </x:c>
      <x:c r="AJ172" s="38" t="n">
        <x:f>V172*AG172</x:f>
        <x:v>676.6950826420511</x:v>
      </x:c>
      <x:c r="AK172" s="38" t="n">
        <x:f>AB172*2%</x:f>
        <x:v>1722.4603264000002</x:v>
      </x:c>
      <x:c r="AL172" s="38" t="n">
        <x:f>AB172+AH172+AI172+AJ172+AK172</x:f>
        <x:v>100384.17126744207</x:v>
      </x:c>
      <x:c r="AM172" s="38" t="n">
        <x:f>AL172/V172</x:f>
        <x:v>872.2672030480625</x:v>
      </x:c>
      <x:c r="AN172" s="40" t="n">
        <x:f>(W172+X172)/AL172*100</x:f>
        <x:v>73.78690896661662</x:v>
      </x:c>
      <x:c r="AO172" s="28" t="str">
        <x:v>R01-R20; ilgili satırdaki bölgesel fiyat ve maliyet varsayımları</x:v>
      </x:c>
      <x:c r="AP172" s="28" t="str">
        <x:v>Girdi miktarları, alım fiyatı değişimi, fason bedeli ve parti sonucu simüle edilmiştir; işletme kaydı değildir.</x:v>
      </x:c>
    </x:row>
    <x:row r="173" ht="22" customHeight="1">
      <x:c r="A173" t="str">
        <x:v>SUC-0172</x:v>
      </x:c>
      <x:c r="B173" s="36" t="n">
        <x:v>46288</x:v>
      </x:c>
      <x:c r="C173" t="str">
        <x:v>Marmara</x:v>
      </x:c>
      <x:c r="D173" t="str">
        <x:v>ERZURUM_CI</x:v>
      </x:c>
      <x:c r="E173" t="str">
        <x:v>Fason</x:v>
      </x:c>
      <x:c r="F173" s="42" t="str">
        <x:v>SENTETİK/SİMÜLE — gerçek parti kaydı değildir</x:v>
      </x:c>
      <x:c r="G173" s="38" t="n">
        <x:v>389.35</x:v>
      </x:c>
      <x:c r="H173" s="38" t="n">
        <x:v>70.85</x:v>
      </x:c>
      <x:c r="I173" s="38" t="n">
        <x:v>22.148</x:v>
      </x:c>
      <x:c r="J173" s="38" t="n">
        <x:v>8.035</x:v>
      </x:c>
      <x:c r="K173" s="38" t="n">
        <x:v>0.426</x:v>
      </x:c>
      <x:c r="L173" s="38" t="n">
        <x:f>SUM(G173:K173)</x:f>
        <x:v>490.8090000000001</x:v>
      </x:c>
      <x:c r="M173" s="38" t="n">
        <x:v>586.322</x:v>
      </x:c>
      <x:c r="N173" s="38" t="n">
        <x:v>618.55</x:v>
      </x:c>
      <x:c r="O173" s="38" t="n">
        <x:v>459.87</x:v>
      </x:c>
      <x:c r="P173" s="38" t="n">
        <x:v>550</x:v>
      </x:c>
      <x:c r="Q173" s="38" t="n">
        <x:v>19.88</x:v>
      </x:c>
      <x:c r="R173" s="38" t="n">
        <x:v>43.7475</x:v>
      </x:c>
      <x:c r="S173" s="38" t="n">
        <x:v>109.38</x:v>
      </x:c>
      <x:c r="T173" s="40" t="n">
        <x:v>23.62</x:v>
      </x:c>
      <x:c r="U173" s="40" t="n">
        <x:v>1.69</x:v>
      </x:c>
      <x:c r="V173" s="38" t="n">
        <x:f>L173*(1-T173/100)*(1-U173/100)</x:f>
        <x:v>368.54444365002007</x:v>
      </x:c>
      <x:c r="W173" s="38" t="n">
        <x:f>G173*N173</x:f>
        <x:v>240832.4425</x:v>
      </x:c>
      <x:c r="X173" s="38" t="n">
        <x:f>H173*O173</x:f>
        <x:v>32581.7895</x:v>
      </x:c>
      <x:c r="Y173" s="38" t="n">
        <x:f>I173*P173</x:f>
        <x:v>12181.4</x:v>
      </x:c>
      <x:c r="Z173" s="38" t="n">
        <x:f>J173*Q173+K173*P173</x:f>
        <x:v>394.0358</x:v>
      </x:c>
      <x:c r="AA173" s="38" t="n">
        <x:f>M173*R173</x:f>
        <x:v>25650.121695</x:v>
      </x:c>
      <x:c r="AB173" s="38" t="n">
        <x:f>SUM(W173:AA173)</x:f>
        <x:v>311639.78949500003</x:v>
      </x:c>
      <x:c r="AC173" s="38" t="n">
        <x:v>25.1</x:v>
      </x:c>
      <x:c r="AD173" s="38" t="n">
        <x:v>174.33</x:v>
      </x:c>
      <x:c r="AE173" s="38" t="n">
        <x:v>185.53</x:v>
      </x:c>
      <x:c r="AF173" s="38" t="n">
        <x:v>4.8148</x:v>
      </x:c>
      <x:c r="AG173" s="38" t="n">
        <x:v>5.17</x:v>
      </x:c>
      <x:c r="AH173" s="38" t="n">
        <x:f>IF(E173="Fason",L173*S173,0)</x:f>
        <x:v>53684.688420000006</x:v>
      </x:c>
      <x:c r="AI173" s="38" t="n">
        <x:f>IF(E173="Kurum içi",AC173*AD173+AE173*AF173+AB173*12%,0)</x:f>
        <x:v>0</x:v>
      </x:c>
      <x:c r="AJ173" s="38" t="n">
        <x:f>V173*AG173</x:f>
        <x:v>1905.3747736706036</x:v>
      </x:c>
      <x:c r="AK173" s="38" t="n">
        <x:f>AB173*2%</x:f>
        <x:v>6232.795789900001</x:v>
      </x:c>
      <x:c r="AL173" s="38" t="n">
        <x:f>AB173+AH173+AI173+AJ173+AK173</x:f>
        <x:v>373462.6484785707</x:v>
      </x:c>
      <x:c r="AM173" s="38" t="n">
        <x:f>AL173/V173</x:f>
        <x:v>1013.3449436378454</x:v>
      </x:c>
      <x:c r="AN173" s="40" t="n">
        <x:f>(W173+X173)/AL173*100</x:f>
        <x:v>73.21059632438411</x:v>
      </x:c>
      <x:c r="AO173" s="28" t="str">
        <x:v>R01-R20; ilgili satırdaki bölgesel fiyat ve maliyet varsayımları</x:v>
      </x:c>
      <x:c r="AP173" s="28" t="str">
        <x:v>Girdi miktarları, alım fiyatı değişimi, fason bedeli ve parti sonucu simüle edilmiştir; işletme kaydı değildir.</x:v>
      </x:c>
    </x:row>
    <x:row r="174" ht="22" customHeight="1">
      <x:c r="A174" t="str">
        <x:v>SUC-0173</x:v>
      </x:c>
      <x:c r="B174" s="36" t="n">
        <x:v>46288</x:v>
      </x:c>
      <x:c r="C174" t="str">
        <x:v>Marmara</x:v>
      </x:c>
      <x:c r="D174" t="str">
        <x:v>MEB_STANDART</x:v>
      </x:c>
      <x:c r="E174" t="str">
        <x:v>Kurum içi</x:v>
      </x:c>
      <x:c r="F174" s="42" t="str">
        <x:v>SENTETİK/SİMÜLE — gerçek parti kaydı değildir</x:v>
      </x:c>
      <x:c r="G174" s="38" t="n">
        <x:v>160.082</x:v>
      </x:c>
      <x:c r="H174" s="38" t="n">
        <x:v>51.93</x:v>
      </x:c>
      <x:c r="I174" s="38" t="n">
        <x:v>10.42</x:v>
      </x:c>
      <x:c r="J174" s="38" t="n">
        <x:v>5.67</x:v>
      </x:c>
      <x:c r="K174" s="38" t="n">
        <x:v>2.149</x:v>
      </x:c>
      <x:c r="L174" s="38" t="n">
        <x:f>SUM(G174:K174)</x:f>
        <x:v>230.25099999999998</x:v>
      </x:c>
      <x:c r="M174" s="38" t="n">
        <x:v>299.781</x:v>
      </x:c>
      <x:c r="N174" s="38" t="n">
        <x:v>591.1</x:v>
      </x:c>
      <x:c r="O174" s="38" t="n">
        <x:v>428.84</x:v>
      </x:c>
      <x:c r="P174" s="38" t="n">
        <x:v>400</x:v>
      </x:c>
      <x:c r="Q174" s="38" t="n">
        <x:v>19.88</x:v>
      </x:c>
      <x:c r="R174" s="38" t="n">
        <x:v>43.7475</x:v>
      </x:c>
      <x:c r="S174" s="38" t="n">
        <x:v>80.45</x:v>
      </x:c>
      <x:c r="T174" s="40" t="n">
        <x:v>17.49</x:v>
      </x:c>
      <x:c r="U174" s="40" t="n">
        <x:v>1.41</x:v>
      </x:c>
      <x:c r="V174" s="38" t="n">
        <x:f>L174*(1-T174/100)*(1-U174/100)</x:f>
        <x:v>187.30138068859</x:v>
      </x:c>
      <x:c r="W174" s="38" t="n">
        <x:f>G174*N174</x:f>
        <x:v>94624.4702</x:v>
      </x:c>
      <x:c r="X174" s="38" t="n">
        <x:f>H174*O174</x:f>
        <x:v>22269.6612</x:v>
      </x:c>
      <x:c r="Y174" s="38" t="n">
        <x:f>I174*P174</x:f>
        <x:v>4168</x:v>
      </x:c>
      <x:c r="Z174" s="38" t="n">
        <x:f>J174*Q174+K174*P174</x:f>
        <x:v>972.3196</x:v>
      </x:c>
      <x:c r="AA174" s="38" t="n">
        <x:f>M174*R174</x:f>
        <x:v>13114.6692975</x:v>
      </x:c>
      <x:c r="AB174" s="38" t="n">
        <x:f>SUM(W174:AA174)</x:f>
        <x:v>135149.1202975</x:v>
      </x:c>
      <x:c r="AC174" s="38" t="n">
        <x:v>11.02</x:v>
      </x:c>
      <x:c r="AD174" s="38" t="n">
        <x:v>174.33</x:v>
      </x:c>
      <x:c r="AE174" s="38" t="n">
        <x:v>105.65</x:v>
      </x:c>
      <x:c r="AF174" s="38" t="n">
        <x:v>4.8148</x:v>
      </x:c>
      <x:c r="AG174" s="38" t="n">
        <x:v>5.14</x:v>
      </x:c>
      <x:c r="AH174" s="38" t="n">
        <x:f>IF(E174="Fason",L174*S174,0)</x:f>
        <x:v>0</x:v>
      </x:c>
      <x:c r="AI174" s="38" t="n">
        <x:f>IF(E174="Kurum içi",AC174*AD174+AE174*AF174+AB174*12%,0)</x:f>
        <x:v>18647.694655699997</x:v>
      </x:c>
      <x:c r="AJ174" s="38" t="n">
        <x:f>V174*AG174</x:f>
        <x:v>962.7290967393526</x:v>
      </x:c>
      <x:c r="AK174" s="38" t="n">
        <x:f>AB174*2%</x:f>
        <x:v>2702.9824059499997</x:v>
      </x:c>
      <x:c r="AL174" s="38" t="n">
        <x:f>AB174+AH174+AI174+AJ174+AK174</x:f>
        <x:v>157462.52645588934</x:v>
      </x:c>
      <x:c r="AM174" s="38" t="n">
        <x:f>AL174/V174</x:f>
        <x:v>840.6906872602761</x:v>
      </x:c>
      <x:c r="AN174" s="40" t="n">
        <x:f>(W174+X174)/AL174*100</x:f>
        <x:v>74.23615893318342</x:v>
      </x:c>
      <x:c r="AO174" s="28" t="str">
        <x:v>R01-R20; ilgili satırdaki bölgesel fiyat ve maliyet varsayımları</x:v>
      </x:c>
      <x:c r="AP174" s="28" t="str">
        <x:v>Girdi miktarları, alım fiyatı değişimi, fason bedeli ve parti sonucu simüle edilmiştir; işletme kaydı değildir.</x:v>
      </x:c>
    </x:row>
    <x:row r="175" ht="22" customHeight="1">
      <x:c r="A175" t="str">
        <x:v>SUC-0174</x:v>
      </x:c>
      <x:c r="B175" s="36" t="n">
        <x:v>46268</x:v>
      </x:c>
      <x:c r="C175" t="str">
        <x:v>Güneydoğu Anadolu</x:v>
      </x:c>
      <x:c r="D175" t="str">
        <x:v>MEB_STANDART</x:v>
      </x:c>
      <x:c r="E175" t="str">
        <x:v>Kurum içi</x:v>
      </x:c>
      <x:c r="F175" s="42" t="str">
        <x:v>SENTETİK/SİMÜLE — gerçek parti kaydı değildir</x:v>
      </x:c>
      <x:c r="G175" s="38" t="n">
        <x:v>326.028</x:v>
      </x:c>
      <x:c r="H175" s="38" t="n">
        <x:v>101.362</x:v>
      </x:c>
      <x:c r="I175" s="38" t="n">
        <x:v>20.105</x:v>
      </x:c>
      <x:c r="J175" s="38" t="n">
        <x:v>11.667</x:v>
      </x:c>
      <x:c r="K175" s="38" t="n">
        <x:v>4.042</x:v>
      </x:c>
      <x:c r="L175" s="38" t="n">
        <x:f>SUM(G175:K175)</x:f>
        <x:v>463.20399999999995</x:v>
      </x:c>
      <x:c r="M175" s="38" t="n">
        <x:v>620.975</x:v>
      </x:c>
      <x:c r="N175" s="38" t="n">
        <x:v>571.54</x:v>
      </x:c>
      <x:c r="O175" s="38" t="n">
        <x:v>411.61</x:v>
      </x:c>
      <x:c r="P175" s="38" t="n">
        <x:v>400</x:v>
      </x:c>
      <x:c r="Q175" s="38" t="n">
        <x:v>19.88</x:v>
      </x:c>
      <x:c r="R175" s="38" t="n">
        <x:v>43.7475</x:v>
      </x:c>
      <x:c r="S175" s="38" t="n">
        <x:v>109.7</x:v>
      </x:c>
      <x:c r="T175" s="40" t="n">
        <x:v>18.3</x:v>
      </x:c>
      <x:c r="U175" s="40" t="n">
        <x:v>1.03</x:v>
      </x:c>
      <x:c r="V175" s="38" t="n">
        <x:f>L175*(1-T175/100)*(1-U175/100)</x:f>
        <x:v>374.53976001959995</x:v>
      </x:c>
      <x:c r="W175" s="38" t="n">
        <x:f>G175*N175</x:f>
        <x:v>186338.04312</x:v>
      </x:c>
      <x:c r="X175" s="38" t="n">
        <x:f>H175*O175</x:f>
        <x:v>41721.61282</x:v>
      </x:c>
      <x:c r="Y175" s="38" t="n">
        <x:f>I175*P175</x:f>
        <x:v>8042</x:v>
      </x:c>
      <x:c r="Z175" s="38" t="n">
        <x:f>J175*Q175+K175*P175</x:f>
        <x:v>1848.7399599999999</x:v>
      </x:c>
      <x:c r="AA175" s="38" t="n">
        <x:f>M175*R175</x:f>
        <x:v>27166.1038125</x:v>
      </x:c>
      <x:c r="AB175" s="38" t="n">
        <x:f>SUM(W175:AA175)</x:f>
        <x:v>265116.4997125</x:v>
      </x:c>
      <x:c r="AC175" s="38" t="n">
        <x:v>23.94</x:v>
      </x:c>
      <x:c r="AD175" s="38" t="n">
        <x:v>174.33</x:v>
      </x:c>
      <x:c r="AE175" s="38" t="n">
        <x:v>108.16</x:v>
      </x:c>
      <x:c r="AF175" s="38" t="n">
        <x:v>4.8148</x:v>
      </x:c>
      <x:c r="AG175" s="38" t="n">
        <x:v>5.68</x:v>
      </x:c>
      <x:c r="AH175" s="38" t="n">
        <x:f>IF(E175="Fason",L175*S175,0)</x:f>
        <x:v>0</x:v>
      </x:c>
      <x:c r="AI175" s="38" t="n">
        <x:f>IF(E175="Kurum içi",AC175*AD175+AE175*AF175+AB175*12%,0)</x:f>
        <x:v>36508.208933500006</x:v>
      </x:c>
      <x:c r="AJ175" s="38" t="n">
        <x:f>V175*AG175</x:f>
        <x:v>2127.3858369113277</x:v>
      </x:c>
      <x:c r="AK175" s="38" t="n">
        <x:f>AB175*2%</x:f>
        <x:v>5302.329994250001</x:v>
      </x:c>
      <x:c r="AL175" s="38" t="n">
        <x:f>AB175+AH175+AI175+AJ175+AK175</x:f>
        <x:v>309054.4244771613</x:v>
      </x:c>
      <x:c r="AM175" s="38" t="n">
        <x:f>AL175/V175</x:f>
        <x:v>825.1578536307821</x:v>
      </x:c>
      <x:c r="AN175" s="40" t="n">
        <x:f>(W175+X175)/AL175*100</x:f>
        <x:v>73.79271671189204</x:v>
      </x:c>
      <x:c r="AO175" s="28" t="str">
        <x:v>R01-R20; ilgili satırdaki bölgesel fiyat ve maliyet varsayımları</x:v>
      </x:c>
      <x:c r="AP175" s="28" t="str">
        <x:v>Girdi miktarları, alım fiyatı değişimi, fason bedeli ve parti sonucu simüle edilmiştir; işletme kaydı değildir.</x:v>
      </x:c>
    </x:row>
    <x:row r="176" ht="22" customHeight="1">
      <x:c r="A176" t="str">
        <x:v>SUC-0175</x:v>
      </x:c>
      <x:c r="B176" s="36" t="n">
        <x:v>46280</x:v>
      </x:c>
      <x:c r="C176" t="str">
        <x:v>Marmara</x:v>
      </x:c>
      <x:c r="D176" t="str">
        <x:v>MEB_STANDART</x:v>
      </x:c>
      <x:c r="E176" t="str">
        <x:v>Fason</x:v>
      </x:c>
      <x:c r="F176" s="42" t="str">
        <x:v>SENTETİK/SİMÜLE — gerçek parti kaydı değildir</x:v>
      </x:c>
      <x:c r="G176" s="38" t="n">
        <x:v>313.094</x:v>
      </x:c>
      <x:c r="H176" s="38" t="n">
        <x:v>95.374</x:v>
      </x:c>
      <x:c r="I176" s="38" t="n">
        <x:v>20.702</x:v>
      </x:c>
      <x:c r="J176" s="38" t="n">
        <x:v>11.443</x:v>
      </x:c>
      <x:c r="K176" s="38" t="n">
        <x:v>4.778</x:v>
      </x:c>
      <x:c r="L176" s="38" t="n">
        <x:f>SUM(G176:K176)</x:f>
        <x:v>445.39099999999996</x:v>
      </x:c>
      <x:c r="M176" s="38" t="n">
        <x:v>524.116</x:v>
      </x:c>
      <x:c r="N176" s="38" t="n">
        <x:v>609.11</x:v>
      </x:c>
      <x:c r="O176" s="38" t="n">
        <x:v>413.14</x:v>
      </x:c>
      <x:c r="P176" s="38" t="n">
        <x:v>669.9</x:v>
      </x:c>
      <x:c r="Q176" s="38" t="n">
        <x:v>19.88</x:v>
      </x:c>
      <x:c r="R176" s="38" t="n">
        <x:v>43.7475</x:v>
      </x:c>
      <x:c r="S176" s="38" t="n">
        <x:v>68.52</x:v>
      </x:c>
      <x:c r="T176" s="40" t="n">
        <x:v>17.41</x:v>
      </x:c>
      <x:c r="U176" s="40" t="n">
        <x:v>1.13</x:v>
      </x:c>
      <x:c r="V176" s="38" t="n">
        <x:f>L176*(1-T176/100)*(1-U176/100)</x:f>
        <x:v>363.69173967602995</x:v>
      </x:c>
      <x:c r="W176" s="38" t="n">
        <x:f>G176*N176</x:f>
        <x:v>190708.68634000001</x:v>
      </x:c>
      <x:c r="X176" s="38" t="n">
        <x:f>H176*O176</x:f>
        <x:v>39402.81436</x:v>
      </x:c>
      <x:c r="Y176" s="38" t="n">
        <x:f>I176*P176</x:f>
        <x:v>13868.2698</x:v>
      </x:c>
      <x:c r="Z176" s="38" t="n">
        <x:f>J176*Q176+K176*P176</x:f>
        <x:v>3428.2690399999997</x:v>
      </x:c>
      <x:c r="AA176" s="38" t="n">
        <x:f>M176*R176</x:f>
        <x:v>22928.76471</x:v>
      </x:c>
      <x:c r="AB176" s="38" t="n">
        <x:f>SUM(W176:AA176)</x:f>
        <x:v>270336.80425000004</x:v>
      </x:c>
      <x:c r="AC176" s="38" t="n">
        <x:v>20.77</x:v>
      </x:c>
      <x:c r="AD176" s="38" t="n">
        <x:v>174.33</x:v>
      </x:c>
      <x:c r="AE176" s="38" t="n">
        <x:v>191.89</x:v>
      </x:c>
      <x:c r="AF176" s="38" t="n">
        <x:v>4.8148</x:v>
      </x:c>
      <x:c r="AG176" s="38" t="n">
        <x:v>5.36</x:v>
      </x:c>
      <x:c r="AH176" s="38" t="n">
        <x:f>IF(E176="Fason",L176*S176,0)</x:f>
        <x:v>30518.191319999994</x:v>
      </x:c>
      <x:c r="AI176" s="38" t="n">
        <x:f>IF(E176="Kurum içi",AC176*AD176+AE176*AF176+AB176*12%,0)</x:f>
        <x:v>0</x:v>
      </x:c>
      <x:c r="AJ176" s="38" t="n">
        <x:f>V176*AG176</x:f>
        <x:v>1949.3877246635207</x:v>
      </x:c>
      <x:c r="AK176" s="38" t="n">
        <x:f>AB176*2%</x:f>
        <x:v>5406.736085000001</x:v>
      </x:c>
      <x:c r="AL176" s="38" t="n">
        <x:f>AB176+AH176+AI176+AJ176+AK176</x:f>
        <x:v>308211.11937966355</x:v>
      </x:c>
      <x:c r="AM176" s="38" t="n">
        <x:f>AL176/V176</x:f>
        <x:v>847.4515248936158</x:v>
      </x:c>
      <x:c r="AN176" s="40" t="n">
        <x:f>(W176+X176)/AL176*100</x:f>
        <x:v>74.6603500753462</x:v>
      </x:c>
      <x:c r="AO176" s="28" t="str">
        <x:v>R01-R20; ilgili satırdaki bölgesel fiyat ve maliyet varsayımları</x:v>
      </x:c>
      <x:c r="AP176" s="28" t="str">
        <x:v>Girdi miktarları, alım fiyatı değişimi, fason bedeli ve parti sonucu simüle edilmiştir; işletme kaydı değildir.</x:v>
      </x:c>
    </x:row>
    <x:row r="177" ht="22" customHeight="1">
      <x:c r="A177" t="str">
        <x:v>SUC-0176</x:v>
      </x:c>
      <x:c r="B177" s="36" t="n">
        <x:v>46305</x:v>
      </x:c>
      <x:c r="C177" t="str">
        <x:v>Ege</x:v>
      </x:c>
      <x:c r="D177" t="str">
        <x:v>ERZURUM_CI</x:v>
      </x:c>
      <x:c r="E177" t="str">
        <x:v>Kurum içi</x:v>
      </x:c>
      <x:c r="F177" s="42" t="str">
        <x:v>SENTETİK/SİMÜLE — gerçek parti kaydı değildir</x:v>
      </x:c>
      <x:c r="G177" s="38" t="n">
        <x:v>317.031</x:v>
      </x:c>
      <x:c r="H177" s="38" t="n">
        <x:v>57.317</x:v>
      </x:c>
      <x:c r="I177" s="38" t="n">
        <x:v>18.859</x:v>
      </x:c>
      <x:c r="J177" s="38" t="n">
        <x:v>6.299</x:v>
      </x:c>
      <x:c r="K177" s="38" t="n">
        <x:v>0.643</x:v>
      </x:c>
      <x:c r="L177" s="38" t="n">
        <x:f>SUM(G177:K177)</x:f>
        <x:v>400.14899999999994</x:v>
      </x:c>
      <x:c r="M177" s="38" t="n">
        <x:v>490.85</x:v>
      </x:c>
      <x:c r="N177" s="38" t="n">
        <x:v>601.58</x:v>
      </x:c>
      <x:c r="O177" s="38" t="n">
        <x:v>470.46</x:v>
      </x:c>
      <x:c r="P177" s="38" t="n">
        <x:v>550</x:v>
      </x:c>
      <x:c r="Q177" s="38" t="n">
        <x:v>19.88</x:v>
      </x:c>
      <x:c r="R177" s="38" t="n">
        <x:v>43.7475</x:v>
      </x:c>
      <x:c r="S177" s="38" t="n">
        <x:v>124.31</x:v>
      </x:c>
      <x:c r="T177" s="40" t="n">
        <x:v>16.78</x:v>
      </x:c>
      <x:c r="U177" s="40" t="n">
        <x:v>1.63</x:v>
      </x:c>
      <x:c r="V177" s="38" t="n">
        <x:f>L177*(1-T177/100)*(1-U177/100)</x:f>
        <x:v>327.57603263586</x:v>
      </x:c>
      <x:c r="W177" s="38" t="n">
        <x:f>G177*N177</x:f>
        <x:v>190719.50898</x:v>
      </x:c>
      <x:c r="X177" s="38" t="n">
        <x:f>H177*O177</x:f>
        <x:v>26965.35582</x:v>
      </x:c>
      <x:c r="Y177" s="38" t="n">
        <x:f>I177*P177</x:f>
        <x:v>10372.45</x:v>
      </x:c>
      <x:c r="Z177" s="38" t="n">
        <x:f>J177*Q177+K177*P177</x:f>
        <x:v>478.87412000000006</x:v>
      </x:c>
      <x:c r="AA177" s="38" t="n">
        <x:f>M177*R177</x:f>
        <x:v>21473.460375000002</x:v>
      </x:c>
      <x:c r="AB177" s="38" t="n">
        <x:f>SUM(W177:AA177)</x:f>
        <x:v>250009.649295</x:v>
      </x:c>
      <x:c r="AC177" s="38" t="n">
        <x:v>24.64</x:v>
      </x:c>
      <x:c r="AD177" s="38" t="n">
        <x:v>174.33</x:v>
      </x:c>
      <x:c r="AE177" s="38" t="n">
        <x:v>155.16</x:v>
      </x:c>
      <x:c r="AF177" s="38" t="n">
        <x:v>4.8148</x:v>
      </x:c>
      <x:c r="AG177" s="38" t="n">
        <x:v>5.17</x:v>
      </x:c>
      <x:c r="AH177" s="38" t="n">
        <x:f>IF(E177="Fason",L177*S177,0)</x:f>
        <x:v>0</x:v>
      </x:c>
      <x:c r="AI177" s="38" t="n">
        <x:f>IF(E177="Kurum içi",AC177*AD177+AE177*AF177+AB177*12%,0)</x:f>
        <x:v>35043.7134834</x:v>
      </x:c>
      <x:c r="AJ177" s="38" t="n">
        <x:f>V177*AG177</x:f>
        <x:v>1693.5680887273961</x:v>
      </x:c>
      <x:c r="AK177" s="38" t="n">
        <x:f>AB177*2%</x:f>
        <x:v>5000.1929859</x:v>
      </x:c>
      <x:c r="AL177" s="38" t="n">
        <x:f>AB177+AH177+AI177+AJ177+AK177</x:f>
        <x:v>291747.1238530274</x:v>
      </x:c>
      <x:c r="AM177" s="38" t="n">
        <x:f>AL177/V177</x:f>
        <x:v>890.6241445855085</x:v>
      </x:c>
      <x:c r="AN177" s="40" t="n">
        <x:f>(W177+X177)/AL177*100</x:f>
        <x:v>74.61422821417855</x:v>
      </x:c>
      <x:c r="AO177" s="28" t="str">
        <x:v>R01-R20; ilgili satırdaki bölgesel fiyat ve maliyet varsayımları</x:v>
      </x:c>
      <x:c r="AP177" s="28" t="str">
        <x:v>Girdi miktarları, alım fiyatı değişimi, fason bedeli ve parti sonucu simüle edilmiştir; işletme kaydı değildir.</x:v>
      </x:c>
    </x:row>
    <x:row r="178" ht="22" customHeight="1">
      <x:c r="A178" t="str">
        <x:v>SUC-0177</x:v>
      </x:c>
      <x:c r="B178" s="36" t="n">
        <x:v>46303</x:v>
      </x:c>
      <x:c r="C178" t="str">
        <x:v>Doğu Anadolu</x:v>
      </x:c>
      <x:c r="D178" t="str">
        <x:v>MEB_STANDART</x:v>
      </x:c>
      <x:c r="E178" t="str">
        <x:v>Kurum içi</x:v>
      </x:c>
      <x:c r="F178" s="42" t="str">
        <x:v>SENTETİK/SİMÜLE — gerçek parti kaydı değildir</x:v>
      </x:c>
      <x:c r="G178" s="38" t="n">
        <x:v>100.704</x:v>
      </x:c>
      <x:c r="H178" s="38" t="n">
        <x:v>30.762</x:v>
      </x:c>
      <x:c r="I178" s="38" t="n">
        <x:v>6.759</x:v>
      </x:c>
      <x:c r="J178" s="38" t="n">
        <x:v>3.624</x:v>
      </x:c>
      <x:c r="K178" s="38" t="n">
        <x:v>1.645</x:v>
      </x:c>
      <x:c r="L178" s="38" t="n">
        <x:f>SUM(G178:K178)</x:f>
        <x:v>143.49400000000003</x:v>
      </x:c>
      <x:c r="M178" s="38" t="n">
        <x:v>187.852</x:v>
      </x:c>
      <x:c r="N178" s="38" t="n">
        <x:v>576.26</x:v>
      </x:c>
      <x:c r="O178" s="38" t="n">
        <x:v>427.78</x:v>
      </x:c>
      <x:c r="P178" s="38" t="n">
        <x:v>550</x:v>
      </x:c>
      <x:c r="Q178" s="38" t="n">
        <x:v>19.88</x:v>
      </x:c>
      <x:c r="R178" s="38" t="n">
        <x:v>43.7475</x:v>
      </x:c>
      <x:c r="S178" s="38" t="n">
        <x:v>77.55</x:v>
      </x:c>
      <x:c r="T178" s="40" t="n">
        <x:v>17.17</x:v>
      </x:c>
      <x:c r="U178" s="40" t="n">
        <x:v>0.89</x:v>
      </x:c>
      <x:c r="V178" s="38" t="n">
        <x:f>L178*(1-T178/100)*(1-U178/100)</x:f>
        <x:v>117.79826108622002</x:v>
      </x:c>
      <x:c r="W178" s="38" t="n">
        <x:f>G178*N178</x:f>
        <x:v>58031.68704</x:v>
      </x:c>
      <x:c r="X178" s="38" t="n">
        <x:f>H178*O178</x:f>
        <x:v>13159.368359999999</x:v>
      </x:c>
      <x:c r="Y178" s="38" t="n">
        <x:f>I178*P178</x:f>
        <x:v>3717.4500000000003</x:v>
      </x:c>
      <x:c r="Z178" s="38" t="n">
        <x:f>J178*Q178+K178*P178</x:f>
        <x:v>976.79512</x:v>
      </x:c>
      <x:c r="AA178" s="38" t="n">
        <x:f>M178*R178</x:f>
        <x:v>8218.05537</x:v>
      </x:c>
      <x:c r="AB178" s="38" t="n">
        <x:f>SUM(W178:AA178)</x:f>
        <x:v>84103.35588999999</x:v>
      </x:c>
      <x:c r="AC178" s="38" t="n">
        <x:v>6.45</x:v>
      </x:c>
      <x:c r="AD178" s="38" t="n">
        <x:v>174.33</x:v>
      </x:c>
      <x:c r="AE178" s="38" t="n">
        <x:v>32.88</x:v>
      </x:c>
      <x:c r="AF178" s="38" t="n">
        <x:v>4.8148</x:v>
      </x:c>
      <x:c r="AG178" s="38" t="n">
        <x:v>5.72</x:v>
      </x:c>
      <x:c r="AH178" s="38" t="n">
        <x:f>IF(E178="Fason",L178*S178,0)</x:f>
        <x:v>0</x:v>
      </x:c>
      <x:c r="AI178" s="38" t="n">
        <x:f>IF(E178="Kurum içi",AC178*AD178+AE178*AF178+AB178*12%,0)</x:f>
        <x:v>11375.141830799997</x:v>
      </x:c>
      <x:c r="AJ178" s="38" t="n">
        <x:f>V178*AG178</x:f>
        <x:v>673.8060534131785</x:v>
      </x:c>
      <x:c r="AK178" s="38" t="n">
        <x:f>AB178*2%</x:f>
        <x:v>1682.0671177999998</x:v>
      </x:c>
      <x:c r="AL178" s="38" t="n">
        <x:f>AB178+AH178+AI178+AJ178+AK178</x:f>
        <x:v>97834.37089201318</x:v>
      </x:c>
      <x:c r="AM178" s="38" t="n">
        <x:f>AL178/V178</x:f>
        <x:v>830.5247462049148</x:v>
      </x:c>
      <x:c r="AN178" s="40" t="n">
        <x:f>(W178+X178)/AL178*100</x:f>
        <x:v>72.76691693410967</x:v>
      </x:c>
      <x:c r="AO178" s="28" t="str">
        <x:v>R01-R20; ilgili satırdaki bölgesel fiyat ve maliyet varsayımları</x:v>
      </x:c>
      <x:c r="AP178" s="28" t="str">
        <x:v>Girdi miktarları, alım fiyatı değişimi, fason bedeli ve parti sonucu simüle edilmiştir; işletme kaydı değildir.</x:v>
      </x:c>
    </x:row>
    <x:row r="179" ht="22" customHeight="1">
      <x:c r="A179" t="str">
        <x:v>SUC-0178</x:v>
      </x:c>
      <x:c r="B179" s="36" t="n">
        <x:v>46295</x:v>
      </x:c>
      <x:c r="C179" t="str">
        <x:v>Ege</x:v>
      </x:c>
      <x:c r="D179" t="str">
        <x:v>MEB_STANDART</x:v>
      </x:c>
      <x:c r="E179" t="str">
        <x:v>Fason</x:v>
      </x:c>
      <x:c r="F179" s="42" t="str">
        <x:v>SENTETİK/SİMÜLE — gerçek parti kaydı değildir</x:v>
      </x:c>
      <x:c r="G179" s="38" t="n">
        <x:v>302.991</x:v>
      </x:c>
      <x:c r="H179" s="38" t="n">
        <x:v>93.64</x:v>
      </x:c>
      <x:c r="I179" s="38" t="n">
        <x:v>19.841</x:v>
      </x:c>
      <x:c r="J179" s="38" t="n">
        <x:v>10.827</x:v>
      </x:c>
      <x:c r="K179" s="38" t="n">
        <x:v>4.902</x:v>
      </x:c>
      <x:c r="L179" s="38" t="n">
        <x:f>SUM(G179:K179)</x:f>
        <x:v>432.20099999999996</x:v>
      </x:c>
      <x:c r="M179" s="38" t="n">
        <x:v>521.272</x:v>
      </x:c>
      <x:c r="N179" s="38" t="n">
        <x:v>582.13</x:v>
      </x:c>
      <x:c r="O179" s="38" t="n">
        <x:v>424.78</x:v>
      </x:c>
      <x:c r="P179" s="38" t="n">
        <x:v>400</x:v>
      </x:c>
      <x:c r="Q179" s="38" t="n">
        <x:v>19.88</x:v>
      </x:c>
      <x:c r="R179" s="38" t="n">
        <x:v>43.7475</x:v>
      </x:c>
      <x:c r="S179" s="38" t="n">
        <x:v>97.54</x:v>
      </x:c>
      <x:c r="T179" s="40" t="n">
        <x:v>32.53</x:v>
      </x:c>
      <x:c r="U179" s="40" t="n">
        <x:v>1.29</x:v>
      </x:c>
      <x:c r="V179" s="38" t="n">
        <x:f>L179*(1-T179/100)*(1-U179/100)</x:f>
        <x:v>287.84429711036995</x:v>
      </x:c>
      <x:c r="W179" s="38" t="n">
        <x:f>G179*N179</x:f>
        <x:v>176380.15083</x:v>
      </x:c>
      <x:c r="X179" s="38" t="n">
        <x:f>H179*O179</x:f>
        <x:v>39776.3992</x:v>
      </x:c>
      <x:c r="Y179" s="38" t="n">
        <x:f>I179*P179</x:f>
        <x:v>7936.400000000001</x:v>
      </x:c>
      <x:c r="Z179" s="38" t="n">
        <x:f>J179*Q179+K179*P179</x:f>
        <x:v>2176.04076</x:v>
      </x:c>
      <x:c r="AA179" s="38" t="n">
        <x:f>M179*R179</x:f>
        <x:v>22804.346820000002</x:v>
      </x:c>
      <x:c r="AB179" s="38" t="n">
        <x:f>SUM(W179:AA179)</x:f>
        <x:v>249073.33761</x:v>
      </x:c>
      <x:c r="AC179" s="38" t="n">
        <x:v>28.01</x:v>
      </x:c>
      <x:c r="AD179" s="38" t="n">
        <x:v>174.33</x:v>
      </x:c>
      <x:c r="AE179" s="38" t="n">
        <x:v>168.2</x:v>
      </x:c>
      <x:c r="AF179" s="38" t="n">
        <x:v>4.8148</x:v>
      </x:c>
      <x:c r="AG179" s="38" t="n">
        <x:v>5.36</x:v>
      </x:c>
      <x:c r="AH179" s="38" t="n">
        <x:f>IF(E179="Fason",L179*S179,0)</x:f>
        <x:v>42156.885539999996</x:v>
      </x:c>
      <x:c r="AI179" s="38" t="n">
        <x:f>IF(E179="Kurum içi",AC179*AD179+AE179*AF179+AB179*12%,0)</x:f>
        <x:v>0</x:v>
      </x:c>
      <x:c r="AJ179" s="38" t="n">
        <x:f>V179*AG179</x:f>
        <x:v>1542.845432511583</x:v>
      </x:c>
      <x:c r="AK179" s="38" t="n">
        <x:f>AB179*2%</x:f>
        <x:v>4981.4667522</x:v>
      </x:c>
      <x:c r="AL179" s="38" t="n">
        <x:f>AB179+AH179+AI179+AJ179+AK179</x:f>
        <x:v>297754.53533471155</x:v>
      </x:c>
      <x:c r="AM179" s="38" t="n">
        <x:f>AL179/V179</x:f>
        <x:v>1034.4291630017656</x:v>
      </x:c>
      <x:c r="AN179" s="40" t="n">
        <x:f>(W179+X179)/AL179*100</x:f>
        <x:v>72.5955525033445</x:v>
      </x:c>
      <x:c r="AO179" s="28" t="str">
        <x:v>R01-R20; ilgili satırdaki bölgesel fiyat ve maliyet varsayımları</x:v>
      </x:c>
      <x:c r="AP179" s="28" t="str">
        <x:v>Girdi miktarları, alım fiyatı değişimi, fason bedeli ve parti sonucu simüle edilmiştir; işletme kaydı değildir.</x:v>
      </x:c>
    </x:row>
    <x:row r="180" ht="22" customHeight="1">
      <x:c r="A180" t="str">
        <x:v>SUC-0179</x:v>
      </x:c>
      <x:c r="B180" s="36" t="n">
        <x:v>46301</x:v>
      </x:c>
      <x:c r="C180" t="str">
        <x:v>Karadeniz</x:v>
      </x:c>
      <x:c r="D180" t="str">
        <x:v>MEB_STANDART</x:v>
      </x:c>
      <x:c r="E180" t="str">
        <x:v>Kurum içi</x:v>
      </x:c>
      <x:c r="F180" s="42" t="str">
        <x:v>SENTETİK/SİMÜLE — gerçek parti kaydı değildir</x:v>
      </x:c>
      <x:c r="G180" s="38" t="n">
        <x:v>207.108</x:v>
      </x:c>
      <x:c r="H180" s="38" t="n">
        <x:v>67.679</x:v>
      </x:c>
      <x:c r="I180" s="38" t="n">
        <x:v>12.884</x:v>
      </x:c>
      <x:c r="J180" s="38" t="n">
        <x:v>7.164</x:v>
      </x:c>
      <x:c r="K180" s="38" t="n">
        <x:v>2.825</x:v>
      </x:c>
      <x:c r="L180" s="38" t="n">
        <x:f>SUM(G180:K180)</x:f>
        <x:v>297.66</x:v>
      </x:c>
      <x:c r="M180" s="38" t="n">
        <x:v>365.012</x:v>
      </x:c>
      <x:c r="N180" s="38" t="n">
        <x:v>593.08</x:v>
      </x:c>
      <x:c r="O180" s="38" t="n">
        <x:v>411.12</x:v>
      </x:c>
      <x:c r="P180" s="38" t="n">
        <x:v>400</x:v>
      </x:c>
      <x:c r="Q180" s="38" t="n">
        <x:v>19.88</x:v>
      </x:c>
      <x:c r="R180" s="38" t="n">
        <x:v>43.7475</x:v>
      </x:c>
      <x:c r="S180" s="38" t="n">
        <x:v>86.37</x:v>
      </x:c>
      <x:c r="T180" s="40" t="n">
        <x:v>16.47</x:v>
      </x:c>
      <x:c r="U180" s="40" t="n">
        <x:v>1.52</x:v>
      </x:c>
      <x:c r="V180" s="38" t="n">
        <x:f>L180*(1-T180/100)*(1-U180/100)</x:f>
        <x:v>244.85613995040003</x:v>
      </x:c>
      <x:c r="W180" s="38" t="n">
        <x:f>G180*N180</x:f>
        <x:v>122831.61264</x:v>
      </x:c>
      <x:c r="X180" s="38" t="n">
        <x:f>H180*O180</x:f>
        <x:v>27824.19048</x:v>
      </x:c>
      <x:c r="Y180" s="38" t="n">
        <x:f>I180*P180</x:f>
        <x:v>5153.6</x:v>
      </x:c>
      <x:c r="Z180" s="38" t="n">
        <x:f>J180*Q180+K180*P180</x:f>
        <x:v>1272.42032</x:v>
      </x:c>
      <x:c r="AA180" s="38" t="n">
        <x:f>M180*R180</x:f>
        <x:v>15968.36247</x:v>
      </x:c>
      <x:c r="AB180" s="38" t="n">
        <x:f>SUM(W180:AA180)</x:f>
        <x:v>173050.18591</x:v>
      </x:c>
      <x:c r="AC180" s="38" t="n">
        <x:v>11.5</x:v>
      </x:c>
      <x:c r="AD180" s="38" t="n">
        <x:v>174.33</x:v>
      </x:c>
      <x:c r="AE180" s="38" t="n">
        <x:v>71.23</x:v>
      </x:c>
      <x:c r="AF180" s="38" t="n">
        <x:v>4.8148</x:v>
      </x:c>
      <x:c r="AG180" s="38" t="n">
        <x:v>5.18</x:v>
      </x:c>
      <x:c r="AH180" s="38" t="n">
        <x:f>IF(E180="Fason",L180*S180,0)</x:f>
        <x:v>0</x:v>
      </x:c>
      <x:c r="AI180" s="38" t="n">
        <x:f>IF(E180="Kurum içi",AC180*AD180+AE180*AF180+AB180*12%,0)</x:f>
        <x:v>23113.7755132</x:v>
      </x:c>
      <x:c r="AJ180" s="38" t="n">
        <x:f>V180*AG180</x:f>
        <x:v>1268.3548049430722</x:v>
      </x:c>
      <x:c r="AK180" s="38" t="n">
        <x:f>AB180*2%</x:f>
        <x:v>3461.0037182</x:v>
      </x:c>
      <x:c r="AL180" s="38" t="n">
        <x:f>AB180+AH180+AI180+AJ180+AK180</x:f>
        <x:v>200893.31994634308</x:v>
      </x:c>
      <x:c r="AM180" s="38" t="n">
        <x:f>AL180/V180</x:f>
        <x:v>820.4544921235694</x:v>
      </x:c>
      <x:c r="AN180" s="40" t="n">
        <x:f>(W180+X180)/AL180*100</x:f>
        <x:v>74.9929381227006</x:v>
      </x:c>
      <x:c r="AO180" s="28" t="str">
        <x:v>R01-R20; ilgili satırdaki bölgesel fiyat ve maliyet varsayımları</x:v>
      </x:c>
      <x:c r="AP180" s="28" t="str">
        <x:v>Girdi miktarları, alım fiyatı değişimi, fason bedeli ve parti sonucu simüle edilmiştir; işletme kaydı değildir.</x:v>
      </x:c>
    </x:row>
    <x:row r="181" ht="22" customHeight="1">
      <x:c r="A181" t="str">
        <x:v>SUC-0180</x:v>
      </x:c>
      <x:c r="B181" s="36" t="n">
        <x:v>46301</x:v>
      </x:c>
      <x:c r="C181" t="str">
        <x:v>Güneydoğu Anadolu</x:v>
      </x:c>
      <x:c r="D181" t="str">
        <x:v>MEB_STANDART</x:v>
      </x:c>
      <x:c r="E181" t="str">
        <x:v>Kurum içi</x:v>
      </x:c>
      <x:c r="F181" s="42" t="str">
        <x:v>SENTETİK/SİMÜLE — gerçek parti kaydı değildir</x:v>
      </x:c>
      <x:c r="G181" s="38" t="n">
        <x:v>263.862</x:v>
      </x:c>
      <x:c r="H181" s="38" t="n">
        <x:v>81.82</x:v>
      </x:c>
      <x:c r="I181" s="38" t="n">
        <x:v>17.017</x:v>
      </x:c>
      <x:c r="J181" s="38" t="n">
        <x:v>10.061</x:v>
      </x:c>
      <x:c r="K181" s="38" t="n">
        <x:v>3.491</x:v>
      </x:c>
      <x:c r="L181" s="38" t="n">
        <x:f>SUM(G181:K181)</x:f>
        <x:v>376.251</x:v>
      </x:c>
      <x:c r="M181" s="38" t="n">
        <x:v>455.725</x:v>
      </x:c>
      <x:c r="N181" s="38" t="n">
        <x:v>577.59</x:v>
      </x:c>
      <x:c r="O181" s="38" t="n">
        <x:v>410.27</x:v>
      </x:c>
      <x:c r="P181" s="38" t="n">
        <x:v>400</x:v>
      </x:c>
      <x:c r="Q181" s="38" t="n">
        <x:v>19.88</x:v>
      </x:c>
      <x:c r="R181" s="38" t="n">
        <x:v>43.7475</x:v>
      </x:c>
      <x:c r="S181" s="38" t="n">
        <x:v>72.33</x:v>
      </x:c>
      <x:c r="T181" s="40" t="n">
        <x:v>17.56</x:v>
      </x:c>
      <x:c r="U181" s="40" t="n">
        <x:v>0.77</x:v>
      </x:c>
      <x:c r="V181" s="38" t="n">
        <x:f>L181*(1-T181/100)*(1-U181/100)</x:f>
        <x:v>307.79292820212</x:v>
      </x:c>
      <x:c r="W181" s="38" t="n">
        <x:f>G181*N181</x:f>
        <x:v>152404.05258000002</x:v>
      </x:c>
      <x:c r="X181" s="38" t="n">
        <x:f>H181*O181</x:f>
        <x:v>33568.291399999995</x:v>
      </x:c>
      <x:c r="Y181" s="38" t="n">
        <x:f>I181*P181</x:f>
        <x:v>6806.8</x:v>
      </x:c>
      <x:c r="Z181" s="38" t="n">
        <x:f>J181*Q181+K181*P181</x:f>
        <x:v>1596.4126800000001</x:v>
      </x:c>
      <x:c r="AA181" s="38" t="n">
        <x:f>M181*R181</x:f>
        <x:v>19936.8294375</x:v>
      </x:c>
      <x:c r="AB181" s="38" t="n">
        <x:f>SUM(W181:AA181)</x:f>
        <x:v>214312.3860975</x:v>
      </x:c>
      <x:c r="AC181" s="38" t="n">
        <x:v>21.92</x:v>
      </x:c>
      <x:c r="AD181" s="38" t="n">
        <x:v>174.33</x:v>
      </x:c>
      <x:c r="AE181" s="38" t="n">
        <x:v>109.33</x:v>
      </x:c>
      <x:c r="AF181" s="38" t="n">
        <x:v>4.8148</x:v>
      </x:c>
      <x:c r="AG181" s="38" t="n">
        <x:v>5.47</x:v>
      </x:c>
      <x:c r="AH181" s="38" t="n">
        <x:f>IF(E181="Fason",L181*S181,0)</x:f>
        <x:v>0</x:v>
      </x:c>
      <x:c r="AI181" s="38" t="n">
        <x:f>IF(E181="Kurum içi",AC181*AD181+AE181*AF181+AB181*12%,0)</x:f>
        <x:v>30065.2020157</x:v>
      </x:c>
      <x:c r="AJ181" s="38" t="n">
        <x:f>V181*AG181</x:f>
        <x:v>1683.6273172655963</x:v>
      </x:c>
      <x:c r="AK181" s="38" t="n">
        <x:f>AB181*2%</x:f>
        <x:v>4286.247721950001</x:v>
      </x:c>
      <x:c r="AL181" s="38" t="n">
        <x:f>AB181+AH181+AI181+AJ181+AK181</x:f>
        <x:v>250347.4631524156</x:v>
      </x:c>
      <x:c r="AM181" s="38" t="n">
        <x:f>AL181/V181</x:f>
        <x:v>813.3632719073346</x:v>
      </x:c>
      <x:c r="AN181" s="40" t="n">
        <x:f>(W181+X181)/AL181*100</x:f>
        <x:v>74.28569142990557</x:v>
      </x:c>
      <x:c r="AO181" s="28" t="str">
        <x:v>R01-R20; ilgili satırdaki bölgesel fiyat ve maliyet varsayımları</x:v>
      </x:c>
      <x:c r="AP181" s="28" t="str">
        <x:v>Girdi miktarları, alım fiyatı değişimi, fason bedeli ve parti sonucu simüle edilmiştir; işletme kaydı değildir.</x:v>
      </x:c>
    </x:row>
    <x:row r="182" ht="22" customHeight="1">
      <x:c r="A182" t="str">
        <x:v>SUC-0181</x:v>
      </x:c>
      <x:c r="B182" s="36" t="n">
        <x:v>46296</x:v>
      </x:c>
      <x:c r="C182" t="str">
        <x:v>Marmara</x:v>
      </x:c>
      <x:c r="D182" t="str">
        <x:v>MEB_STANDART</x:v>
      </x:c>
      <x:c r="E182" t="str">
        <x:v>Fason</x:v>
      </x:c>
      <x:c r="F182" s="42" t="str">
        <x:v>SENTETİK/SİMÜLE — gerçek parti kaydı değildir</x:v>
      </x:c>
      <x:c r="G182" s="38" t="n">
        <x:v>102.51</x:v>
      </x:c>
      <x:c r="H182" s="38" t="n">
        <x:v>33.109</x:v>
      </x:c>
      <x:c r="I182" s="38" t="n">
        <x:v>6.58</x:v>
      </x:c>
      <x:c r="J182" s="38" t="n">
        <x:v>3.414</x:v>
      </x:c>
      <x:c r="K182" s="38" t="n">
        <x:v>1.654</x:v>
      </x:c>
      <x:c r="L182" s="38" t="n">
        <x:f>SUM(G182:K182)</x:f>
        <x:v>147.267</x:v>
      </x:c>
      <x:c r="M182" s="38" t="n">
        <x:v>174.776</x:v>
      </x:c>
      <x:c r="N182" s="38" t="n">
        <x:v>613.99</x:v>
      </x:c>
      <x:c r="O182" s="38" t="n">
        <x:v>422.35</x:v>
      </x:c>
      <x:c r="P182" s="38" t="n">
        <x:v>550</x:v>
      </x:c>
      <x:c r="Q182" s="38" t="n">
        <x:v>19.88</x:v>
      </x:c>
      <x:c r="R182" s="38" t="n">
        <x:v>43.7475</x:v>
      </x:c>
      <x:c r="S182" s="38" t="n">
        <x:v>108.49</x:v>
      </x:c>
      <x:c r="T182" s="40" t="n">
        <x:v>21.56</x:v>
      </x:c>
      <x:c r="U182" s="40" t="n">
        <x:v>0.47</x:v>
      </x:c>
      <x:c r="V182" s="38" t="n">
        <x:f>L182*(1-T182/100)*(1-U182/100)</x:f>
        <x:v>114.97330849643998</x:v>
      </x:c>
      <x:c r="W182" s="38" t="n">
        <x:f>G182*N182</x:f>
        <x:v>62940.1149</x:v>
      </x:c>
      <x:c r="X182" s="38" t="n">
        <x:f>H182*O182</x:f>
        <x:v>13983.586150000001</x:v>
      </x:c>
      <x:c r="Y182" s="38" t="n">
        <x:f>I182*P182</x:f>
        <x:v>3619</x:v>
      </x:c>
      <x:c r="Z182" s="38" t="n">
        <x:f>J182*Q182+K182*P182</x:f>
        <x:v>977.5703199999999</x:v>
      </x:c>
      <x:c r="AA182" s="38" t="n">
        <x:f>M182*R182</x:f>
        <x:v>7646.013060000001</x:v>
      </x:c>
      <x:c r="AB182" s="38" t="n">
        <x:f>SUM(W182:AA182)</x:f>
        <x:v>89166.28443</x:v>
      </x:c>
      <x:c r="AC182" s="38" t="n">
        <x:v>9.3</x:v>
      </x:c>
      <x:c r="AD182" s="38" t="n">
        <x:v>174.33</x:v>
      </x:c>
      <x:c r="AE182" s="38" t="n">
        <x:v>52.4</x:v>
      </x:c>
      <x:c r="AF182" s="38" t="n">
        <x:v>4.8148</x:v>
      </x:c>
      <x:c r="AG182" s="38" t="n">
        <x:v>5.9</x:v>
      </x:c>
      <x:c r="AH182" s="38" t="n">
        <x:f>IF(E182="Fason",L182*S182,0)</x:f>
        <x:v>15976.996829999998</x:v>
      </x:c>
      <x:c r="AI182" s="38" t="n">
        <x:f>IF(E182="Kurum içi",AC182*AD182+AE182*AF182+AB182*12%,0)</x:f>
        <x:v>0</x:v>
      </x:c>
      <x:c r="AJ182" s="38" t="n">
        <x:f>V182*AG182</x:f>
        <x:v>678.342520128996</x:v>
      </x:c>
      <x:c r="AK182" s="38" t="n">
        <x:f>AB182*2%</x:f>
        <x:v>1783.3256886</x:v>
      </x:c>
      <x:c r="AL182" s="38" t="n">
        <x:f>AB182+AH182+AI182+AJ182+AK182</x:f>
        <x:v>107604.949468729</x:v>
      </x:c>
      <x:c r="AM182" s="38" t="n">
        <x:f>AL182/V182</x:f>
        <x:v>935.912438077407</x:v>
      </x:c>
      <x:c r="AN182" s="40" t="n">
        <x:f>(W182+X182)/AL182*100</x:f>
        <x:v>71.48714016389623</x:v>
      </x:c>
      <x:c r="AO182" s="28" t="str">
        <x:v>R01-R20; ilgili satırdaki bölgesel fiyat ve maliyet varsayımları</x:v>
      </x:c>
      <x:c r="AP182" s="28" t="str">
        <x:v>Girdi miktarları, alım fiyatı değişimi, fason bedeli ve parti sonucu simüle edilmiştir; işletme kaydı değildir.</x:v>
      </x:c>
    </x:row>
    <x:row r="183" ht="22" customHeight="1">
      <x:c r="A183" t="str">
        <x:v>SUC-0182</x:v>
      </x:c>
      <x:c r="B183" s="36" t="n">
        <x:v>46270</x:v>
      </x:c>
      <x:c r="C183" t="str">
        <x:v>Güneydoğu Anadolu</x:v>
      </x:c>
      <x:c r="D183" t="str">
        <x:v>ERZURUM_CI</x:v>
      </x:c>
      <x:c r="E183" t="str">
        <x:v>Kurum içi</x:v>
      </x:c>
      <x:c r="F183" s="42" t="str">
        <x:v>SENTETİK/SİMÜLE — gerçek parti kaydı değildir</x:v>
      </x:c>
      <x:c r="G183" s="38" t="n">
        <x:v>288.204</x:v>
      </x:c>
      <x:c r="H183" s="38" t="n">
        <x:v>52.222</x:v>
      </x:c>
      <x:c r="I183" s="38" t="n">
        <x:v>17.373</x:v>
      </x:c>
      <x:c r="J183" s="38" t="n">
        <x:v>5.404</x:v>
      </x:c>
      <x:c r="K183" s="38" t="n">
        <x:v>0.777</x:v>
      </x:c>
      <x:c r="L183" s="38" t="n">
        <x:f>SUM(G183:K183)</x:f>
        <x:v>363.97999999999996</x:v>
      </x:c>
      <x:c r="M183" s="38" t="n">
        <x:v>439.793</x:v>
      </x:c>
      <x:c r="N183" s="38" t="n">
        <x:v>600.51</x:v>
      </x:c>
      <x:c r="O183" s="38" t="n">
        <x:v>476.3</x:v>
      </x:c>
      <x:c r="P183" s="38" t="n">
        <x:v>550</x:v>
      </x:c>
      <x:c r="Q183" s="38" t="n">
        <x:v>19.88</x:v>
      </x:c>
      <x:c r="R183" s="38" t="n">
        <x:v>43.7475</x:v>
      </x:c>
      <x:c r="S183" s="38" t="n">
        <x:v>77.64</x:v>
      </x:c>
      <x:c r="T183" s="40" t="n">
        <x:v>24.18</x:v>
      </x:c>
      <x:c r="U183" s="40" t="n">
        <x:v>0.79</x:v>
      </x:c>
      <x:c r="V183" s="38" t="n">
        <x:f>L183*(1-T183/100)*(1-U183/100)</x:f>
        <x:v>273.7894758756</x:v>
      </x:c>
      <x:c r="W183" s="38" t="n">
        <x:f>G183*N183</x:f>
        <x:v>173069.38404</x:v>
      </x:c>
      <x:c r="X183" s="38" t="n">
        <x:f>H183*O183</x:f>
        <x:v>24873.338600000003</x:v>
      </x:c>
      <x:c r="Y183" s="38" t="n">
        <x:f>I183*P183</x:f>
        <x:v>9555.150000000001</x:v>
      </x:c>
      <x:c r="Z183" s="38" t="n">
        <x:f>J183*Q183+K183*P183</x:f>
        <x:v>534.78152</x:v>
      </x:c>
      <x:c r="AA183" s="38" t="n">
        <x:f>M183*R183</x:f>
        <x:v>19239.8442675</x:v>
      </x:c>
      <x:c r="AB183" s="38" t="n">
        <x:f>SUM(W183:AA183)</x:f>
        <x:v>227272.4984275</x:v>
      </x:c>
      <x:c r="AC183" s="38" t="n">
        <x:v>15.19</x:v>
      </x:c>
      <x:c r="AD183" s="38" t="n">
        <x:v>174.33</x:v>
      </x:c>
      <x:c r="AE183" s="38" t="n">
        <x:v>105.94</x:v>
      </x:c>
      <x:c r="AF183" s="38" t="n">
        <x:v>4.8148</x:v>
      </x:c>
      <x:c r="AG183" s="38" t="n">
        <x:v>5.15</x:v>
      </x:c>
      <x:c r="AH183" s="38" t="n">
        <x:f>IF(E183="Fason",L183*S183,0)</x:f>
        <x:v>0</x:v>
      </x:c>
      <x:c r="AI183" s="38" t="n">
        <x:f>IF(E183="Kurum içi",AC183*AD183+AE183*AF183+AB183*12%,0)</x:f>
        <x:v>30430.8524233</x:v>
      </x:c>
      <x:c r="AJ183" s="38" t="n">
        <x:f>V183*AG183</x:f>
        <x:v>1410.01580075934</x:v>
      </x:c>
      <x:c r="AK183" s="38" t="n">
        <x:f>AB183*2%</x:f>
        <x:v>4545.4499685499995</x:v>
      </x:c>
      <x:c r="AL183" s="38" t="n">
        <x:f>AB183+AH183+AI183+AJ183+AK183</x:f>
        <x:v>263658.8166201093</x:v>
      </x:c>
      <x:c r="AM183" s="38" t="n">
        <x:f>AL183/V183</x:f>
        <x:v>962.9983613391565</x:v>
      </x:c>
      <x:c r="AN183" s="40" t="n">
        <x:f>(W183+X183)/AL183*100</x:f>
        <x:v>75.0753284784723</x:v>
      </x:c>
      <x:c r="AO183" s="28" t="str">
        <x:v>R01-R20; ilgili satırdaki bölgesel fiyat ve maliyet varsayımları</x:v>
      </x:c>
      <x:c r="AP183" s="28" t="str">
        <x:v>Girdi miktarları, alım fiyatı değişimi, fason bedeli ve parti sonucu simüle edilmiştir; işletme kaydı değildir.</x:v>
      </x:c>
    </x:row>
    <x:row r="184" ht="22" customHeight="1">
      <x:c r="A184" t="str">
        <x:v>SUC-0183</x:v>
      </x:c>
      <x:c r="B184" s="36" t="n">
        <x:v>46301</x:v>
      </x:c>
      <x:c r="C184" t="str">
        <x:v>Karadeniz</x:v>
      </x:c>
      <x:c r="D184" t="str">
        <x:v>ERZURUM_CI</x:v>
      </x:c>
      <x:c r="E184" t="str">
        <x:v>Kurum içi</x:v>
      </x:c>
      <x:c r="F184" s="42" t="str">
        <x:v>SENTETİK/SİMÜLE — gerçek parti kaydı değildir</x:v>
      </x:c>
      <x:c r="G184" s="38" t="n">
        <x:v>162.28</x:v>
      </x:c>
      <x:c r="H184" s="38" t="n">
        <x:v>26.632</x:v>
      </x:c>
      <x:c r="I184" s="38" t="n">
        <x:v>9.686</x:v>
      </x:c>
      <x:c r="J184" s="38" t="n">
        <x:v>3.123</x:v>
      </x:c>
      <x:c r="K184" s="38" t="n">
        <x:v>0.02</x:v>
      </x:c>
      <x:c r="L184" s="38" t="n">
        <x:f>SUM(G184:K184)</x:f>
        <x:v>201.741</x:v>
      </x:c>
      <x:c r="M184" s="38" t="n">
        <x:v>252.985</x:v>
      </x:c>
      <x:c r="N184" s="38" t="n">
        <x:v>608.54</x:v>
      </x:c>
      <x:c r="O184" s="38" t="n">
        <x:v>452.68</x:v>
      </x:c>
      <x:c r="P184" s="38" t="n">
        <x:v>400</x:v>
      </x:c>
      <x:c r="Q184" s="38" t="n">
        <x:v>19.88</x:v>
      </x:c>
      <x:c r="R184" s="38" t="n">
        <x:v>43.7475</x:v>
      </x:c>
      <x:c r="S184" s="38" t="n">
        <x:v>92.96</x:v>
      </x:c>
      <x:c r="T184" s="40" t="n">
        <x:v>28.81</x:v>
      </x:c>
      <x:c r="U184" s="40" t="n">
        <x:v>0.85</x:v>
      </x:c>
      <x:c r="V184" s="38" t="n">
        <x:f>L184*(1-T184/100)*(1-U184/100)</x:f>
        <x:v>142.39865284785</x:v>
      </x:c>
      <x:c r="W184" s="38" t="n">
        <x:f>G184*N184</x:f>
        <x:v>98753.8712</x:v>
      </x:c>
      <x:c r="X184" s="38" t="n">
        <x:f>H184*O184</x:f>
        <x:v>12055.77376</x:v>
      </x:c>
      <x:c r="Y184" s="38" t="n">
        <x:f>I184*P184</x:f>
        <x:v>3874.4</x:v>
      </x:c>
      <x:c r="Z184" s="38" t="n">
        <x:f>J184*Q184+K184*P184</x:f>
        <x:v>70.08524</x:v>
      </x:c>
      <x:c r="AA184" s="38" t="n">
        <x:f>M184*R184</x:f>
        <x:v>11067.461287500002</x:v>
      </x:c>
      <x:c r="AB184" s="38" t="n">
        <x:f>SUM(W184:AA184)</x:f>
        <x:v>125821.59148749999</x:v>
      </x:c>
      <x:c r="AC184" s="38" t="n">
        <x:v>9.74</x:v>
      </x:c>
      <x:c r="AD184" s="38" t="n">
        <x:v>174.33</x:v>
      </x:c>
      <x:c r="AE184" s="38" t="n">
        <x:v>75</x:v>
      </x:c>
      <x:c r="AF184" s="38" t="n">
        <x:v>4.8148</x:v>
      </x:c>
      <x:c r="AG184" s="38" t="n">
        <x:v>5.28</x:v>
      </x:c>
      <x:c r="AH184" s="38" t="n">
        <x:f>IF(E184="Fason",L184*S184,0)</x:f>
        <x:v>0</x:v>
      </x:c>
      <x:c r="AI184" s="38" t="n">
        <x:f>IF(E184="Kurum içi",AC184*AD184+AE184*AF184+AB184*12%,0)</x:f>
        <x:v>17157.675178499998</x:v>
      </x:c>
      <x:c r="AJ184" s="38" t="n">
        <x:f>V184*AG184</x:f>
        <x:v>751.864887036648</x:v>
      </x:c>
      <x:c r="AK184" s="38" t="n">
        <x:f>AB184*2%</x:f>
        <x:v>2516.43182975</x:v>
      </x:c>
      <x:c r="AL184" s="38" t="n">
        <x:f>AB184+AH184+AI184+AJ184+AK184</x:f>
        <x:v>146247.56338278664</x:v>
      </x:c>
      <x:c r="AM184" s="38" t="n">
        <x:f>AL184/V184</x:f>
        <x:v>1027.0291218207599</x:v>
      </x:c>
      <x:c r="AN184" s="40" t="n">
        <x:f>(W184+X184)/AL184*100</x:f>
        <x:v>75.76854095679401</x:v>
      </x:c>
      <x:c r="AO184" s="28" t="str">
        <x:v>R01-R20; ilgili satırdaki bölgesel fiyat ve maliyet varsayımları</x:v>
      </x:c>
      <x:c r="AP184" s="28" t="str">
        <x:v>Girdi miktarları, alım fiyatı değişimi, fason bedeli ve parti sonucu simüle edilmiştir; işletme kaydı değildir.</x:v>
      </x:c>
    </x:row>
    <x:row r="185" ht="22" customHeight="1">
      <x:c r="A185" t="str">
        <x:v>SUC-0184</x:v>
      </x:c>
      <x:c r="B185" s="36" t="n">
        <x:v>46305</x:v>
      </x:c>
      <x:c r="C185" t="str">
        <x:v>Güneydoğu Anadolu</x:v>
      </x:c>
      <x:c r="D185" t="str">
        <x:v>ERZURUM_CI</x:v>
      </x:c>
      <x:c r="E185" t="str">
        <x:v>Fason</x:v>
      </x:c>
      <x:c r="F185" s="42" t="str">
        <x:v>SENTETİK/SİMÜLE — gerçek parti kaydı değildir</x:v>
      </x:c>
      <x:c r="G185" s="38" t="n">
        <x:v>291.648</x:v>
      </x:c>
      <x:c r="H185" s="38" t="n">
        <x:v>51.47</x:v>
      </x:c>
      <x:c r="I185" s="38" t="n">
        <x:v>17.29</x:v>
      </x:c>
      <x:c r="J185" s="38" t="n">
        <x:v>6.017</x:v>
      </x:c>
      <x:c r="K185" s="38" t="n">
        <x:v>0.036</x:v>
      </x:c>
      <x:c r="L185" s="38" t="n">
        <x:f>SUM(G185:K185)</x:f>
        <x:v>366.46100000000007</x:v>
      </x:c>
      <x:c r="M185" s="38" t="n">
        <x:v>454.278</x:v>
      </x:c>
      <x:c r="N185" s="38" t="n">
        <x:v>582.43</x:v>
      </x:c>
      <x:c r="O185" s="38" t="n">
        <x:v>479.86</x:v>
      </x:c>
      <x:c r="P185" s="38" t="n">
        <x:v>669.9</x:v>
      </x:c>
      <x:c r="Q185" s="38" t="n">
        <x:v>19.88</x:v>
      </x:c>
      <x:c r="R185" s="38" t="n">
        <x:v>43.7475</x:v>
      </x:c>
      <x:c r="S185" s="38" t="n">
        <x:v>100.7</x:v>
      </x:c>
      <x:c r="T185" s="40" t="n">
        <x:v>26.62</x:v>
      </x:c>
      <x:c r="U185" s="40" t="n">
        <x:v>0.66</x:v>
      </x:c>
      <x:c r="V185" s="38" t="n">
        <x:f>L185*(1-T185/100)*(1-U185/100)</x:f>
        <x:v>267.13428186012004</x:v>
      </x:c>
      <x:c r="W185" s="38" t="n">
        <x:f>G185*N185</x:f>
        <x:v>169864.54464</x:v>
      </x:c>
      <x:c r="X185" s="38" t="n">
        <x:f>H185*O185</x:f>
        <x:v>24698.3942</x:v>
      </x:c>
      <x:c r="Y185" s="38" t="n">
        <x:f>I185*P185</x:f>
        <x:v>11582.571</x:v>
      </x:c>
      <x:c r="Z185" s="38" t="n">
        <x:f>J185*Q185+K185*P185</x:f>
        <x:v>143.73435999999998</x:v>
      </x:c>
      <x:c r="AA185" s="38" t="n">
        <x:f>M185*R185</x:f>
        <x:v>19873.526805</x:v>
      </x:c>
      <x:c r="AB185" s="38" t="n">
        <x:f>SUM(W185:AA185)</x:f>
        <x:v>226162.77100500002</x:v>
      </x:c>
      <x:c r="AC185" s="38" t="n">
        <x:v>19.86</x:v>
      </x:c>
      <x:c r="AD185" s="38" t="n">
        <x:v>174.33</x:v>
      </x:c>
      <x:c r="AE185" s="38" t="n">
        <x:v>150.97</x:v>
      </x:c>
      <x:c r="AF185" s="38" t="n">
        <x:v>4.8148</x:v>
      </x:c>
      <x:c r="AG185" s="38" t="n">
        <x:v>5.82</x:v>
      </x:c>
      <x:c r="AH185" s="38" t="n">
        <x:f>IF(E185="Fason",L185*S185,0)</x:f>
        <x:v>36902.62270000001</x:v>
      </x:c>
      <x:c r="AI185" s="38" t="n">
        <x:f>IF(E185="Kurum içi",AC185*AD185+AE185*AF185+AB185*12%,0)</x:f>
        <x:v>0</x:v>
      </x:c>
      <x:c r="AJ185" s="38" t="n">
        <x:f>V185*AG185</x:f>
        <x:v>1554.7215204258987</x:v>
      </x:c>
      <x:c r="AK185" s="38" t="n">
        <x:f>AB185*2%</x:f>
        <x:v>4523.2554201</x:v>
      </x:c>
      <x:c r="AL185" s="38" t="n">
        <x:f>AB185+AH185+AI185+AJ185+AK185</x:f>
        <x:v>269143.370645526</x:v>
      </x:c>
      <x:c r="AM185" s="38" t="n">
        <x:f>AL185/V185</x:f>
        <x:v>1007.5208946280356</x:v>
      </x:c>
      <x:c r="AN185" s="40" t="n">
        <x:f>(W185+X185)/AL185*100</x:f>
        <x:v>72.28970134889491</x:v>
      </x:c>
      <x:c r="AO185" s="28" t="str">
        <x:v>R01-R20; ilgili satırdaki bölgesel fiyat ve maliyet varsayımları</x:v>
      </x:c>
      <x:c r="AP185" s="28" t="str">
        <x:v>Girdi miktarları, alım fiyatı değişimi, fason bedeli ve parti sonucu simüle edilmiştir; işletme kaydı değildir.</x:v>
      </x:c>
    </x:row>
    <x:row r="186" ht="22" customHeight="1">
      <x:c r="A186" t="str">
        <x:v>SUC-0185</x:v>
      </x:c>
      <x:c r="B186" s="36" t="n">
        <x:v>46299</x:v>
      </x:c>
      <x:c r="C186" t="str">
        <x:v>İç Anadolu</x:v>
      </x:c>
      <x:c r="D186" t="str">
        <x:v>MEB_STANDART</x:v>
      </x:c>
      <x:c r="E186" t="str">
        <x:v>Fason</x:v>
      </x:c>
      <x:c r="F186" s="42" t="str">
        <x:v>SENTETİK/SİMÜLE — gerçek parti kaydı değildir</x:v>
      </x:c>
      <x:c r="G186" s="38" t="n">
        <x:v>249.752</x:v>
      </x:c>
      <x:c r="H186" s="38" t="n">
        <x:v>80.183</x:v>
      </x:c>
      <x:c r="I186" s="38" t="n">
        <x:v>15.665</x:v>
      </x:c>
      <x:c r="J186" s="38" t="n">
        <x:v>8.912</x:v>
      </x:c>
      <x:c r="K186" s="38" t="n">
        <x:v>3.127</x:v>
      </x:c>
      <x:c r="L186" s="38" t="n">
        <x:f>SUM(G186:K186)</x:f>
        <x:v>357.639</x:v>
      </x:c>
      <x:c r="M186" s="38" t="n">
        <x:v>440.138</x:v>
      </x:c>
      <x:c r="N186" s="38" t="n">
        <x:v>603.98</x:v>
      </x:c>
      <x:c r="O186" s="38" t="n">
        <x:v>414.47</x:v>
      </x:c>
      <x:c r="P186" s="38" t="n">
        <x:v>400</x:v>
      </x:c>
      <x:c r="Q186" s="38" t="n">
        <x:v>19.88</x:v>
      </x:c>
      <x:c r="R186" s="38" t="n">
        <x:v>43.7475</x:v>
      </x:c>
      <x:c r="S186" s="38" t="n">
        <x:v>119.13</x:v>
      </x:c>
      <x:c r="T186" s="40" t="n">
        <x:v>30.01</x:v>
      </x:c>
      <x:c r="U186" s="40" t="n">
        <x:v>1.71</x:v>
      </x:c>
      <x:c r="V186" s="38" t="n">
        <x:f>L186*(1-T186/100)*(1-U186/100)</x:f>
        <x:v>246.03120883268997</x:v>
      </x:c>
      <x:c r="W186" s="38" t="n">
        <x:f>G186*N186</x:f>
        <x:v>150845.21296</x:v>
      </x:c>
      <x:c r="X186" s="38" t="n">
        <x:f>H186*O186</x:f>
        <x:v>33233.44801000001</x:v>
      </x:c>
      <x:c r="Y186" s="38" t="n">
        <x:f>I186*P186</x:f>
        <x:v>6266</x:v>
      </x:c>
      <x:c r="Z186" s="38" t="n">
        <x:f>J186*Q186+K186*P186</x:f>
        <x:v>1427.97056</x:v>
      </x:c>
      <x:c r="AA186" s="38" t="n">
        <x:f>M186*R186</x:f>
        <x:v>19254.937155</x:v>
      </x:c>
      <x:c r="AB186" s="38" t="n">
        <x:f>SUM(W186:AA186)</x:f>
        <x:v>211027.568685</x:v>
      </x:c>
      <x:c r="AC186" s="38" t="n">
        <x:v>14.77</x:v>
      </x:c>
      <x:c r="AD186" s="38" t="n">
        <x:v>174.33</x:v>
      </x:c>
      <x:c r="AE186" s="38" t="n">
        <x:v>137.79</x:v>
      </x:c>
      <x:c r="AF186" s="38" t="n">
        <x:v>4.8148</x:v>
      </x:c>
      <x:c r="AG186" s="38" t="n">
        <x:v>5.42</x:v>
      </x:c>
      <x:c r="AH186" s="38" t="n">
        <x:f>IF(E186="Fason",L186*S186,0)</x:f>
        <x:v>42605.53407</x:v>
      </x:c>
      <x:c r="AI186" s="38" t="n">
        <x:f>IF(E186="Kurum içi",AC186*AD186+AE186*AF186+AB186*12%,0)</x:f>
        <x:v>0</x:v>
      </x:c>
      <x:c r="AJ186" s="38" t="n">
        <x:f>V186*AG186</x:f>
        <x:v>1333.4891518731797</x:v>
      </x:c>
      <x:c r="AK186" s="38" t="n">
        <x:f>AB186*2%</x:f>
        <x:v>4220.5513737</x:v>
      </x:c>
      <x:c r="AL186" s="38" t="n">
        <x:f>AB186+AH186+AI186+AJ186+AK186</x:f>
        <x:v>259187.1432805732</x:v>
      </x:c>
      <x:c r="AM186" s="38" t="n">
        <x:f>AL186/V186</x:f>
        <x:v>1053.4726245109405</x:v>
      </x:c>
      <x:c r="AN186" s="40" t="n">
        <x:f>(W186+X186)/AL186*100</x:f>
        <x:v>71.02152469450719</x:v>
      </x:c>
      <x:c r="AO186" s="28" t="str">
        <x:v>R01-R20; ilgili satırdaki bölgesel fiyat ve maliyet varsayımları</x:v>
      </x:c>
      <x:c r="AP186" s="28" t="str">
        <x:v>Girdi miktarları, alım fiyatı değişimi, fason bedeli ve parti sonucu simüle edilmiştir; işletme kaydı değildir.</x:v>
      </x:c>
    </x:row>
    <x:row r="187" ht="22" customHeight="1">
      <x:c r="A187" t="str">
        <x:v>SUC-0186</x:v>
      </x:c>
      <x:c r="B187" s="36" t="n">
        <x:v>46297</x:v>
      </x:c>
      <x:c r="C187" t="str">
        <x:v>Akdeniz</x:v>
      </x:c>
      <x:c r="D187" t="str">
        <x:v>ERZURUM_CI</x:v>
      </x:c>
      <x:c r="E187" t="str">
        <x:v>Kurum içi</x:v>
      </x:c>
      <x:c r="F187" s="42" t="str">
        <x:v>SENTETİK/SİMÜLE — gerçek parti kaydı değildir</x:v>
      </x:c>
      <x:c r="G187" s="38" t="n">
        <x:v>89.664</x:v>
      </x:c>
      <x:c r="H187" s="38" t="n">
        <x:v>16.409</x:v>
      </x:c>
      <x:c r="I187" s="38" t="n">
        <x:v>5.456</x:v>
      </x:c>
      <x:c r="J187" s="38" t="n">
        <x:v>1.7</x:v>
      </x:c>
      <x:c r="K187" s="38" t="n">
        <x:v>0.177</x:v>
      </x:c>
      <x:c r="L187" s="38" t="n">
        <x:f>SUM(G187:K187)</x:f>
        <x:v>113.40600000000002</x:v>
      </x:c>
      <x:c r="M187" s="38" t="n">
        <x:v>138.898</x:v>
      </x:c>
      <x:c r="N187" s="38" t="n">
        <x:v>598.24</x:v>
      </x:c>
      <x:c r="O187" s="38" t="n">
        <x:v>437.39</x:v>
      </x:c>
      <x:c r="P187" s="38" t="n">
        <x:v>400</x:v>
      </x:c>
      <x:c r="Q187" s="38" t="n">
        <x:v>19.88</x:v>
      </x:c>
      <x:c r="R187" s="38" t="n">
        <x:v>43.7475</x:v>
      </x:c>
      <x:c r="S187" s="38" t="n">
        <x:v>98.73</x:v>
      </x:c>
      <x:c r="T187" s="40" t="n">
        <x:v>28.29</x:v>
      </x:c>
      <x:c r="U187" s="40" t="n">
        <x:v>1.69</x:v>
      </x:c>
      <x:c r="V187" s="38" t="n">
        <x:f>L187*(1-T187/100)*(1-U187/100)</x:f>
        <x:v>79.94907642006002</x:v>
      </x:c>
      <x:c r="W187" s="38" t="n">
        <x:f>G187*N187</x:f>
        <x:v>53640.59136</x:v>
      </x:c>
      <x:c r="X187" s="38" t="n">
        <x:f>H187*O187</x:f>
        <x:v>7177.1325099999995</x:v>
      </x:c>
      <x:c r="Y187" s="38" t="n">
        <x:f>I187*P187</x:f>
        <x:v>2182.4</x:v>
      </x:c>
      <x:c r="Z187" s="38" t="n">
        <x:f>J187*Q187+K187*P187</x:f>
        <x:v>104.596</x:v>
      </x:c>
      <x:c r="AA187" s="38" t="n">
        <x:f>M187*R187</x:f>
        <x:v>6076.440255</x:v>
      </x:c>
      <x:c r="AB187" s="38" t="n">
        <x:f>SUM(W187:AA187)</x:f>
        <x:v>69181.160125</x:v>
      </x:c>
      <x:c r="AC187" s="38" t="n">
        <x:v>4.57</x:v>
      </x:c>
      <x:c r="AD187" s="38" t="n">
        <x:v>174.33</x:v>
      </x:c>
      <x:c r="AE187" s="38" t="n">
        <x:v>38.81</x:v>
      </x:c>
      <x:c r="AF187" s="38" t="n">
        <x:v>4.8148</x:v>
      </x:c>
      <x:c r="AG187" s="38" t="n">
        <x:v>5.12</x:v>
      </x:c>
      <x:c r="AH187" s="38" t="n">
        <x:f>IF(E187="Fason",L187*S187,0)</x:f>
        <x:v>0</x:v>
      </x:c>
      <x:c r="AI187" s="38" t="n">
        <x:f>IF(E187="Kurum içi",AC187*AD187+AE187*AF187+AB187*12%,0)</x:f>
        <x:v>9285.289703</x:v>
      </x:c>
      <x:c r="AJ187" s="38" t="n">
        <x:f>V187*AG187</x:f>
        <x:v>409.33927127070734</x:v>
      </x:c>
      <x:c r="AK187" s="38" t="n">
        <x:f>AB187*2%</x:f>
        <x:v>1383.6232025</x:v>
      </x:c>
      <x:c r="AL187" s="38" t="n">
        <x:f>AB187+AH187+AI187+AJ187+AK187</x:f>
        <x:v>80259.41230177072</x:v>
      </x:c>
      <x:c r="AM187" s="38" t="n">
        <x:f>AL187/V187</x:f>
        <x:v>1003.8816693776444</x:v>
      </x:c>
      <x:c r="AN187" s="40" t="n">
        <x:f>(W187+X187)/AL187*100</x:f>
        <x:v>75.77643808470576</x:v>
      </x:c>
      <x:c r="AO187" s="28" t="str">
        <x:v>R01-R20; ilgili satırdaki bölgesel fiyat ve maliyet varsayımları</x:v>
      </x:c>
      <x:c r="AP187" s="28" t="str">
        <x:v>Girdi miktarları, alım fiyatı değişimi, fason bedeli ve parti sonucu simüle edilmiştir; işletme kaydı değildir.</x:v>
      </x:c>
    </x:row>
    <x:row r="188" ht="22" customHeight="1">
      <x:c r="A188" t="str">
        <x:v>SUC-0187</x:v>
      </x:c>
      <x:c r="B188" s="36" t="n">
        <x:v>46277</x:v>
      </x:c>
      <x:c r="C188" t="str">
        <x:v>Karadeniz</x:v>
      </x:c>
      <x:c r="D188" t="str">
        <x:v>ERZURUM_CI</x:v>
      </x:c>
      <x:c r="E188" t="str">
        <x:v>Fason</x:v>
      </x:c>
      <x:c r="F188" s="42" t="str">
        <x:v>SENTETİK/SİMÜLE — gerçek parti kaydı değildir</x:v>
      </x:c>
      <x:c r="G188" s="38" t="n">
        <x:v>257.505</x:v>
      </x:c>
      <x:c r="H188" s="38" t="n">
        <x:v>41.96</x:v>
      </x:c>
      <x:c r="I188" s="38" t="n">
        <x:v>15.89</x:v>
      </x:c>
      <x:c r="J188" s="38" t="n">
        <x:v>5.69</x:v>
      </x:c>
      <x:c r="K188" s="38" t="n">
        <x:v>0.032</x:v>
      </x:c>
      <x:c r="L188" s="38" t="n">
        <x:f>SUM(G188:K188)</x:f>
        <x:v>321.07699999999994</x:v>
      </x:c>
      <x:c r="M188" s="38" t="n">
        <x:v>409.354</x:v>
      </x:c>
      <x:c r="N188" s="38" t="n">
        <x:v>605.32</x:v>
      </x:c>
      <x:c r="O188" s="38" t="n">
        <x:v>482.13</x:v>
      </x:c>
      <x:c r="P188" s="38" t="n">
        <x:v>669.9</x:v>
      </x:c>
      <x:c r="Q188" s="38" t="n">
        <x:v>19.88</x:v>
      </x:c>
      <x:c r="R188" s="38" t="n">
        <x:v>43.7475</x:v>
      </x:c>
      <x:c r="S188" s="38" t="n">
        <x:v>123.6</x:v>
      </x:c>
      <x:c r="T188" s="40" t="n">
        <x:v>22.74</x:v>
      </x:c>
      <x:c r="U188" s="40" t="n">
        <x:v>1.13</x:v>
      </x:c>
      <x:c r="V188" s="38" t="n">
        <x:f>L188*(1-T188/100)*(1-U188/100)</x:f>
        <x:v>245.26096598073997</x:v>
      </x:c>
      <x:c r="W188" s="38" t="n">
        <x:f>G188*N188</x:f>
        <x:v>155872.9266</x:v>
      </x:c>
      <x:c r="X188" s="38" t="n">
        <x:f>H188*O188</x:f>
        <x:v>20230.1748</x:v>
      </x:c>
      <x:c r="Y188" s="38" t="n">
        <x:f>I188*P188</x:f>
        <x:v>10644.711</x:v>
      </x:c>
      <x:c r="Z188" s="38" t="n">
        <x:f>J188*Q188+K188*P188</x:f>
        <x:v>134.554</x:v>
      </x:c>
      <x:c r="AA188" s="38" t="n">
        <x:f>M188*R188</x:f>
        <x:v>17908.214115</x:v>
      </x:c>
      <x:c r="AB188" s="38" t="n">
        <x:f>SUM(W188:AA188)</x:f>
        <x:v>204790.58051500004</x:v>
      </x:c>
      <x:c r="AC188" s="38" t="n">
        <x:v>12.36</x:v>
      </x:c>
      <x:c r="AD188" s="38" t="n">
        <x:v>174.33</x:v>
      </x:c>
      <x:c r="AE188" s="38" t="n">
        <x:v>104.88</x:v>
      </x:c>
      <x:c r="AF188" s="38" t="n">
        <x:v>4.8148</x:v>
      </x:c>
      <x:c r="AG188" s="38" t="n">
        <x:v>5.48</x:v>
      </x:c>
      <x:c r="AH188" s="38" t="n">
        <x:f>IF(E188="Fason",L188*S188,0)</x:f>
        <x:v>39685.11719999999</x:v>
      </x:c>
      <x:c r="AI188" s="38" t="n">
        <x:f>IF(E188="Kurum içi",AC188*AD188+AE188*AF188+AB188*12%,0)</x:f>
        <x:v>0</x:v>
      </x:c>
      <x:c r="AJ188" s="38" t="n">
        <x:f>V188*AG188</x:f>
        <x:v>1344.0300935744551</x:v>
      </x:c>
      <x:c r="AK188" s="38" t="n">
        <x:f>AB188*2%</x:f>
        <x:v>4095.8116103000007</x:v>
      </x:c>
      <x:c r="AL188" s="38" t="n">
        <x:f>AB188+AH188+AI188+AJ188+AK188</x:f>
        <x:v>249915.53941887448</x:v>
      </x:c>
      <x:c r="AM188" s="38" t="n">
        <x:f>AL188/V188</x:f>
        <x:v>1018.9780441397268</x:v>
      </x:c>
      <x:c r="AN188" s="40" t="n">
        <x:f>(W188+X188)/AL188*100</x:f>
        <x:v>70.46504663515137</x:v>
      </x:c>
      <x:c r="AO188" s="28" t="str">
        <x:v>R01-R20; ilgili satırdaki bölgesel fiyat ve maliyet varsayımları</x:v>
      </x:c>
      <x:c r="AP188" s="28" t="str">
        <x:v>Girdi miktarları, alım fiyatı değişimi, fason bedeli ve parti sonucu simüle edilmiştir; işletme kaydı değildir.</x:v>
      </x:c>
    </x:row>
    <x:row r="189" ht="22" customHeight="1">
      <x:c r="A189" t="str">
        <x:v>SUC-0188</x:v>
      </x:c>
      <x:c r="B189" s="36" t="n">
        <x:v>46292</x:v>
      </x:c>
      <x:c r="C189" t="str">
        <x:v>Marmara</x:v>
      </x:c>
      <x:c r="D189" t="str">
        <x:v>MEB_STANDART</x:v>
      </x:c>
      <x:c r="E189" t="str">
        <x:v>Fason</x:v>
      </x:c>
      <x:c r="F189" s="42" t="str">
        <x:v>SENTETİK/SİMÜLE — gerçek parti kaydı değildir</x:v>
      </x:c>
      <x:c r="G189" s="38" t="n">
        <x:v>282.777</x:v>
      </x:c>
      <x:c r="H189" s="38" t="n">
        <x:v>88.176</x:v>
      </x:c>
      <x:c r="I189" s="38" t="n">
        <x:v>19.417</x:v>
      </x:c>
      <x:c r="J189" s="38" t="n">
        <x:v>10.638</x:v>
      </x:c>
      <x:c r="K189" s="38" t="n">
        <x:v>3.581</x:v>
      </x:c>
      <x:c r="L189" s="38" t="n">
        <x:f>SUM(G189:K189)</x:f>
        <x:v>404.589</x:v>
      </x:c>
      <x:c r="M189" s="38" t="n">
        <x:v>535.653</x:v>
      </x:c>
      <x:c r="N189" s="38" t="n">
        <x:v>614.43</x:v>
      </x:c>
      <x:c r="O189" s="38" t="n">
        <x:v>412.02</x:v>
      </x:c>
      <x:c r="P189" s="38" t="n">
        <x:v>400</x:v>
      </x:c>
      <x:c r="Q189" s="38" t="n">
        <x:v>19.88</x:v>
      </x:c>
      <x:c r="R189" s="38" t="n">
        <x:v>43.7475</x:v>
      </x:c>
      <x:c r="S189" s="38" t="n">
        <x:v>111.69</x:v>
      </x:c>
      <x:c r="T189" s="40" t="n">
        <x:v>23.28</x:v>
      </x:c>
      <x:c r="U189" s="40" t="n">
        <x:v>0.69</x:v>
      </x:c>
      <x:c r="V189" s="38" t="n">
        <x:f>L189*(1-T189/100)*(1-U189/100)</x:f>
        <x:v>308.25891610248</x:v>
      </x:c>
      <x:c r="W189" s="38" t="n">
        <x:f>G189*N189</x:f>
        <x:v>173746.67210999998</x:v>
      </x:c>
      <x:c r="X189" s="38" t="n">
        <x:f>H189*O189</x:f>
        <x:v>36330.275519999996</x:v>
      </x:c>
      <x:c r="Y189" s="38" t="n">
        <x:f>I189*P189</x:f>
        <x:v>7766.800000000001</x:v>
      </x:c>
      <x:c r="Z189" s="38" t="n">
        <x:f>J189*Q189+K189*P189</x:f>
        <x:v>1643.88344</x:v>
      </x:c>
      <x:c r="AA189" s="38" t="n">
        <x:f>M189*R189</x:f>
        <x:v>23433.4796175</x:v>
      </x:c>
      <x:c r="AB189" s="38" t="n">
        <x:f>SUM(W189:AA189)</x:f>
        <x:v>242921.11068749998</x:v>
      </x:c>
      <x:c r="AC189" s="38" t="n">
        <x:v>27.26</x:v>
      </x:c>
      <x:c r="AD189" s="38" t="n">
        <x:v>174.33</x:v>
      </x:c>
      <x:c r="AE189" s="38" t="n">
        <x:v>135.29</x:v>
      </x:c>
      <x:c r="AF189" s="38" t="n">
        <x:v>4.8148</x:v>
      </x:c>
      <x:c r="AG189" s="38" t="n">
        <x:v>5.3</x:v>
      </x:c>
      <x:c r="AH189" s="38" t="n">
        <x:f>IF(E189="Fason",L189*S189,0)</x:f>
        <x:v>45188.54541</x:v>
      </x:c>
      <x:c r="AI189" s="38" t="n">
        <x:f>IF(E189="Kurum içi",AC189*AD189+AE189*AF189+AB189*12%,0)</x:f>
        <x:v>0</x:v>
      </x:c>
      <x:c r="AJ189" s="38" t="n">
        <x:f>V189*AG189</x:f>
        <x:v>1633.7722553431438</x:v>
      </x:c>
      <x:c r="AK189" s="38" t="n">
        <x:f>AB189*2%</x:f>
        <x:v>4858.42221375</x:v>
      </x:c>
      <x:c r="AL189" s="38" t="n">
        <x:f>AB189+AH189+AI189+AJ189+AK189</x:f>
        <x:v>294601.8505665932</x:v>
      </x:c>
      <x:c r="AM189" s="38" t="n">
        <x:f>AL189/V189</x:f>
        <x:v>955.6961215962151</x:v>
      </x:c>
      <x:c r="AN189" s="40" t="n">
        <x:f>(W189+X189)/AL189*100</x:f>
        <x:v>71.30876714656387</x:v>
      </x:c>
      <x:c r="AO189" s="28" t="str">
        <x:v>R01-R20; ilgili satırdaki bölgesel fiyat ve maliyet varsayımları</x:v>
      </x:c>
      <x:c r="AP189" s="28" t="str">
        <x:v>Girdi miktarları, alım fiyatı değişimi, fason bedeli ve parti sonucu simüle edilmiştir; işletme kaydı değildir.</x:v>
      </x:c>
    </x:row>
    <x:row r="190" ht="22" customHeight="1">
      <x:c r="A190" t="str">
        <x:v>SUC-0189</x:v>
      </x:c>
      <x:c r="B190" s="36" t="n">
        <x:v>46280</x:v>
      </x:c>
      <x:c r="C190" t="str">
        <x:v>Güneydoğu Anadolu</x:v>
      </x:c>
      <x:c r="D190" t="str">
        <x:v>ERZURUM_CI</x:v>
      </x:c>
      <x:c r="E190" t="str">
        <x:v>Kurum içi</x:v>
      </x:c>
      <x:c r="F190" s="42" t="str">
        <x:v>SENTETİK/SİMÜLE — gerçek parti kaydı değildir</x:v>
      </x:c>
      <x:c r="G190" s="38" t="n">
        <x:v>249.502</x:v>
      </x:c>
      <x:c r="H190" s="38" t="n">
        <x:v>42.114</x:v>
      </x:c>
      <x:c r="I190" s="38" t="n">
        <x:v>15.27</x:v>
      </x:c>
      <x:c r="J190" s="38" t="n">
        <x:v>5.219</x:v>
      </x:c>
      <x:c r="K190" s="38" t="n">
        <x:v>0.031</x:v>
      </x:c>
      <x:c r="L190" s="38" t="n">
        <x:f>SUM(G190:K190)</x:f>
        <x:v>312.13599999999997</x:v>
      </x:c>
      <x:c r="M190" s="38" t="n">
        <x:v>424.829</x:v>
      </x:c>
      <x:c r="N190" s="38" t="n">
        <x:v>586.72</x:v>
      </x:c>
      <x:c r="O190" s="38" t="n">
        <x:v>412.01</x:v>
      </x:c>
      <x:c r="P190" s="38" t="n">
        <x:v>669.9</x:v>
      </x:c>
      <x:c r="Q190" s="38" t="n">
        <x:v>19.88</x:v>
      </x:c>
      <x:c r="R190" s="38" t="n">
        <x:v>43.7475</x:v>
      </x:c>
      <x:c r="S190" s="38" t="n">
        <x:v>83.78</x:v>
      </x:c>
      <x:c r="T190" s="40" t="n">
        <x:v>20.09</x:v>
      </x:c>
      <x:c r="U190" s="40" t="n">
        <x:v>0.56</x:v>
      </x:c>
      <x:c r="V190" s="38" t="n">
        <x:f>L190*(1-T190/100)*(1-U190/100)</x:f>
        <x:v>248.03108148543998</x:v>
      </x:c>
      <x:c r="W190" s="38" t="n">
        <x:f>G190*N190</x:f>
        <x:v>146387.81344</x:v>
      </x:c>
      <x:c r="X190" s="38" t="n">
        <x:f>H190*O190</x:f>
        <x:v>17351.38914</x:v>
      </x:c>
      <x:c r="Y190" s="38" t="n">
        <x:f>I190*P190</x:f>
        <x:v>10229.373</x:v>
      </x:c>
      <x:c r="Z190" s="38" t="n">
        <x:f>J190*Q190+K190*P190</x:f>
        <x:v>124.52062000000001</x:v>
      </x:c>
      <x:c r="AA190" s="38" t="n">
        <x:f>M190*R190</x:f>
        <x:v>18585.206677500002</x:v>
      </x:c>
      <x:c r="AB190" s="38" t="n">
        <x:f>SUM(W190:AA190)</x:f>
        <x:v>192678.30287749998</x:v>
      </x:c>
      <x:c r="AC190" s="38" t="n">
        <x:v>17.56</x:v>
      </x:c>
      <x:c r="AD190" s="38" t="n">
        <x:v>174.33</x:v>
      </x:c>
      <x:c r="AE190" s="38" t="n">
        <x:v>69.49</x:v>
      </x:c>
      <x:c r="AF190" s="38" t="n">
        <x:v>4.8148</x:v>
      </x:c>
      <x:c r="AG190" s="38" t="n">
        <x:v>5.83</x:v>
      </x:c>
      <x:c r="AH190" s="38" t="n">
        <x:f>IF(E190="Fason",L190*S190,0)</x:f>
        <x:v>0</x:v>
      </x:c>
      <x:c r="AI190" s="38" t="n">
        <x:f>IF(E190="Kurum içi",AC190*AD190+AE190*AF190+AB190*12%,0)</x:f>
        <x:v>26517.211597299996</x:v>
      </x:c>
      <x:c r="AJ190" s="38" t="n">
        <x:f>V190*AG190</x:f>
        <x:v>1446.021205060115</x:v>
      </x:c>
      <x:c r="AK190" s="38" t="n">
        <x:f>AB190*2%</x:f>
        <x:v>3853.5660575499996</x:v>
      </x:c>
      <x:c r="AL190" s="38" t="n">
        <x:f>AB190+AH190+AI190+AJ190+AK190</x:f>
        <x:v>224495.1017374101</x:v>
      </x:c>
      <x:c r="AM190" s="38" t="n">
        <x:f>AL190/V190</x:f>
        <x:v>905.1087484396123</x:v>
      </x:c>
      <x:c r="AN190" s="40" t="n">
        <x:f>(W190+X190)/AL190*100</x:f>
        <x:v>72.93664819980093</x:v>
      </x:c>
      <x:c r="AO190" s="28" t="str">
        <x:v>R01-R20; ilgili satırdaki bölgesel fiyat ve maliyet varsayımları</x:v>
      </x:c>
      <x:c r="AP190" s="28" t="str">
        <x:v>Girdi miktarları, alım fiyatı değişimi, fason bedeli ve parti sonucu simüle edilmiştir; işletme kaydı değildir.</x:v>
      </x:c>
    </x:row>
    <x:row r="191" ht="22" customHeight="1">
      <x:c r="A191" t="str">
        <x:v>SUC-0190</x:v>
      </x:c>
      <x:c r="B191" s="36" t="n">
        <x:v>46281</x:v>
      </x:c>
      <x:c r="C191" t="str">
        <x:v>Ege</x:v>
      </x:c>
      <x:c r="D191" t="str">
        <x:v>ERZURUM_CI</x:v>
      </x:c>
      <x:c r="E191" t="str">
        <x:v>Fason</x:v>
      </x:c>
      <x:c r="F191" s="42" t="str">
        <x:v>SENTETİK/SİMÜLE — gerçek parti kaydı değildir</x:v>
      </x:c>
      <x:c r="G191" s="38" t="n">
        <x:v>384.226</x:v>
      </x:c>
      <x:c r="H191" s="38" t="n">
        <x:v>66.681</x:v>
      </x:c>
      <x:c r="I191" s="38" t="n">
        <x:v>23.759</x:v>
      </x:c>
      <x:c r="J191" s="38" t="n">
        <x:v>7.125</x:v>
      </x:c>
      <x:c r="K191" s="38" t="n">
        <x:v>0.048</x:v>
      </x:c>
      <x:c r="L191" s="38" t="n">
        <x:f>SUM(G191:K191)</x:f>
        <x:v>481.839</x:v>
      </x:c>
      <x:c r="M191" s="38" t="n">
        <x:v>655.43</x:v>
      </x:c>
      <x:c r="N191" s="38" t="n">
        <x:v>589.75</x:v>
      </x:c>
      <x:c r="O191" s="38" t="n">
        <x:v>415.09</x:v>
      </x:c>
      <x:c r="P191" s="38" t="n">
        <x:v>550</x:v>
      </x:c>
      <x:c r="Q191" s="38" t="n">
        <x:v>19.88</x:v>
      </x:c>
      <x:c r="R191" s="38" t="n">
        <x:v>43.7475</x:v>
      </x:c>
      <x:c r="S191" s="38" t="n">
        <x:v>70.64</x:v>
      </x:c>
      <x:c r="T191" s="40" t="n">
        <x:v>28.53</x:v>
      </x:c>
      <x:c r="U191" s="40" t="n">
        <x:v>1.03</x:v>
      </x:c>
      <x:c r="V191" s="38" t="n">
        <x:f>L191*(1-T191/100)*(1-U191/100)</x:f>
        <x:v>340.82331886701</x:v>
      </x:c>
      <x:c r="W191" s="38" t="n">
        <x:f>G191*N191</x:f>
        <x:v>226597.2835</x:v>
      </x:c>
      <x:c r="X191" s="38" t="n">
        <x:f>H191*O191</x:f>
        <x:v>27678.616289999998</x:v>
      </x:c>
      <x:c r="Y191" s="38" t="n">
        <x:f>I191*P191</x:f>
        <x:v>13067.45</x:v>
      </x:c>
      <x:c r="Z191" s="38" t="n">
        <x:f>J191*Q191+K191*P191</x:f>
        <x:v>168.045</x:v>
      </x:c>
      <x:c r="AA191" s="38" t="n">
        <x:f>M191*R191</x:f>
        <x:v>28673.423925</x:v>
      </x:c>
      <x:c r="AB191" s="38" t="n">
        <x:f>SUM(W191:AA191)</x:f>
        <x:v>296184.818715</x:v>
      </x:c>
      <x:c r="AC191" s="38" t="n">
        <x:v>17.6</x:v>
      </x:c>
      <x:c r="AD191" s="38" t="n">
        <x:v>174.33</x:v>
      </x:c>
      <x:c r="AE191" s="38" t="n">
        <x:v>112.23</x:v>
      </x:c>
      <x:c r="AF191" s="38" t="n">
        <x:v>4.8148</x:v>
      </x:c>
      <x:c r="AG191" s="38" t="n">
        <x:v>5.25</x:v>
      </x:c>
      <x:c r="AH191" s="38" t="n">
        <x:f>IF(E191="Fason",L191*S191,0)</x:f>
        <x:v>34037.10696</x:v>
      </x:c>
      <x:c r="AI191" s="38" t="n">
        <x:f>IF(E191="Kurum içi",AC191*AD191+AE191*AF191+AB191*12%,0)</x:f>
        <x:v>0</x:v>
      </x:c>
      <x:c r="AJ191" s="38" t="n">
        <x:f>V191*AG191</x:f>
        <x:v>1789.3224240518025</x:v>
      </x:c>
      <x:c r="AK191" s="38" t="n">
        <x:f>AB191*2%</x:f>
        <x:v>5923.696374300001</x:v>
      </x:c>
      <x:c r="AL191" s="38" t="n">
        <x:f>AB191+AH191+AI191+AJ191+AK191</x:f>
        <x:v>337934.9444733518</x:v>
      </x:c>
      <x:c r="AM191" s="38" t="n">
        <x:f>AL191/V191</x:f>
        <x:v>991.5253028951777</x:v>
      </x:c>
      <x:c r="AN191" s="40" t="n">
        <x:f>(W191+X191)/AL191*100</x:f>
        <x:v>75.24403851938762</x:v>
      </x:c>
      <x:c r="AO191" s="28" t="str">
        <x:v>R01-R20; ilgili satırdaki bölgesel fiyat ve maliyet varsayımları</x:v>
      </x:c>
      <x:c r="AP191" s="28" t="str">
        <x:v>Girdi miktarları, alım fiyatı değişimi, fason bedeli ve parti sonucu simüle edilmiştir; işletme kaydı değildir.</x:v>
      </x:c>
    </x:row>
    <x:row r="192" ht="22" customHeight="1">
      <x:c r="A192" t="str">
        <x:v>SUC-0191</x:v>
      </x:c>
      <x:c r="B192" s="36" t="n">
        <x:v>46297</x:v>
      </x:c>
      <x:c r="C192" t="str">
        <x:v>Doğu Anadolu</x:v>
      </x:c>
      <x:c r="D192" t="str">
        <x:v>ERZURUM_CI</x:v>
      </x:c>
      <x:c r="E192" t="str">
        <x:v>Fason</x:v>
      </x:c>
      <x:c r="F192" s="42" t="str">
        <x:v>SENTETİK/SİMÜLE — gerçek parti kaydı değildir</x:v>
      </x:c>
      <x:c r="G192" s="38" t="n">
        <x:v>291.143</x:v>
      </x:c>
      <x:c r="H192" s="38" t="n">
        <x:v>48.515</x:v>
      </x:c>
      <x:c r="I192" s="38" t="n">
        <x:v>16.826</x:v>
      </x:c>
      <x:c r="J192" s="38" t="n">
        <x:v>5.644</x:v>
      </x:c>
      <x:c r="K192" s="38" t="n">
        <x:v>0.499</x:v>
      </x:c>
      <x:c r="L192" s="38" t="n">
        <x:f>SUM(G192:K192)</x:f>
        <x:v>362.627</x:v>
      </x:c>
      <x:c r="M192" s="38" t="n">
        <x:v>445.531</x:v>
      </x:c>
      <x:c r="N192" s="38" t="n">
        <x:v>585.55</x:v>
      </x:c>
      <x:c r="O192" s="38" t="n">
        <x:v>466.45</x:v>
      </x:c>
      <x:c r="P192" s="38" t="n">
        <x:v>400</x:v>
      </x:c>
      <x:c r="Q192" s="38" t="n">
        <x:v>19.88</x:v>
      </x:c>
      <x:c r="R192" s="38" t="n">
        <x:v>43.7475</x:v>
      </x:c>
      <x:c r="S192" s="38" t="n">
        <x:v>77.55</x:v>
      </x:c>
      <x:c r="T192" s="40" t="n">
        <x:v>18.2</x:v>
      </x:c>
      <x:c r="U192" s="40" t="n">
        <x:v>0.75</x:v>
      </x:c>
      <x:c r="V192" s="38" t="n">
        <x:f>L192*(1-T192/100)*(1-U192/100)</x:f>
        <x:v>294.404169355</x:v>
      </x:c>
      <x:c r="W192" s="38" t="n">
        <x:f>G192*N192</x:f>
        <x:v>170478.78364999997</x:v>
      </x:c>
      <x:c r="X192" s="38" t="n">
        <x:f>H192*O192</x:f>
        <x:v>22629.82175</x:v>
      </x:c>
      <x:c r="Y192" s="38" t="n">
        <x:f>I192*P192</x:f>
        <x:v>6730.400000000001</x:v>
      </x:c>
      <x:c r="Z192" s="38" t="n">
        <x:f>J192*Q192+K192*P192</x:f>
        <x:v>311.80272</x:v>
      </x:c>
      <x:c r="AA192" s="38" t="n">
        <x:f>M192*R192</x:f>
        <x:v>19490.8674225</x:v>
      </x:c>
      <x:c r="AB192" s="38" t="n">
        <x:f>SUM(W192:AA192)</x:f>
        <x:v>219641.6755425</x:v>
      </x:c>
      <x:c r="AC192" s="38" t="n">
        <x:v>18.12</x:v>
      </x:c>
      <x:c r="AD192" s="38" t="n">
        <x:v>174.33</x:v>
      </x:c>
      <x:c r="AE192" s="38" t="n">
        <x:v>159.81</x:v>
      </x:c>
      <x:c r="AF192" s="38" t="n">
        <x:v>4.8148</x:v>
      </x:c>
      <x:c r="AG192" s="38" t="n">
        <x:v>5.65</x:v>
      </x:c>
      <x:c r="AH192" s="38" t="n">
        <x:f>IF(E192="Fason",L192*S192,0)</x:f>
        <x:v>28121.72385</x:v>
      </x:c>
      <x:c r="AI192" s="38" t="n">
        <x:f>IF(E192="Kurum içi",AC192*AD192+AE192*AF192+AB192*12%,0)</x:f>
        <x:v>0</x:v>
      </x:c>
      <x:c r="AJ192" s="38" t="n">
        <x:f>V192*AG192</x:f>
        <x:v>1663.3835568557502</x:v>
      </x:c>
      <x:c r="AK192" s="38" t="n">
        <x:f>AB192*2%</x:f>
        <x:v>4392.83351085</x:v>
      </x:c>
      <x:c r="AL192" s="38" t="n">
        <x:f>AB192+AH192+AI192+AJ192+AK192</x:f>
        <x:v>253819.61646020575</x:v>
      </x:c>
      <x:c r="AM192" s="38" t="n">
        <x:f>AL192/V192</x:f>
        <x:v>862.146813397006</x:v>
      </x:c>
      <x:c r="AN192" s="40" t="n">
        <x:f>(W192+X192)/AL192*100</x:f>
        <x:v>76.0810405803587</x:v>
      </x:c>
      <x:c r="AO192" s="28" t="str">
        <x:v>R01-R20; ilgili satırdaki bölgesel fiyat ve maliyet varsayımları</x:v>
      </x:c>
      <x:c r="AP192" s="28" t="str">
        <x:v>Girdi miktarları, alım fiyatı değişimi, fason bedeli ve parti sonucu simüle edilmiştir; işletme kaydı değildir.</x:v>
      </x:c>
    </x:row>
    <x:row r="193" ht="22" customHeight="1">
      <x:c r="A193" t="str">
        <x:v>SUC-0192</x:v>
      </x:c>
      <x:c r="B193" s="36" t="n">
        <x:v>46285</x:v>
      </x:c>
      <x:c r="C193" t="str">
        <x:v>Doğu Anadolu</x:v>
      </x:c>
      <x:c r="D193" t="str">
        <x:v>MEB_STANDART</x:v>
      </x:c>
      <x:c r="E193" t="str">
        <x:v>Kurum içi</x:v>
      </x:c>
      <x:c r="F193" s="42" t="str">
        <x:v>SENTETİK/SİMÜLE — gerçek parti kaydı değildir</x:v>
      </x:c>
      <x:c r="G193" s="38" t="n">
        <x:v>165.313</x:v>
      </x:c>
      <x:c r="H193" s="38" t="n">
        <x:v>53.338</x:v>
      </x:c>
      <x:c r="I193" s="38" t="n">
        <x:v>11.015</x:v>
      </x:c>
      <x:c r="J193" s="38" t="n">
        <x:v>5.599</x:v>
      </x:c>
      <x:c r="K193" s="38" t="n">
        <x:v>2.694</x:v>
      </x:c>
      <x:c r="L193" s="38" t="n">
        <x:f>SUM(G193:K193)</x:f>
        <x:v>237.95899999999997</x:v>
      </x:c>
      <x:c r="M193" s="38" t="n">
        <x:v>295.721</x:v>
      </x:c>
      <x:c r="N193" s="38" t="n">
        <x:v>585.59</x:v>
      </x:c>
      <x:c r="O193" s="38" t="n">
        <x:v>417.35</x:v>
      </x:c>
      <x:c r="P193" s="38" t="n">
        <x:v>400</x:v>
      </x:c>
      <x:c r="Q193" s="38" t="n">
        <x:v>19.88</x:v>
      </x:c>
      <x:c r="R193" s="38" t="n">
        <x:v>43.7475</x:v>
      </x:c>
      <x:c r="S193" s="38" t="n">
        <x:v>82</x:v>
      </x:c>
      <x:c r="T193" s="40" t="n">
        <x:v>18.8</x:v>
      </x:c>
      <x:c r="U193" s="40" t="n">
        <x:v>0.43</x:v>
      </x:c>
      <x:c r="V193" s="38" t="n">
        <x:f>L193*(1-T193/100)*(1-U193/100)</x:f>
        <x:v>192.39185035559998</x:v>
      </x:c>
      <x:c r="W193" s="38" t="n">
        <x:f>G193*N193</x:f>
        <x:v>96805.63967</x:v>
      </x:c>
      <x:c r="X193" s="38" t="n">
        <x:f>H193*O193</x:f>
        <x:v>22260.6143</x:v>
      </x:c>
      <x:c r="Y193" s="38" t="n">
        <x:f>I193*P193</x:f>
        <x:v>4406</x:v>
      </x:c>
      <x:c r="Z193" s="38" t="n">
        <x:f>J193*Q193+K193*P193</x:f>
        <x:v>1188.9081199999998</x:v>
      </x:c>
      <x:c r="AA193" s="38" t="n">
        <x:f>M193*R193</x:f>
        <x:v>12937.0544475</x:v>
      </x:c>
      <x:c r="AB193" s="38" t="n">
        <x:f>SUM(W193:AA193)</x:f>
        <x:v>137598.2165375</x:v>
      </x:c>
      <x:c r="AC193" s="38" t="n">
        <x:v>8.42</x:v>
      </x:c>
      <x:c r="AD193" s="38" t="n">
        <x:v>174.33</x:v>
      </x:c>
      <x:c r="AE193" s="38" t="n">
        <x:v>53.14</x:v>
      </x:c>
      <x:c r="AF193" s="38" t="n">
        <x:v>4.8148</x:v>
      </x:c>
      <x:c r="AG193" s="38" t="n">
        <x:v>5.61</x:v>
      </x:c>
      <x:c r="AH193" s="38" t="n">
        <x:f>IF(E193="Fason",L193*S193,0)</x:f>
        <x:v>0</x:v>
      </x:c>
      <x:c r="AI193" s="38" t="n">
        <x:f>IF(E193="Kurum içi",AC193*AD193+AE193*AF193+AB193*12%,0)</x:f>
        <x:v>18235.503056499998</x:v>
      </x:c>
      <x:c r="AJ193" s="38" t="n">
        <x:f>V193*AG193</x:f>
        <x:v>1079.318280494916</x:v>
      </x:c>
      <x:c r="AK193" s="38" t="n">
        <x:f>AB193*2%</x:f>
        <x:v>2751.96433075</x:v>
      </x:c>
      <x:c r="AL193" s="38" t="n">
        <x:f>AB193+AH193+AI193+AJ193+AK193</x:f>
        <x:v>159665.0022052449</x:v>
      </x:c>
      <x:c r="AM193" s="38" t="n">
        <x:f>AL193/V193</x:f>
        <x:v>829.8948313566002</x:v>
      </x:c>
      <x:c r="AN193" s="40" t="n">
        <x:f>(W193+X193)/AL193*100</x:f>
        <x:v>74.57254396736465</x:v>
      </x:c>
      <x:c r="AO193" s="28" t="str">
        <x:v>R01-R20; ilgili satırdaki bölgesel fiyat ve maliyet varsayımları</x:v>
      </x:c>
      <x:c r="AP193" s="28" t="str">
        <x:v>Girdi miktarları, alım fiyatı değişimi, fason bedeli ve parti sonucu simüle edilmiştir; işletme kaydı değildir.</x:v>
      </x:c>
    </x:row>
    <x:row r="194" ht="22" customHeight="1">
      <x:c r="A194" t="str">
        <x:v>SUC-0193</x:v>
      </x:c>
      <x:c r="B194" s="36" t="n">
        <x:v>46307</x:v>
      </x:c>
      <x:c r="C194" t="str">
        <x:v>İç Anadolu</x:v>
      </x:c>
      <x:c r="D194" t="str">
        <x:v>MEB_STANDART</x:v>
      </x:c>
      <x:c r="E194" t="str">
        <x:v>Kurum içi</x:v>
      </x:c>
      <x:c r="F194" s="42" t="str">
        <x:v>SENTETİK/SİMÜLE — gerçek parti kaydı değildir</x:v>
      </x:c>
      <x:c r="G194" s="38" t="n">
        <x:v>317.421</x:v>
      </x:c>
      <x:c r="H194" s="38" t="n">
        <x:v>97.91</x:v>
      </x:c>
      <x:c r="I194" s="38" t="n">
        <x:v>19.395</x:v>
      </x:c>
      <x:c r="J194" s="38" t="n">
        <x:v>11.56</x:v>
      </x:c>
      <x:c r="K194" s="38" t="n">
        <x:v>4.377</x:v>
      </x:c>
      <x:c r="L194" s="38" t="n">
        <x:f>SUM(G194:K194)</x:f>
        <x:v>450.663</x:v>
      </x:c>
      <x:c r="M194" s="38" t="n">
        <x:v>571.913</x:v>
      </x:c>
      <x:c r="N194" s="38" t="n">
        <x:v>573.73</x:v>
      </x:c>
      <x:c r="O194" s="38" t="n">
        <x:v>474.77</x:v>
      </x:c>
      <x:c r="P194" s="38" t="n">
        <x:v>400</x:v>
      </x:c>
      <x:c r="Q194" s="38" t="n">
        <x:v>19.88</x:v>
      </x:c>
      <x:c r="R194" s="38" t="n">
        <x:v>43.7475</x:v>
      </x:c>
      <x:c r="S194" s="38" t="n">
        <x:v>89.69</x:v>
      </x:c>
      <x:c r="T194" s="40" t="n">
        <x:v>25.64</x:v>
      </x:c>
      <x:c r="U194" s="40" t="n">
        <x:v>1.14</x:v>
      </x:c>
      <x:c r="V194" s="38" t="n">
        <x:f>L194*(1-T194/100)*(1-U194/100)</x:f>
        <x:v>331.2927185224801</x:v>
      </x:c>
      <x:c r="W194" s="38" t="n">
        <x:f>G194*N194</x:f>
        <x:v>182113.95033</x:v>
      </x:c>
      <x:c r="X194" s="38" t="n">
        <x:f>H194*O194</x:f>
        <x:v>46484.7307</x:v>
      </x:c>
      <x:c r="Y194" s="38" t="n">
        <x:f>I194*P194</x:f>
        <x:v>7758</x:v>
      </x:c>
      <x:c r="Z194" s="38" t="n">
        <x:f>J194*Q194+K194*P194</x:f>
        <x:v>1980.6127999999999</x:v>
      </x:c>
      <x:c r="AA194" s="38" t="n">
        <x:f>M194*R194</x:f>
        <x:v>25019.763967500003</x:v>
      </x:c>
      <x:c r="AB194" s="38" t="n">
        <x:f>SUM(W194:AA194)</x:f>
        <x:v>263357.0577975</x:v>
      </x:c>
      <x:c r="AC194" s="38" t="n">
        <x:v>28.79</x:v>
      </x:c>
      <x:c r="AD194" s="38" t="n">
        <x:v>174.33</x:v>
      </x:c>
      <x:c r="AE194" s="38" t="n">
        <x:v>191.28</x:v>
      </x:c>
      <x:c r="AF194" s="38" t="n">
        <x:v>4.8148</x:v>
      </x:c>
      <x:c r="AG194" s="38" t="n">
        <x:v>5.27</x:v>
      </x:c>
      <x:c r="AH194" s="38" t="n">
        <x:f>IF(E194="Fason",L194*S194,0)</x:f>
        <x:v>0</x:v>
      </x:c>
      <x:c r="AI194" s="38" t="n">
        <x:f>IF(E194="Kurum içi",AC194*AD194+AE194*AF194+AB194*12%,0)</x:f>
        <x:v>37542.7825797</x:v>
      </x:c>
      <x:c r="AJ194" s="38" t="n">
        <x:f>V194*AG194</x:f>
        <x:v>1745.91262661347</x:v>
      </x:c>
      <x:c r="AK194" s="38" t="n">
        <x:f>AB194*2%</x:f>
        <x:v>5267.14115595</x:v>
      </x:c>
      <x:c r="AL194" s="38" t="n">
        <x:f>AB194+AH194+AI194+AJ194+AK194</x:f>
        <x:v>307912.89415976347</x:v>
      </x:c>
      <x:c r="AM194" s="38" t="n">
        <x:f>AL194/V194</x:f>
        <x:v>929.4284991623498</x:v>
      </x:c>
      <x:c r="AN194" s="40" t="n">
        <x:f>(W194+X194)/AL194*100</x:f>
        <x:v>74.24134726601915</x:v>
      </x:c>
      <x:c r="AO194" s="28" t="str">
        <x:v>R01-R20; ilgili satırdaki bölgesel fiyat ve maliyet varsayımları</x:v>
      </x:c>
      <x:c r="AP194" s="28" t="str">
        <x:v>Girdi miktarları, alım fiyatı değişimi, fason bedeli ve parti sonucu simüle edilmiştir; işletme kaydı değildir.</x:v>
      </x:c>
    </x:row>
    <x:row r="195" ht="22" customHeight="1">
      <x:c r="A195" t="str">
        <x:v>SUC-0194</x:v>
      </x:c>
      <x:c r="B195" s="36" t="n">
        <x:v>46275</x:v>
      </x:c>
      <x:c r="C195" t="str">
        <x:v>Ege</x:v>
      </x:c>
      <x:c r="D195" t="str">
        <x:v>MEB_STANDART</x:v>
      </x:c>
      <x:c r="E195" t="str">
        <x:v>Fason</x:v>
      </x:c>
      <x:c r="F195" s="42" t="str">
        <x:v>SENTETİK/SİMÜLE — gerçek parti kaydı değildir</x:v>
      </x:c>
      <x:c r="G195" s="38" t="n">
        <x:v>102.192</x:v>
      </x:c>
      <x:c r="H195" s="38" t="n">
        <x:v>32.601</x:v>
      </x:c>
      <x:c r="I195" s="38" t="n">
        <x:v>6.212</x:v>
      </x:c>
      <x:c r="J195" s="38" t="n">
        <x:v>3.787</x:v>
      </x:c>
      <x:c r="K195" s="38" t="n">
        <x:v>1.317</x:v>
      </x:c>
      <x:c r="L195" s="38" t="n">
        <x:f>SUM(G195:K195)</x:f>
        <x:v>146.109</x:v>
      </x:c>
      <x:c r="M195" s="38" t="n">
        <x:v>175.916</x:v>
      </x:c>
      <x:c r="N195" s="38" t="n">
        <x:v>613.26</x:v>
      </x:c>
      <x:c r="O195" s="38" t="n">
        <x:v>467.8</x:v>
      </x:c>
      <x:c r="P195" s="38" t="n">
        <x:v>400</x:v>
      </x:c>
      <x:c r="Q195" s="38" t="n">
        <x:v>19.88</x:v>
      </x:c>
      <x:c r="R195" s="38" t="n">
        <x:v>43.7475</x:v>
      </x:c>
      <x:c r="S195" s="38" t="n">
        <x:v>107.47</x:v>
      </x:c>
      <x:c r="T195" s="40" t="n">
        <x:v>16.23</x:v>
      </x:c>
      <x:c r="U195" s="40" t="n">
        <x:v>1.6</x:v>
      </x:c>
      <x:c r="V195" s="38" t="n">
        <x:f>L195*(1-T195/100)*(1-U195/100)</x:f>
        <x:v>120.4371811512</x:v>
      </x:c>
      <x:c r="W195" s="38" t="n">
        <x:f>G195*N195</x:f>
        <x:v>62670.26592</x:v>
      </x:c>
      <x:c r="X195" s="38" t="n">
        <x:f>H195*O195</x:f>
        <x:v>15250.7478</x:v>
      </x:c>
      <x:c r="Y195" s="38" t="n">
        <x:f>I195*P195</x:f>
        <x:v>2484.7999999999997</x:v>
      </x:c>
      <x:c r="Z195" s="38" t="n">
        <x:f>J195*Q195+K195*P195</x:f>
        <x:v>602.08556</x:v>
      </x:c>
      <x:c r="AA195" s="38" t="n">
        <x:f>M195*R195</x:f>
        <x:v>7695.88521</x:v>
      </x:c>
      <x:c r="AB195" s="38" t="n">
        <x:f>SUM(W195:AA195)</x:f>
        <x:v>88703.78449000002</x:v>
      </x:c>
      <x:c r="AC195" s="38" t="n">
        <x:v>7.17</x:v>
      </x:c>
      <x:c r="AD195" s="38" t="n">
        <x:v>174.33</x:v>
      </x:c>
      <x:c r="AE195" s="38" t="n">
        <x:v>48.97</x:v>
      </x:c>
      <x:c r="AF195" s="38" t="n">
        <x:v>4.8148</x:v>
      </x:c>
      <x:c r="AG195" s="38" t="n">
        <x:v>5.9</x:v>
      </x:c>
      <x:c r="AH195" s="38" t="n">
        <x:f>IF(E195="Fason",L195*S195,0)</x:f>
        <x:v>15702.33423</x:v>
      </x:c>
      <x:c r="AI195" s="38" t="n">
        <x:f>IF(E195="Kurum içi",AC195*AD195+AE195*AF195+AB195*12%,0)</x:f>
        <x:v>0</x:v>
      </x:c>
      <x:c r="AJ195" s="38" t="n">
        <x:f>V195*AG195</x:f>
        <x:v>710.57936879208</x:v>
      </x:c>
      <x:c r="AK195" s="38" t="n">
        <x:f>AB195*2%</x:f>
        <x:v>1774.0756898000004</x:v>
      </x:c>
      <x:c r="AL195" s="38" t="n">
        <x:f>AB195+AH195+AI195+AJ195+AK195</x:f>
        <x:v>106890.7737785921</x:v>
      </x:c>
      <x:c r="AM195" s="38" t="n">
        <x:f>AL195/V195</x:f>
        <x:v>887.5230452662174</x:v>
      </x:c>
      <x:c r="AN195" s="40" t="n">
        <x:f>(W195+X195)/AL195*100</x:f>
        <x:v>72.89779179763585</x:v>
      </x:c>
      <x:c r="AO195" s="28" t="str">
        <x:v>R01-R20; ilgili satırdaki bölgesel fiyat ve maliyet varsayımları</x:v>
      </x:c>
      <x:c r="AP195" s="28" t="str">
        <x:v>Girdi miktarları, alım fiyatı değişimi, fason bedeli ve parti sonucu simüle edilmiştir; işletme kaydı değildir.</x:v>
      </x:c>
    </x:row>
    <x:row r="196" ht="22" customHeight="1">
      <x:c r="A196" t="str">
        <x:v>SUC-0195</x:v>
      </x:c>
      <x:c r="B196" s="36" t="n">
        <x:v>46305</x:v>
      </x:c>
      <x:c r="C196" t="str">
        <x:v>İç Anadolu</x:v>
      </x:c>
      <x:c r="D196" t="str">
        <x:v>ERZURUM_CI</x:v>
      </x:c>
      <x:c r="E196" t="str">
        <x:v>Kurum içi</x:v>
      </x:c>
      <x:c r="F196" s="42" t="str">
        <x:v>SENTETİK/SİMÜLE — gerçek parti kaydı değildir</x:v>
      </x:c>
      <x:c r="G196" s="38" t="n">
        <x:v>171.536</x:v>
      </x:c>
      <x:c r="H196" s="38" t="n">
        <x:v>30.479</x:v>
      </x:c>
      <x:c r="I196" s="38" t="n">
        <x:v>9.54</x:v>
      </x:c>
      <x:c r="J196" s="38" t="n">
        <x:v>3.493</x:v>
      </x:c>
      <x:c r="K196" s="38" t="n">
        <x:v>0.518</x:v>
      </x:c>
      <x:c r="L196" s="38" t="n">
        <x:f>SUM(G196:K196)</x:f>
        <x:v>215.56599999999997</x:v>
      </x:c>
      <x:c r="M196" s="38" t="n">
        <x:v>262.359</x:v>
      </x:c>
      <x:c r="N196" s="38" t="n">
        <x:v>596.5</x:v>
      </x:c>
      <x:c r="O196" s="38" t="n">
        <x:v>475.48</x:v>
      </x:c>
      <x:c r="P196" s="38" t="n">
        <x:v>550</x:v>
      </x:c>
      <x:c r="Q196" s="38" t="n">
        <x:v>19.88</x:v>
      </x:c>
      <x:c r="R196" s="38" t="n">
        <x:v>43.7475</x:v>
      </x:c>
      <x:c r="S196" s="38" t="n">
        <x:v>100.03</x:v>
      </x:c>
      <x:c r="T196" s="40" t="n">
        <x:v>26.55</x:v>
      </x:c>
      <x:c r="U196" s="40" t="n">
        <x:v>1.5</x:v>
      </x:c>
      <x:c r="V196" s="38" t="n">
        <x:f>L196*(1-T196/100)*(1-U196/100)</x:f>
        <x:v>155.95822859499995</x:v>
      </x:c>
      <x:c r="W196" s="38" t="n">
        <x:f>G196*N196</x:f>
        <x:v>102321.224</x:v>
      </x:c>
      <x:c r="X196" s="38" t="n">
        <x:f>H196*O196</x:f>
        <x:v>14492.15492</x:v>
      </x:c>
      <x:c r="Y196" s="38" t="n">
        <x:f>I196*P196</x:f>
        <x:v>5246.999999999999</x:v>
      </x:c>
      <x:c r="Z196" s="38" t="n">
        <x:f>J196*Q196+K196*P196</x:f>
        <x:v>354.34084</x:v>
      </x:c>
      <x:c r="AA196" s="38" t="n">
        <x:f>M196*R196</x:f>
        <x:v>11477.5503525</x:v>
      </x:c>
      <x:c r="AB196" s="38" t="n">
        <x:f>SUM(W196:AA196)</x:f>
        <x:v>133892.2701125</x:v>
      </x:c>
      <x:c r="AC196" s="38" t="n">
        <x:v>14.44</x:v>
      </x:c>
      <x:c r="AD196" s="38" t="n">
        <x:v>174.33</x:v>
      </x:c>
      <x:c r="AE196" s="38" t="n">
        <x:v>67.59</x:v>
      </x:c>
      <x:c r="AF196" s="38" t="n">
        <x:v>4.8148</x:v>
      </x:c>
      <x:c r="AG196" s="38" t="n">
        <x:v>5.31</x:v>
      </x:c>
      <x:c r="AH196" s="38" t="n">
        <x:f>IF(E196="Fason",L196*S196,0)</x:f>
        <x:v>0</x:v>
      </x:c>
      <x:c r="AI196" s="38" t="n">
        <x:f>IF(E196="Kurum içi",AC196*AD196+AE196*AF196+AB196*12%,0)</x:f>
        <x:v>18909.8299455</x:v>
      </x:c>
      <x:c r="AJ196" s="38" t="n">
        <x:f>V196*AG196</x:f>
        <x:v>828.1381938394496</x:v>
      </x:c>
      <x:c r="AK196" s="38" t="n">
        <x:f>AB196*2%</x:f>
        <x:v>2677.84540225</x:v>
      </x:c>
      <x:c r="AL196" s="38" t="n">
        <x:f>AB196+AH196+AI196+AJ196+AK196</x:f>
        <x:v>156308.08365408948</x:v>
      </x:c>
      <x:c r="AM196" s="38" t="n">
        <x:f>AL196/V196</x:f>
        <x:v>1002.2432613029868</x:v>
      </x:c>
      <x:c r="AN196" s="40" t="n">
        <x:f>(W196+X196)/AL196*100</x:f>
        <x:v>74.73278168933895</x:v>
      </x:c>
      <x:c r="AO196" s="28" t="str">
        <x:v>R01-R20; ilgili satırdaki bölgesel fiyat ve maliyet varsayımları</x:v>
      </x:c>
      <x:c r="AP196" s="28" t="str">
        <x:v>Girdi miktarları, alım fiyatı değişimi, fason bedeli ve parti sonucu simüle edilmiştir; işletme kaydı değildir.</x:v>
      </x:c>
    </x:row>
    <x:row r="197" ht="22" customHeight="1">
      <x:c r="A197" t="str">
        <x:v>SUC-0196</x:v>
      </x:c>
      <x:c r="B197" s="36" t="n">
        <x:v>46268</x:v>
      </x:c>
      <x:c r="C197" t="str">
        <x:v>Doğu Anadolu</x:v>
      </x:c>
      <x:c r="D197" t="str">
        <x:v>ERZURUM_CI</x:v>
      </x:c>
      <x:c r="E197" t="str">
        <x:v>Kurum içi</x:v>
      </x:c>
      <x:c r="F197" s="42" t="str">
        <x:v>SENTETİK/SİMÜLE — gerçek parti kaydı değildir</x:v>
      </x:c>
      <x:c r="G197" s="38" t="n">
        <x:v>166.115</x:v>
      </x:c>
      <x:c r="H197" s="38" t="n">
        <x:v>27.583</x:v>
      </x:c>
      <x:c r="I197" s="38" t="n">
        <x:v>10.037</x:v>
      </x:c>
      <x:c r="J197" s="38" t="n">
        <x:v>3.496</x:v>
      </x:c>
      <x:c r="K197" s="38" t="n">
        <x:v>0.483</x:v>
      </x:c>
      <x:c r="L197" s="38" t="n">
        <x:f>SUM(G197:K197)</x:f>
        <x:v>207.71400000000003</x:v>
      </x:c>
      <x:c r="M197" s="38" t="n">
        <x:v>257.9</x:v>
      </x:c>
      <x:c r="N197" s="38" t="n">
        <x:v>574.91</x:v>
      </x:c>
      <x:c r="O197" s="38" t="n">
        <x:v>425.91</x:v>
      </x:c>
      <x:c r="P197" s="38" t="n">
        <x:v>550</x:v>
      </x:c>
      <x:c r="Q197" s="38" t="n">
        <x:v>19.88</x:v>
      </x:c>
      <x:c r="R197" s="38" t="n">
        <x:v>43.7475</x:v>
      </x:c>
      <x:c r="S197" s="38" t="n">
        <x:v>95.79</x:v>
      </x:c>
      <x:c r="T197" s="40" t="n">
        <x:v>17</x:v>
      </x:c>
      <x:c r="U197" s="40" t="n">
        <x:v>0.47</x:v>
      </x:c>
      <x:c r="V197" s="38" t="n">
        <x:f>L197*(1-T197/100)*(1-U197/100)</x:f>
        <x:v>171.592327686</x:v>
      </x:c>
      <x:c r="W197" s="38" t="n">
        <x:f>G197*N197</x:f>
        <x:v>95501.17465</x:v>
      </x:c>
      <x:c r="X197" s="38" t="n">
        <x:f>H197*O197</x:f>
        <x:v>11747.87553</x:v>
      </x:c>
      <x:c r="Y197" s="38" t="n">
        <x:f>I197*P197</x:f>
        <x:v>5520.35</x:v>
      </x:c>
      <x:c r="Z197" s="38" t="n">
        <x:f>J197*Q197+K197*P197</x:f>
        <x:v>335.15047999999996</x:v>
      </x:c>
      <x:c r="AA197" s="38" t="n">
        <x:f>M197*R197</x:f>
        <x:v>11282.480249999999</x:v>
      </x:c>
      <x:c r="AB197" s="38" t="n">
        <x:f>SUM(W197:AA197)</x:f>
        <x:v>124387.03091</x:v>
      </x:c>
      <x:c r="AC197" s="38" t="n">
        <x:v>13.07</x:v>
      </x:c>
      <x:c r="AD197" s="38" t="n">
        <x:v>174.33</x:v>
      </x:c>
      <x:c r="AE197" s="38" t="n">
        <x:v>79.3</x:v>
      </x:c>
      <x:c r="AF197" s="38" t="n">
        <x:v>4.8148</x:v>
      </x:c>
      <x:c r="AG197" s="38" t="n">
        <x:v>5.65</x:v>
      </x:c>
      <x:c r="AH197" s="38" t="n">
        <x:f>IF(E197="Fason",L197*S197,0)</x:f>
        <x:v>0</x:v>
      </x:c>
      <x:c r="AI197" s="38" t="n">
        <x:f>IF(E197="Kurum içi",AC197*AD197+AE197*AF197+AB197*12%,0)</x:f>
        <x:v>17586.7504492</x:v>
      </x:c>
      <x:c r="AJ197" s="38" t="n">
        <x:f>V197*AG197</x:f>
        <x:v>969.4966514259</x:v>
      </x:c>
      <x:c r="AK197" s="38" t="n">
        <x:f>AB197*2%</x:f>
        <x:v>2487.7406182</x:v>
      </x:c>
      <x:c r="AL197" s="38" t="n">
        <x:f>AB197+AH197+AI197+AJ197+AK197</x:f>
        <x:v>145431.01862882593</x:v>
      </x:c>
      <x:c r="AM197" s="38" t="n">
        <x:f>AL197/V197</x:f>
        <x:v>847.5380023689221</x:v>
      </x:c>
      <x:c r="AN197" s="40" t="n">
        <x:f>(W197+X197)/AL197*100</x:f>
        <x:v>73.74565013102516</x:v>
      </x:c>
      <x:c r="AO197" s="28" t="str">
        <x:v>R01-R20; ilgili satırdaki bölgesel fiyat ve maliyet varsayımları</x:v>
      </x:c>
      <x:c r="AP197" s="28" t="str">
        <x:v>Girdi miktarları, alım fiyatı değişimi, fason bedeli ve parti sonucu simüle edilmiştir; işletme kaydı değildir.</x:v>
      </x:c>
    </x:row>
    <x:row r="198" ht="22" customHeight="1">
      <x:c r="A198" t="str">
        <x:v>SUC-0197</x:v>
      </x:c>
      <x:c r="B198" s="36" t="n">
        <x:v>46310</x:v>
      </x:c>
      <x:c r="C198" t="str">
        <x:v>Güneydoğu Anadolu</x:v>
      </x:c>
      <x:c r="D198" t="str">
        <x:v>MEB_STANDART</x:v>
      </x:c>
      <x:c r="E198" t="str">
        <x:v>Kurum içi</x:v>
      </x:c>
      <x:c r="F198" s="42" t="str">
        <x:v>SENTETİK/SİMÜLE — gerçek parti kaydı değildir</x:v>
      </x:c>
      <x:c r="G198" s="38" t="n">
        <x:v>263.497</x:v>
      </x:c>
      <x:c r="H198" s="38" t="n">
        <x:v>83.342</x:v>
      </x:c>
      <x:c r="I198" s="38" t="n">
        <x:v>16.422</x:v>
      </x:c>
      <x:c r="J198" s="38" t="n">
        <x:v>9.56</x:v>
      </x:c>
      <x:c r="K198" s="38" t="n">
        <x:v>3.307</x:v>
      </x:c>
      <x:c r="L198" s="38" t="n">
        <x:f>SUM(G198:K198)</x:f>
        <x:v>376.12800000000004</x:v>
      </x:c>
      <x:c r="M198" s="38" t="n">
        <x:v>461.319</x:v>
      </x:c>
      <x:c r="N198" s="38" t="n">
        <x:v>577.01</x:v>
      </x:c>
      <x:c r="O198" s="38" t="n">
        <x:v>454.22</x:v>
      </x:c>
      <x:c r="P198" s="38" t="n">
        <x:v>550</x:v>
      </x:c>
      <x:c r="Q198" s="38" t="n">
        <x:v>19.88</x:v>
      </x:c>
      <x:c r="R198" s="38" t="n">
        <x:v>43.7475</x:v>
      </x:c>
      <x:c r="S198" s="38" t="n">
        <x:v>107.56</x:v>
      </x:c>
      <x:c r="T198" s="40" t="n">
        <x:v>20.09</x:v>
      </x:c>
      <x:c r="U198" s="40" t="n">
        <x:v>1.57</x:v>
      </x:c>
      <x:c r="V198" s="38" t="n">
        <x:f>L198*(1-T198/100)*(1-U198/100)</x:f>
        <x:v>295.84503180864004</x:v>
      </x:c>
      <x:c r="W198" s="38" t="n">
        <x:f>G198*N198</x:f>
        <x:v>152040.40397</x:v>
      </x:c>
      <x:c r="X198" s="38" t="n">
        <x:f>H198*O198</x:f>
        <x:v>37855.603240000004</x:v>
      </x:c>
      <x:c r="Y198" s="38" t="n">
        <x:f>I198*P198</x:f>
        <x:v>9032.1</x:v>
      </x:c>
      <x:c r="Z198" s="38" t="n">
        <x:f>J198*Q198+K198*P198</x:f>
        <x:v>2008.9027999999998</x:v>
      </x:c>
      <x:c r="AA198" s="38" t="n">
        <x:f>M198*R198</x:f>
        <x:v>20181.552952500002</x:v>
      </x:c>
      <x:c r="AB198" s="38" t="n">
        <x:f>SUM(W198:AA198)</x:f>
        <x:v>221118.56296250003</x:v>
      </x:c>
      <x:c r="AC198" s="38" t="n">
        <x:v>19.14</x:v>
      </x:c>
      <x:c r="AD198" s="38" t="n">
        <x:v>174.33</x:v>
      </x:c>
      <x:c r="AE198" s="38" t="n">
        <x:v>83.29</x:v>
      </x:c>
      <x:c r="AF198" s="38" t="n">
        <x:v>4.8148</x:v>
      </x:c>
      <x:c r="AG198" s="38" t="n">
        <x:v>5.54</x:v>
      </x:c>
      <x:c r="AH198" s="38" t="n">
        <x:f>IF(E198="Fason",L198*S198,0)</x:f>
        <x:v>0</x:v>
      </x:c>
      <x:c r="AI198" s="38" t="n">
        <x:f>IF(E198="Kurum içi",AC198*AD198+AE198*AF198+AB198*12%,0)</x:f>
        <x:v>30271.928447500002</x:v>
      </x:c>
      <x:c r="AJ198" s="38" t="n">
        <x:f>V198*AG198</x:f>
        <x:v>1638.981476219866</x:v>
      </x:c>
      <x:c r="AK198" s="38" t="n">
        <x:f>AB198*2%</x:f>
        <x:v>4422.371259250001</x:v>
      </x:c>
      <x:c r="AL198" s="38" t="n">
        <x:f>AB198+AH198+AI198+AJ198+AK198</x:f>
        <x:v>257451.8441454699</x:v>
      </x:c>
      <x:c r="AM198" s="38" t="n">
        <x:f>AL198/V198</x:f>
        <x:v>870.2253425435117</x:v>
      </x:c>
      <x:c r="AN198" s="40" t="n">
        <x:f>(W198+X198)/AL198*100</x:f>
        <x:v>73.75981626400846</x:v>
      </x:c>
      <x:c r="AO198" s="28" t="str">
        <x:v>R01-R20; ilgili satırdaki bölgesel fiyat ve maliyet varsayımları</x:v>
      </x:c>
      <x:c r="AP198" s="28" t="str">
        <x:v>Girdi miktarları, alım fiyatı değişimi, fason bedeli ve parti sonucu simüle edilmiştir; işletme kaydı değildir.</x:v>
      </x:c>
    </x:row>
    <x:row r="199" ht="22" customHeight="1">
      <x:c r="A199" t="str">
        <x:v>SUC-0198</x:v>
      </x:c>
      <x:c r="B199" s="36" t="n">
        <x:v>46310</x:v>
      </x:c>
      <x:c r="C199" t="str">
        <x:v>Ege</x:v>
      </x:c>
      <x:c r="D199" t="str">
        <x:v>ERZURUM_CI</x:v>
      </x:c>
      <x:c r="E199" t="str">
        <x:v>Kurum içi</x:v>
      </x:c>
      <x:c r="F199" s="42" t="str">
        <x:v>SENTETİK/SİMÜLE — gerçek parti kaydı değildir</x:v>
      </x:c>
      <x:c r="G199" s="38" t="n">
        <x:v>308.974</x:v>
      </x:c>
      <x:c r="H199" s="38" t="n">
        <x:v>55.635</x:v>
      </x:c>
      <x:c r="I199" s="38" t="n">
        <x:v>18.572</x:v>
      </x:c>
      <x:c r="J199" s="38" t="n">
        <x:v>5.865</x:v>
      </x:c>
      <x:c r="K199" s="38" t="n">
        <x:v>0.856</x:v>
      </x:c>
      <x:c r="L199" s="38" t="n">
        <x:f>SUM(G199:K199)</x:f>
        <x:v>389.902</x:v>
      </x:c>
      <x:c r="M199" s="38" t="n">
        <x:v>488.847</x:v>
      </x:c>
      <x:c r="N199" s="38" t="n">
        <x:v>613.46</x:v>
      </x:c>
      <x:c r="O199" s="38" t="n">
        <x:v>476.59</x:v>
      </x:c>
      <x:c r="P199" s="38" t="n">
        <x:v>669.9</x:v>
      </x:c>
      <x:c r="Q199" s="38" t="n">
        <x:v>19.88</x:v>
      </x:c>
      <x:c r="R199" s="38" t="n">
        <x:v>43.7475</x:v>
      </x:c>
      <x:c r="S199" s="38" t="n">
        <x:v>73.29</x:v>
      </x:c>
      <x:c r="T199" s="40" t="n">
        <x:v>17.65</x:v>
      </x:c>
      <x:c r="U199" s="40" t="n">
        <x:v>1.78</x:v>
      </x:c>
      <x:c r="V199" s="38" t="n">
        <x:f>L199*(1-T199/100)*(1-U199/100)</x:f>
        <x:v>315.36899651339996</x:v>
      </x:c>
      <x:c r="W199" s="38" t="n">
        <x:f>G199*N199</x:f>
        <x:v>189543.19004000002</x:v>
      </x:c>
      <x:c r="X199" s="38" t="n">
        <x:f>H199*O199</x:f>
        <x:v>26515.084649999997</x:v>
      </x:c>
      <x:c r="Y199" s="38" t="n">
        <x:f>I199*P199</x:f>
        <x:v>12441.3828</x:v>
      </x:c>
      <x:c r="Z199" s="38" t="n">
        <x:f>J199*Q199+K199*P199</x:f>
        <x:v>690.0305999999999</x:v>
      </x:c>
      <x:c r="AA199" s="38" t="n">
        <x:f>M199*R199</x:f>
        <x:v>21385.8341325</x:v>
      </x:c>
      <x:c r="AB199" s="38" t="n">
        <x:f>SUM(W199:AA199)</x:f>
        <x:v>250575.5222225</x:v>
      </x:c>
      <x:c r="AC199" s="38" t="n">
        <x:v>15.08</x:v>
      </x:c>
      <x:c r="AD199" s="38" t="n">
        <x:v>174.33</x:v>
      </x:c>
      <x:c r="AE199" s="38" t="n">
        <x:v>169.5</x:v>
      </x:c>
      <x:c r="AF199" s="38" t="n">
        <x:v>4.8148</x:v>
      </x:c>
      <x:c r="AG199" s="38" t="n">
        <x:v>5.49</x:v>
      </x:c>
      <x:c r="AH199" s="38" t="n">
        <x:f>IF(E199="Fason",L199*S199,0)</x:f>
        <x:v>0</x:v>
      </x:c>
      <x:c r="AI199" s="38" t="n">
        <x:f>IF(E199="Kurum içi",AC199*AD199+AE199*AF199+AB199*12%,0)</x:f>
        <x:v>33514.0676667</x:v>
      </x:c>
      <x:c r="AJ199" s="38" t="n">
        <x:f>V199*AG199</x:f>
        <x:v>1731.3757908585658</x:v>
      </x:c>
      <x:c r="AK199" s="38" t="n">
        <x:f>AB199*2%</x:f>
        <x:v>5011.51044445</x:v>
      </x:c>
      <x:c r="AL199" s="38" t="n">
        <x:f>AB199+AH199+AI199+AJ199+AK199</x:f>
        <x:v>290832.4761245086</x:v>
      </x:c>
      <x:c r="AM199" s="38" t="n">
        <x:f>AL199/V199</x:f>
        <x:v>922.1974237792623</x:v>
      </x:c>
      <x:c r="AN199" s="40" t="n">
        <x:f>(W199+X199)/AL199*100</x:f>
        <x:v>74.2895970797646</x:v>
      </x:c>
      <x:c r="AO199" s="28" t="str">
        <x:v>R01-R20; ilgili satırdaki bölgesel fiyat ve maliyet varsayımları</x:v>
      </x:c>
      <x:c r="AP199" s="28" t="str">
        <x:v>Girdi miktarları, alım fiyatı değişimi, fason bedeli ve parti sonucu simüle edilmiştir; işletme kaydı değildir.</x:v>
      </x:c>
    </x:row>
    <x:row r="200" ht="22" customHeight="1">
      <x:c r="A200" t="str">
        <x:v>SUC-0199</x:v>
      </x:c>
      <x:c r="B200" s="36" t="n">
        <x:v>46287</x:v>
      </x:c>
      <x:c r="C200" t="str">
        <x:v>Akdeniz</x:v>
      </x:c>
      <x:c r="D200" t="str">
        <x:v>MEB_STANDART</x:v>
      </x:c>
      <x:c r="E200" t="str">
        <x:v>Kurum içi</x:v>
      </x:c>
      <x:c r="F200" s="42" t="str">
        <x:v>SENTETİK/SİMÜLE — gerçek parti kaydı değildir</x:v>
      </x:c>
      <x:c r="G200" s="38" t="n">
        <x:v>127.246</x:v>
      </x:c>
      <x:c r="H200" s="38" t="n">
        <x:v>41.462</x:v>
      </x:c>
      <x:c r="I200" s="38" t="n">
        <x:v>7.835</x:v>
      </x:c>
      <x:c r="J200" s="38" t="n">
        <x:v>4.305</x:v>
      </x:c>
      <x:c r="K200" s="38" t="n">
        <x:v>1.583</x:v>
      </x:c>
      <x:c r="L200" s="38" t="n">
        <x:f>SUM(G200:K200)</x:f>
        <x:v>182.431</x:v>
      </x:c>
      <x:c r="M200" s="38" t="n">
        <x:v>227.373</x:v>
      </x:c>
      <x:c r="N200" s="38" t="n">
        <x:v>588.59</x:v>
      </x:c>
      <x:c r="O200" s="38" t="n">
        <x:v>458.06</x:v>
      </x:c>
      <x:c r="P200" s="38" t="n">
        <x:v>400</x:v>
      </x:c>
      <x:c r="Q200" s="38" t="n">
        <x:v>19.88</x:v>
      </x:c>
      <x:c r="R200" s="38" t="n">
        <x:v>43.7475</x:v>
      </x:c>
      <x:c r="S200" s="38" t="n">
        <x:v>110.79</x:v>
      </x:c>
      <x:c r="T200" s="40" t="n">
        <x:v>24.66</x:v>
      </x:c>
      <x:c r="U200" s="40" t="n">
        <x:v>0.63</x:v>
      </x:c>
      <x:c r="V200" s="38" t="n">
        <x:f>L200*(1-T200/100)*(1-U200/100)</x:f>
        <x:v>136.57762125298</x:v>
      </x:c>
      <x:c r="W200" s="38" t="n">
        <x:f>G200*N200</x:f>
        <x:v>74895.72314</x:v>
      </x:c>
      <x:c r="X200" s="38" t="n">
        <x:f>H200*O200</x:f>
        <x:v>18992.083720000002</x:v>
      </x:c>
      <x:c r="Y200" s="38" t="n">
        <x:f>I200*P200</x:f>
        <x:v>3134</x:v>
      </x:c>
      <x:c r="Z200" s="38" t="n">
        <x:f>J200*Q200+K200*P200</x:f>
        <x:v>718.7833999999999</x:v>
      </x:c>
      <x:c r="AA200" s="38" t="n">
        <x:f>M200*R200</x:f>
        <x:v>9947.0003175</x:v>
      </x:c>
      <x:c r="AB200" s="38" t="n">
        <x:f>SUM(W200:AA200)</x:f>
        <x:v>107687.59057750001</x:v>
      </x:c>
      <x:c r="AC200" s="38" t="n">
        <x:v>11.49</x:v>
      </x:c>
      <x:c r="AD200" s="38" t="n">
        <x:v>174.33</x:v>
      </x:c>
      <x:c r="AE200" s="38" t="n">
        <x:v>56.59</x:v>
      </x:c>
      <x:c r="AF200" s="38" t="n">
        <x:v>4.8148</x:v>
      </x:c>
      <x:c r="AG200" s="38" t="n">
        <x:v>5.62</x:v>
      </x:c>
      <x:c r="AH200" s="38" t="n">
        <x:f>IF(E200="Fason",L200*S200,0)</x:f>
        <x:v>0</x:v>
      </x:c>
      <x:c r="AI200" s="38" t="n">
        <x:f>IF(E200="Kurum içi",AC200*AD200+AE200*AF200+AB200*12%,0)</x:f>
        <x:v>15198.032101300003</x:v>
      </x:c>
      <x:c r="AJ200" s="38" t="n">
        <x:f>V200*AG200</x:f>
        <x:v>767.5662314417476</x:v>
      </x:c>
      <x:c r="AK200" s="38" t="n">
        <x:f>AB200*2%</x:f>
        <x:v>2153.75181155</x:v>
      </x:c>
      <x:c r="AL200" s="38" t="n">
        <x:f>AB200+AH200+AI200+AJ200+AK200</x:f>
        <x:v>125806.94072179176</x:v>
      </x:c>
      <x:c r="AM200" s="38" t="n">
        <x:f>AL200/V200</x:f>
        <x:v>921.1387602714362</x:v>
      </x:c>
      <x:c r="AN200" s="40" t="n">
        <x:f>(W200+X200)/AL200*100</x:f>
        <x:v>74.62847941563304</x:v>
      </x:c>
      <x:c r="AO200" s="28" t="str">
        <x:v>R01-R20; ilgili satırdaki bölgesel fiyat ve maliyet varsayımları</x:v>
      </x:c>
      <x:c r="AP200" s="28" t="str">
        <x:v>Girdi miktarları, alım fiyatı değişimi, fason bedeli ve parti sonucu simüle edilmiştir; işletme kaydı değildir.</x:v>
      </x:c>
    </x:row>
    <x:row r="201" ht="22" customHeight="1">
      <x:c r="A201" t="str">
        <x:v>SUC-0200</x:v>
      </x:c>
      <x:c r="B201" s="36" t="n">
        <x:v>46317</x:v>
      </x:c>
      <x:c r="C201" t="str">
        <x:v>Doğu Anadolu</x:v>
      </x:c>
      <x:c r="D201" t="str">
        <x:v>MEB_STANDART</x:v>
      </x:c>
      <x:c r="E201" t="str">
        <x:v>Kurum içi</x:v>
      </x:c>
      <x:c r="F201" s="42" t="str">
        <x:v>SENTETİK/SİMÜLE — gerçek parti kaydı değildir</x:v>
      </x:c>
      <x:c r="G201" s="38" t="n">
        <x:v>96.205</x:v>
      </x:c>
      <x:c r="H201" s="38" t="n">
        <x:v>29.805</x:v>
      </x:c>
      <x:c r="I201" s="38" t="n">
        <x:v>6.166</x:v>
      </x:c>
      <x:c r="J201" s="38" t="n">
        <x:v>3.323</x:v>
      </x:c>
      <x:c r="K201" s="38" t="n">
        <x:v>1.39</x:v>
      </x:c>
      <x:c r="L201" s="38" t="n">
        <x:f>SUM(G201:K201)</x:f>
        <x:v>136.88899999999998</x:v>
      </x:c>
      <x:c r="M201" s="38" t="n">
        <x:v>157.909</x:v>
      </x:c>
      <x:c r="N201" s="38" t="n">
        <x:v>596.18</x:v>
      </x:c>
      <x:c r="O201" s="38" t="n">
        <x:v>451.9</x:v>
      </x:c>
      <x:c r="P201" s="38" t="n">
        <x:v>669.9</x:v>
      </x:c>
      <x:c r="Q201" s="38" t="n">
        <x:v>19.88</x:v>
      </x:c>
      <x:c r="R201" s="38" t="n">
        <x:v>43.7475</x:v>
      </x:c>
      <x:c r="S201" s="38" t="n">
        <x:v>68.01</x:v>
      </x:c>
      <x:c r="T201" s="40" t="n">
        <x:v>28.75</x:v>
      </x:c>
      <x:c r="U201" s="40" t="n">
        <x:v>1.17</x:v>
      </x:c>
      <x:c r="V201" s="38" t="n">
        <x:f>L201*(1-T201/100)*(1-U201/100)</x:f>
        <x:v>96.39227157374998</x:v>
      </x:c>
      <x:c r="W201" s="38" t="n">
        <x:f>G201*N201</x:f>
        <x:v>57355.49689999999</x:v>
      </x:c>
      <x:c r="X201" s="38" t="n">
        <x:f>H201*O201</x:f>
        <x:v>13468.8795</x:v>
      </x:c>
      <x:c r="Y201" s="38" t="n">
        <x:f>I201*P201</x:f>
        <x:v>4130.6034</x:v>
      </x:c>
      <x:c r="Z201" s="38" t="n">
        <x:f>J201*Q201+K201*P201</x:f>
        <x:v>997.2222399999999</x:v>
      </x:c>
      <x:c r="AA201" s="38" t="n">
        <x:f>M201*R201</x:f>
        <x:v>6908.1239775</x:v>
      </x:c>
      <x:c r="AB201" s="38" t="n">
        <x:f>SUM(W201:AA201)</x:f>
        <x:v>82860.3260175</x:v>
      </x:c>
      <x:c r="AC201" s="38" t="n">
        <x:v>7.94</x:v>
      </x:c>
      <x:c r="AD201" s="38" t="n">
        <x:v>174.33</x:v>
      </x:c>
      <x:c r="AE201" s="38" t="n">
        <x:v>47.15</x:v>
      </x:c>
      <x:c r="AF201" s="38" t="n">
        <x:v>4.8148</x:v>
      </x:c>
      <x:c r="AG201" s="38" t="n">
        <x:v>5.69</x:v>
      </x:c>
      <x:c r="AH201" s="38" t="n">
        <x:f>IF(E201="Fason",L201*S201,0)</x:f>
        <x:v>0</x:v>
      </x:c>
      <x:c r="AI201" s="38" t="n">
        <x:f>IF(E201="Kurum içi",AC201*AD201+AE201*AF201+AB201*12%,0)</x:f>
        <x:v>11554.4371421</x:v>
      </x:c>
      <x:c r="AJ201" s="38" t="n">
        <x:f>V201*AG201</x:f>
        <x:v>548.4720252546374</x:v>
      </x:c>
      <x:c r="AK201" s="38" t="n">
        <x:f>AB201*2%</x:f>
        <x:v>1657.2065203500001</x:v>
      </x:c>
      <x:c r="AL201" s="38" t="n">
        <x:f>AB201+AH201+AI201+AJ201+AK201</x:f>
        <x:v>96620.44170520463</x:v>
      </x:c>
      <x:c r="AM201" s="38" t="n">
        <x:f>AL201/V201</x:f>
        <x:v>1002.3670998486646</x:v>
      </x:c>
      <x:c r="AN201" s="40" t="n">
        <x:f>(W201+X201)/AL201*100</x:f>
        <x:v>73.30164833658064</x:v>
      </x:c>
      <x:c r="AO201" s="28" t="str">
        <x:v>R01-R20; ilgili satırdaki bölgesel fiyat ve maliyet varsayımları</x:v>
      </x:c>
      <x:c r="AP201" s="28" t="str">
        <x:v>Girdi miktarları, alım fiyatı değişimi, fason bedeli ve parti sonucu simüle edilmiştir; işletme kaydı değildir.</x:v>
      </x:c>
    </x:row>
    <x:row r="202" ht="22" customHeight="1">
      <x:c r="A202" t="str">
        <x:v>SUC-0201</x:v>
      </x:c>
      <x:c r="B202" s="36" t="n">
        <x:v>46304</x:v>
      </x:c>
      <x:c r="C202" t="str">
        <x:v>Karadeniz</x:v>
      </x:c>
      <x:c r="D202" t="str">
        <x:v>MEB_STANDART</x:v>
      </x:c>
      <x:c r="E202" t="str">
        <x:v>Kurum içi</x:v>
      </x:c>
      <x:c r="F202" s="42" t="str">
        <x:v>SENTETİK/SİMÜLE — gerçek parti kaydı değildir</x:v>
      </x:c>
      <x:c r="G202" s="38" t="n">
        <x:v>227.402</x:v>
      </x:c>
      <x:c r="H202" s="38" t="n">
        <x:v>68.045</x:v>
      </x:c>
      <x:c r="I202" s="38" t="n">
        <x:v>13.839</x:v>
      </x:c>
      <x:c r="J202" s="38" t="n">
        <x:v>7.963</x:v>
      </x:c>
      <x:c r="K202" s="38" t="n">
        <x:v>3.735</x:v>
      </x:c>
      <x:c r="L202" s="38" t="n">
        <x:f>SUM(G202:K202)</x:f>
        <x:v>320.98400000000004</x:v>
      </x:c>
      <x:c r="M202" s="38" t="n">
        <x:v>423.701</x:v>
      </x:c>
      <x:c r="N202" s="38" t="n">
        <x:v>599.22</x:v>
      </x:c>
      <x:c r="O202" s="38" t="n">
        <x:v>443.76</x:v>
      </x:c>
      <x:c r="P202" s="38" t="n">
        <x:v>400</x:v>
      </x:c>
      <x:c r="Q202" s="38" t="n">
        <x:v>19.88</x:v>
      </x:c>
      <x:c r="R202" s="38" t="n">
        <x:v>43.7475</x:v>
      </x:c>
      <x:c r="S202" s="38" t="n">
        <x:v>73.56</x:v>
      </x:c>
      <x:c r="T202" s="40" t="n">
        <x:v>17.22</x:v>
      </x:c>
      <x:c r="U202" s="40" t="n">
        <x:v>0.74</x:v>
      </x:c>
      <x:c r="V202" s="38" t="n">
        <x:f>L202*(1-T202/100)*(1-U202/100)</x:f>
        <x:v>263.7442970915201</x:v>
      </x:c>
      <x:c r="W202" s="38" t="n">
        <x:f>G202*N202</x:f>
        <x:v>136263.82644</x:v>
      </x:c>
      <x:c r="X202" s="38" t="n">
        <x:f>H202*O202</x:f>
        <x:v>30195.6492</x:v>
      </x:c>
      <x:c r="Y202" s="38" t="n">
        <x:f>I202*P202</x:f>
        <x:v>5535.6</x:v>
      </x:c>
      <x:c r="Z202" s="38" t="n">
        <x:f>J202*Q202+K202*P202</x:f>
        <x:v>1652.3044399999999</x:v>
      </x:c>
      <x:c r="AA202" s="38" t="n">
        <x:f>M202*R202</x:f>
        <x:v>18535.8594975</x:v>
      </x:c>
      <x:c r="AB202" s="38" t="n">
        <x:f>SUM(W202:AA202)</x:f>
        <x:v>192183.23957750003</x:v>
      </x:c>
      <x:c r="AC202" s="38" t="n">
        <x:v>13.97</x:v>
      </x:c>
      <x:c r="AD202" s="38" t="n">
        <x:v>174.33</x:v>
      </x:c>
      <x:c r="AE202" s="38" t="n">
        <x:v>84.36</x:v>
      </x:c>
      <x:c r="AF202" s="38" t="n">
        <x:v>4.8148</x:v>
      </x:c>
      <x:c r="AG202" s="38" t="n">
        <x:v>5.43</x:v>
      </x:c>
      <x:c r="AH202" s="38" t="n">
        <x:f>IF(E202="Fason",L202*S202,0)</x:f>
        <x:v>0</x:v>
      </x:c>
      <x:c r="AI202" s="38" t="n">
        <x:f>IF(E202="Kurum içi",AC202*AD202+AE202*AF202+AB202*12%,0)</x:f>
        <x:v>25903.555377300003</x:v>
      </x:c>
      <x:c r="AJ202" s="38" t="n">
        <x:f>V202*AG202</x:f>
        <x:v>1432.131533206954</x:v>
      </x:c>
      <x:c r="AK202" s="38" t="n">
        <x:f>AB202*2%</x:f>
        <x:v>3843.6647915500007</x:v>
      </x:c>
      <x:c r="AL202" s="38" t="n">
        <x:f>AB202+AH202+AI202+AJ202+AK202</x:f>
        <x:v>223362.591279557</x:v>
      </x:c>
      <x:c r="AM202" s="38" t="n">
        <x:f>AL202/V202</x:f>
        <x:v>846.8906958092424</x:v>
      </x:c>
      <x:c r="AN202" s="40" t="n">
        <x:f>(W202+X202)/AL202*100</x:f>
        <x:v>74.52433045588285</x:v>
      </x:c>
      <x:c r="AO202" s="28" t="str">
        <x:v>R01-R20; ilgili satırdaki bölgesel fiyat ve maliyet varsayımları</x:v>
      </x:c>
      <x:c r="AP202" s="28" t="str">
        <x:v>Girdi miktarları, alım fiyatı değişimi, fason bedeli ve parti sonucu simüle edilmiştir; işletme kaydı değildir.</x:v>
      </x:c>
    </x:row>
    <x:row r="203" ht="22" customHeight="1">
      <x:c r="A203" t="str">
        <x:v>SUC-0202</x:v>
      </x:c>
      <x:c r="B203" s="36" t="n">
        <x:v>46270</x:v>
      </x:c>
      <x:c r="C203" t="str">
        <x:v>Akdeniz</x:v>
      </x:c>
      <x:c r="D203" t="str">
        <x:v>MEB_STANDART</x:v>
      </x:c>
      <x:c r="E203" t="str">
        <x:v>Kurum içi</x:v>
      </x:c>
      <x:c r="F203" s="42" t="str">
        <x:v>SENTETİK/SİMÜLE — gerçek parti kaydı değildir</x:v>
      </x:c>
      <x:c r="G203" s="38" t="n">
        <x:v>321.453</x:v>
      </x:c>
      <x:c r="H203" s="38" t="n">
        <x:v>102.777</x:v>
      </x:c>
      <x:c r="I203" s="38" t="n">
        <x:v>19.354</x:v>
      </x:c>
      <x:c r="J203" s="38" t="n">
        <x:v>12.256</x:v>
      </x:c>
      <x:c r="K203" s="38" t="n">
        <x:v>4.097</x:v>
      </x:c>
      <x:c r="L203" s="38" t="n">
        <x:f>SUM(G203:K203)</x:f>
        <x:v>459.9369999999999</x:v>
      </x:c>
      <x:c r="M203" s="38" t="n">
        <x:v>536.318</x:v>
      </x:c>
      <x:c r="N203" s="38" t="n">
        <x:v>578.83</x:v>
      </x:c>
      <x:c r="O203" s="38" t="n">
        <x:v>463.8</x:v>
      </x:c>
      <x:c r="P203" s="38" t="n">
        <x:v>400</x:v>
      </x:c>
      <x:c r="Q203" s="38" t="n">
        <x:v>19.88</x:v>
      </x:c>
      <x:c r="R203" s="38" t="n">
        <x:v>43.7475</x:v>
      </x:c>
      <x:c r="S203" s="38" t="n">
        <x:v>102.12</x:v>
      </x:c>
      <x:c r="T203" s="40" t="n">
        <x:v>26.35</x:v>
      </x:c>
      <x:c r="U203" s="40" t="n">
        <x:v>1.79</x:v>
      </x:c>
      <x:c r="V203" s="38" t="n">
        <x:f>L203*(1-T203/100)*(1-U203/100)</x:f>
        <x:v>332.6800900510499</x:v>
      </x:c>
      <x:c r="W203" s="38" t="n">
        <x:f>G203*N203</x:f>
        <x:v>186066.63999</x:v>
      </x:c>
      <x:c r="X203" s="38" t="n">
        <x:f>H203*O203</x:f>
        <x:v>47667.9726</x:v>
      </x:c>
      <x:c r="Y203" s="38" t="n">
        <x:f>I203*P203</x:f>
        <x:v>7741.599999999999</x:v>
      </x:c>
      <x:c r="Z203" s="38" t="n">
        <x:f>J203*Q203+K203*P203</x:f>
        <x:v>1882.4492800000003</x:v>
      </x:c>
      <x:c r="AA203" s="38" t="n">
        <x:f>M203*R203</x:f>
        <x:v>23462.571705000002</x:v>
      </x:c>
      <x:c r="AB203" s="38" t="n">
        <x:f>SUM(W203:AA203)</x:f>
        <x:v>266821.233575</x:v>
      </x:c>
      <x:c r="AC203" s="38" t="n">
        <x:v>23.51</x:v>
      </x:c>
      <x:c r="AD203" s="38" t="n">
        <x:v>174.33</x:v>
      </x:c>
      <x:c r="AE203" s="38" t="n">
        <x:v>127.05</x:v>
      </x:c>
      <x:c r="AF203" s="38" t="n">
        <x:v>4.8148</x:v>
      </x:c>
      <x:c r="AG203" s="38" t="n">
        <x:v>5.23</x:v>
      </x:c>
      <x:c r="AH203" s="38" t="n">
        <x:f>IF(E203="Fason",L203*S203,0)</x:f>
        <x:v>0</x:v>
      </x:c>
      <x:c r="AI203" s="38" t="n">
        <x:f>IF(E203="Kurum içi",AC203*AD203+AE203*AF203+AB203*12%,0)</x:f>
        <x:v>36728.766669000004</x:v>
      </x:c>
      <x:c r="AJ203" s="38" t="n">
        <x:f>V203*AG203</x:f>
        <x:v>1739.9168709669912</x:v>
      </x:c>
      <x:c r="AK203" s="38" t="n">
        <x:f>AB203*2%</x:f>
        <x:v>5336.424671500001</x:v>
      </x:c>
      <x:c r="AL203" s="38" t="n">
        <x:f>AB203+AH203+AI203+AJ203+AK203</x:f>
        <x:v>310626.341786467</x:v>
      </x:c>
      <x:c r="AM203" s="38" t="n">
        <x:f>AL203/V203</x:f>
        <x:v>933.708842446211</x:v>
      </x:c>
      <x:c r="AN203" s="40" t="n">
        <x:f>(W203+X203)/AL203*100</x:f>
        <x:v>75.24623032475318</x:v>
      </x:c>
      <x:c r="AO203" s="28" t="str">
        <x:v>R01-R20; ilgili satırdaki bölgesel fiyat ve maliyet varsayımları</x:v>
      </x:c>
      <x:c r="AP203" s="28" t="str">
        <x:v>Girdi miktarları, alım fiyatı değişimi, fason bedeli ve parti sonucu simüle edilmiştir; işletme kaydı değildir.</x:v>
      </x:c>
    </x:row>
    <x:row r="204" ht="22" customHeight="1">
      <x:c r="A204" t="str">
        <x:v>SUC-0203</x:v>
      </x:c>
      <x:c r="B204" s="36" t="n">
        <x:v>46316</x:v>
      </x:c>
      <x:c r="C204" t="str">
        <x:v>Akdeniz</x:v>
      </x:c>
      <x:c r="D204" t="str">
        <x:v>ERZURUM_CI</x:v>
      </x:c>
      <x:c r="E204" t="str">
        <x:v>Fason</x:v>
      </x:c>
      <x:c r="F204" s="42" t="str">
        <x:v>SENTETİK/SİMÜLE — gerçek parti kaydı değildir</x:v>
      </x:c>
      <x:c r="G204" s="38" t="n">
        <x:v>390.221</x:v>
      </x:c>
      <x:c r="H204" s="38" t="n">
        <x:v>70.611</x:v>
      </x:c>
      <x:c r="I204" s="38" t="n">
        <x:v>23.11</x:v>
      </x:c>
      <x:c r="J204" s="38" t="n">
        <x:v>8.234</x:v>
      </x:c>
      <x:c r="K204" s="38" t="n">
        <x:v>1.06</x:v>
      </x:c>
      <x:c r="L204" s="38" t="n">
        <x:f>SUM(G204:K204)</x:f>
        <x:v>493.236</x:v>
      </x:c>
      <x:c r="M204" s="38" t="n">
        <x:v>641.643</x:v>
      </x:c>
      <x:c r="N204" s="38" t="n">
        <x:v>601.99</x:v>
      </x:c>
      <x:c r="O204" s="38" t="n">
        <x:v>471.93</x:v>
      </x:c>
      <x:c r="P204" s="38" t="n">
        <x:v>550</x:v>
      </x:c>
      <x:c r="Q204" s="38" t="n">
        <x:v>19.88</x:v>
      </x:c>
      <x:c r="R204" s="38" t="n">
        <x:v>43.7475</x:v>
      </x:c>
      <x:c r="S204" s="38" t="n">
        <x:v>113.81</x:v>
      </x:c>
      <x:c r="T204" s="40" t="n">
        <x:v>17.14</x:v>
      </x:c>
      <x:c r="U204" s="40" t="n">
        <x:v>1.23</x:v>
      </x:c>
      <x:c r="V204" s="38" t="n">
        <x:f>L204*(1-T204/100)*(1-U204/100)</x:f>
        <x:v>403.66839679992</x:v>
      </x:c>
      <x:c r="W204" s="38" t="n">
        <x:f>G204*N204</x:f>
        <x:v>234909.13979000002</x:v>
      </x:c>
      <x:c r="X204" s="38" t="n">
        <x:f>H204*O204</x:f>
        <x:v>33323.449230000006</x:v>
      </x:c>
      <x:c r="Y204" s="38" t="n">
        <x:f>I204*P204</x:f>
        <x:v>12710.5</x:v>
      </x:c>
      <x:c r="Z204" s="38" t="n">
        <x:f>J204*Q204+K204*P204</x:f>
        <x:v>746.69192</x:v>
      </x:c>
      <x:c r="AA204" s="38" t="n">
        <x:f>M204*R204</x:f>
        <x:v>28070.277142500003</x:v>
      </x:c>
      <x:c r="AB204" s="38" t="n">
        <x:f>SUM(W204:AA204)</x:f>
        <x:v>309760.0580825</x:v>
      </x:c>
      <x:c r="AC204" s="38" t="n">
        <x:v>29.35</x:v>
      </x:c>
      <x:c r="AD204" s="38" t="n">
        <x:v>174.33</x:v>
      </x:c>
      <x:c r="AE204" s="38" t="n">
        <x:v>167.39</x:v>
      </x:c>
      <x:c r="AF204" s="38" t="n">
        <x:v>4.8148</x:v>
      </x:c>
      <x:c r="AG204" s="38" t="n">
        <x:v>5.87</x:v>
      </x:c>
      <x:c r="AH204" s="38" t="n">
        <x:f>IF(E204="Fason",L204*S204,0)</x:f>
        <x:v>56135.18916</x:v>
      </x:c>
      <x:c r="AI204" s="38" t="n">
        <x:f>IF(E204="Kurum içi",AC204*AD204+AE204*AF204+AB204*12%,0)</x:f>
        <x:v>0</x:v>
      </x:c>
      <x:c r="AJ204" s="38" t="n">
        <x:f>V204*AG204</x:f>
        <x:v>2369.5334892155306</x:v>
      </x:c>
      <x:c r="AK204" s="38" t="n">
        <x:f>AB204*2%</x:f>
        <x:v>6195.20116165</x:v>
      </x:c>
      <x:c r="AL204" s="38" t="n">
        <x:f>AB204+AH204+AI204+AJ204+AK204</x:f>
        <x:v>374459.98189336556</x:v>
      </x:c>
      <x:c r="AM204" s="38" t="n">
        <x:f>AL204/V204</x:f>
        <x:v>927.6425523075275</x:v>
      </x:c>
      <x:c r="AN204" s="40" t="n">
        <x:f>(W204+X204)/AL204*100</x:f>
        <x:v>71.6318437189863</x:v>
      </x:c>
      <x:c r="AO204" s="28" t="str">
        <x:v>R01-R20; ilgili satırdaki bölgesel fiyat ve maliyet varsayımları</x:v>
      </x:c>
      <x:c r="AP204" s="28" t="str">
        <x:v>Girdi miktarları, alım fiyatı değişimi, fason bedeli ve parti sonucu simüle edilmiştir; işletme kaydı değildir.</x:v>
      </x:c>
    </x:row>
    <x:row r="205" ht="22" customHeight="1">
      <x:c r="A205" t="str">
        <x:v>SUC-0204</x:v>
      </x:c>
      <x:c r="B205" s="36" t="n">
        <x:v>46293</x:v>
      </x:c>
      <x:c r="C205" t="str">
        <x:v>Akdeniz</x:v>
      </x:c>
      <x:c r="D205" t="str">
        <x:v>ERZURUM_CI</x:v>
      </x:c>
      <x:c r="E205" t="str">
        <x:v>Kurum içi</x:v>
      </x:c>
      <x:c r="F205" s="42" t="str">
        <x:v>SENTETİK/SİMÜLE — gerçek parti kaydı değildir</x:v>
      </x:c>
      <x:c r="G205" s="38" t="n">
        <x:v>229.155</x:v>
      </x:c>
      <x:c r="H205" s="38" t="n">
        <x:v>38.979</x:v>
      </x:c>
      <x:c r="I205" s="38" t="n">
        <x:v>13.666</x:v>
      </x:c>
      <x:c r="J205" s="38" t="n">
        <x:v>4.853</x:v>
      </x:c>
      <x:c r="K205" s="38" t="n">
        <x:v>0.062</x:v>
      </x:c>
      <x:c r="L205" s="38" t="n">
        <x:f>SUM(G205:K205)</x:f>
        <x:v>286.71500000000003</x:v>
      </x:c>
      <x:c r="M205" s="38" t="n">
        <x:v>335.888</x:v>
      </x:c>
      <x:c r="N205" s="38" t="n">
        <x:v>589.88</x:v>
      </x:c>
      <x:c r="O205" s="38" t="n">
        <x:v>467.85</x:v>
      </x:c>
      <x:c r="P205" s="38" t="n">
        <x:v>550</x:v>
      </x:c>
      <x:c r="Q205" s="38" t="n">
        <x:v>19.88</x:v>
      </x:c>
      <x:c r="R205" s="38" t="n">
        <x:v>43.7475</x:v>
      </x:c>
      <x:c r="S205" s="38" t="n">
        <x:v>81.87</x:v>
      </x:c>
      <x:c r="T205" s="40" t="n">
        <x:v>27.09</x:v>
      </x:c>
      <x:c r="U205" s="40" t="n">
        <x:v>1.45</x:v>
      </x:c>
      <x:c r="V205" s="38" t="n">
        <x:f>L205*(1-T205/100)*(1-U205/100)</x:f>
        <x:v>206.01276985575007</x:v>
      </x:c>
      <x:c r="W205" s="38" t="n">
        <x:f>G205*N205</x:f>
        <x:v>135173.9514</x:v>
      </x:c>
      <x:c r="X205" s="38" t="n">
        <x:f>H205*O205</x:f>
        <x:v>18236.32515</x:v>
      </x:c>
      <x:c r="Y205" s="38" t="n">
        <x:f>I205*P205</x:f>
        <x:v>7516.3</x:v>
      </x:c>
      <x:c r="Z205" s="38" t="n">
        <x:f>J205*Q205+K205*P205</x:f>
        <x:v>130.57764</x:v>
      </x:c>
      <x:c r="AA205" s="38" t="n">
        <x:f>M205*R205</x:f>
        <x:v>14694.26028</x:v>
      </x:c>
      <x:c r="AB205" s="38" t="n">
        <x:f>SUM(W205:AA205)</x:f>
        <x:v>175751.41446999996</x:v>
      </x:c>
      <x:c r="AC205" s="38" t="n">
        <x:v>19.81</x:v>
      </x:c>
      <x:c r="AD205" s="38" t="n">
        <x:v>174.33</x:v>
      </x:c>
      <x:c r="AE205" s="38" t="n">
        <x:v>124.02</x:v>
      </x:c>
      <x:c r="AF205" s="38" t="n">
        <x:v>4.8148</x:v>
      </x:c>
      <x:c r="AG205" s="38" t="n">
        <x:v>5.62</x:v>
      </x:c>
      <x:c r="AH205" s="38" t="n">
        <x:f>IF(E205="Fason",L205*S205,0)</x:f>
        <x:v>0</x:v>
      </x:c>
      <x:c r="AI205" s="38" t="n">
        <x:f>IF(E205="Kurum içi",AC205*AD205+AE205*AF205+AB205*12%,0)</x:f>
        <x:v>25140.778532399996</x:v>
      </x:c>
      <x:c r="AJ205" s="38" t="n">
        <x:f>V205*AG205</x:f>
        <x:v>1157.7917665893153</x:v>
      </x:c>
      <x:c r="AK205" s="38" t="n">
        <x:f>AB205*2%</x:f>
        <x:v>3515.0282893999993</x:v>
      </x:c>
      <x:c r="AL205" s="38" t="n">
        <x:f>AB205+AH205+AI205+AJ205+AK205</x:f>
        <x:v>205565.01305838928</x:v>
      </x:c>
      <x:c r="AM205" s="38" t="n">
        <x:f>AL205/V205</x:f>
        <x:v>997.8265580445604</x:v>
      </x:c>
      <x:c r="AN205" s="40" t="n">
        <x:f>(W205+X205)/AL205*100</x:f>
        <x:v>74.62859280748563</x:v>
      </x:c>
      <x:c r="AO205" s="28" t="str">
        <x:v>R01-R20; ilgili satırdaki bölgesel fiyat ve maliyet varsayımları</x:v>
      </x:c>
      <x:c r="AP205" s="28" t="str">
        <x:v>Girdi miktarları, alım fiyatı değişimi, fason bedeli ve parti sonucu simüle edilmiştir; işletme kaydı değildir.</x:v>
      </x:c>
    </x:row>
    <x:row r="206" ht="22" customHeight="1">
      <x:c r="A206" t="str">
        <x:v>SUC-0205</x:v>
      </x:c>
      <x:c r="B206" s="36" t="n">
        <x:v>46296</x:v>
      </x:c>
      <x:c r="C206" t="str">
        <x:v>Güneydoğu Anadolu</x:v>
      </x:c>
      <x:c r="D206" t="str">
        <x:v>ERZURUM_CI</x:v>
      </x:c>
      <x:c r="E206" t="str">
        <x:v>Kurum içi</x:v>
      </x:c>
      <x:c r="F206" s="42" t="str">
        <x:v>SENTETİK/SİMÜLE — gerçek parti kaydı değildir</x:v>
      </x:c>
      <x:c r="G206" s="38" t="n">
        <x:v>273.695</x:v>
      </x:c>
      <x:c r="H206" s="38" t="n">
        <x:v>50.564</x:v>
      </x:c>
      <x:c r="I206" s="38" t="n">
        <x:v>16.631</x:v>
      </x:c>
      <x:c r="J206" s="38" t="n">
        <x:v>4.904</x:v>
      </x:c>
      <x:c r="K206" s="38" t="n">
        <x:v>0.595</x:v>
      </x:c>
      <x:c r="L206" s="38" t="n">
        <x:f>SUM(G206:K206)</x:f>
        <x:v>346.389</x:v>
      </x:c>
      <x:c r="M206" s="38" t="n">
        <x:v>437.226</x:v>
      </x:c>
      <x:c r="N206" s="38" t="n">
        <x:v>575.27</x:v>
      </x:c>
      <x:c r="O206" s="38" t="n">
        <x:v>412.68</x:v>
      </x:c>
      <x:c r="P206" s="38" t="n">
        <x:v>400</x:v>
      </x:c>
      <x:c r="Q206" s="38" t="n">
        <x:v>19.88</x:v>
      </x:c>
      <x:c r="R206" s="38" t="n">
        <x:v>43.7475</x:v>
      </x:c>
      <x:c r="S206" s="38" t="n">
        <x:v>113.81</x:v>
      </x:c>
      <x:c r="T206" s="40" t="n">
        <x:v>17.15</x:v>
      </x:c>
      <x:c r="U206" s="40" t="n">
        <x:v>1.44</x:v>
      </x:c>
      <x:c r="V206" s="38" t="n">
        <x:f>L206*(1-T206/100)*(1-U206/100)</x:f>
        <x:v>282.85072717440005</x:v>
      </x:c>
      <x:c r="W206" s="38" t="n">
        <x:f>G206*N206</x:f>
        <x:v>157448.52265</x:v>
      </x:c>
      <x:c r="X206" s="38" t="n">
        <x:f>H206*O206</x:f>
        <x:v>20866.75152</x:v>
      </x:c>
      <x:c r="Y206" s="38" t="n">
        <x:f>I206*P206</x:f>
        <x:v>6652.4</x:v>
      </x:c>
      <x:c r="Z206" s="38" t="n">
        <x:f>J206*Q206+K206*P206</x:f>
        <x:v>335.49152</x:v>
      </x:c>
      <x:c r="AA206" s="38" t="n">
        <x:f>M206*R206</x:f>
        <x:v>19127.544435</x:v>
      </x:c>
      <x:c r="AB206" s="38" t="n">
        <x:f>SUM(W206:AA206)</x:f>
        <x:v>204430.71012499998</x:v>
      </x:c>
      <x:c r="AC206" s="38" t="n">
        <x:v>16.13</x:v>
      </x:c>
      <x:c r="AD206" s="38" t="n">
        <x:v>174.33</x:v>
      </x:c>
      <x:c r="AE206" s="38" t="n">
        <x:v>121.75</x:v>
      </x:c>
      <x:c r="AF206" s="38" t="n">
        <x:v>4.8148</x:v>
      </x:c>
      <x:c r="AG206" s="38" t="n">
        <x:v>5.32</x:v>
      </x:c>
      <x:c r="AH206" s="38" t="n">
        <x:f>IF(E206="Fason",L206*S206,0)</x:f>
        <x:v>0</x:v>
      </x:c>
      <x:c r="AI206" s="38" t="n">
        <x:f>IF(E206="Kurum içi",AC206*AD206+AE206*AF206+AB206*12%,0)</x:f>
        <x:v>27929.830015</x:v>
      </x:c>
      <x:c r="AJ206" s="38" t="n">
        <x:f>V206*AG206</x:f>
        <x:v>1504.7658685678084</x:v>
      </x:c>
      <x:c r="AK206" s="38" t="n">
        <x:f>AB206*2%</x:f>
        <x:v>4088.6142025</x:v>
      </x:c>
      <x:c r="AL206" s="38" t="n">
        <x:f>AB206+AH206+AI206+AJ206+AK206</x:f>
        <x:v>237953.9202110678</x:v>
      </x:c>
      <x:c r="AM206" s="38" t="n">
        <x:f>AL206/V206</x:f>
        <x:v>841.2703145159327</x:v>
      </x:c>
      <x:c r="AN206" s="40" t="n">
        <x:f>(W206+X206)/AL206*100</x:f>
        <x:v>74.9368928285915</x:v>
      </x:c>
      <x:c r="AO206" s="28" t="str">
        <x:v>R01-R20; ilgili satırdaki bölgesel fiyat ve maliyet varsayımları</x:v>
      </x:c>
      <x:c r="AP206" s="28" t="str">
        <x:v>Girdi miktarları, alım fiyatı değişimi, fason bedeli ve parti sonucu simüle edilmiştir; işletme kaydı değildir.</x:v>
      </x:c>
    </x:row>
    <x:row r="207" ht="22" customHeight="1">
      <x:c r="A207" t="str">
        <x:v>SUC-0206</x:v>
      </x:c>
      <x:c r="B207" s="36" t="n">
        <x:v>46284</x:v>
      </x:c>
      <x:c r="C207" t="str">
        <x:v>İç Anadolu</x:v>
      </x:c>
      <x:c r="D207" t="str">
        <x:v>MEB_STANDART</x:v>
      </x:c>
      <x:c r="E207" t="str">
        <x:v>Fason</x:v>
      </x:c>
      <x:c r="F207" s="42" t="str">
        <x:v>SENTETİK/SİMÜLE — gerçek parti kaydı değildir</x:v>
      </x:c>
      <x:c r="G207" s="38" t="n">
        <x:v>255.497</x:v>
      </x:c>
      <x:c r="H207" s="38" t="n">
        <x:v>76.184</x:v>
      </x:c>
      <x:c r="I207" s="38" t="n">
        <x:v>15.81</x:v>
      </x:c>
      <x:c r="J207" s="38" t="n">
        <x:v>9.228</x:v>
      </x:c>
      <x:c r="K207" s="38" t="n">
        <x:v>3.824</x:v>
      </x:c>
      <x:c r="L207" s="38" t="n">
        <x:f>SUM(G207:K207)</x:f>
        <x:v>360.54300000000006</x:v>
      </x:c>
      <x:c r="M207" s="38" t="n">
        <x:v>484.019</x:v>
      </x:c>
      <x:c r="N207" s="38" t="n">
        <x:v>581.12</x:v>
      </x:c>
      <x:c r="O207" s="38" t="n">
        <x:v>459.41</x:v>
      </x:c>
      <x:c r="P207" s="38" t="n">
        <x:v>400</x:v>
      </x:c>
      <x:c r="Q207" s="38" t="n">
        <x:v>19.88</x:v>
      </x:c>
      <x:c r="R207" s="38" t="n">
        <x:v>43.7475</x:v>
      </x:c>
      <x:c r="S207" s="38" t="n">
        <x:v>124.89</x:v>
      </x:c>
      <x:c r="T207" s="40" t="n">
        <x:v>29.73</x:v>
      </x:c>
      <x:c r="U207" s="40" t="n">
        <x:v>0.85</x:v>
      </x:c>
      <x:c r="V207" s="38" t="n">
        <x:f>L207*(1-T207/100)*(1-U207/100)</x:f>
        <x:v>251.20006078815007</x:v>
      </x:c>
      <x:c r="W207" s="38" t="n">
        <x:f>G207*N207</x:f>
        <x:v>148474.41664</x:v>
      </x:c>
      <x:c r="X207" s="38" t="n">
        <x:f>H207*O207</x:f>
        <x:v>34999.69144</x:v>
      </x:c>
      <x:c r="Y207" s="38" t="n">
        <x:f>I207*P207</x:f>
        <x:v>6324</x:v>
      </x:c>
      <x:c r="Z207" s="38" t="n">
        <x:f>J207*Q207+K207*P207</x:f>
        <x:v>1713.0526399999999</x:v>
      </x:c>
      <x:c r="AA207" s="38" t="n">
        <x:f>M207*R207</x:f>
        <x:v>21174.621202500002</x:v>
      </x:c>
      <x:c r="AB207" s="38" t="n">
        <x:f>SUM(W207:AA207)</x:f>
        <x:v>212685.78192250003</x:v>
      </x:c>
      <x:c r="AC207" s="38" t="n">
        <x:v>21.57</x:v>
      </x:c>
      <x:c r="AD207" s="38" t="n">
        <x:v>174.33</x:v>
      </x:c>
      <x:c r="AE207" s="38" t="n">
        <x:v>116.98</x:v>
      </x:c>
      <x:c r="AF207" s="38" t="n">
        <x:v>4.8148</x:v>
      </x:c>
      <x:c r="AG207" s="38" t="n">
        <x:v>5.75</x:v>
      </x:c>
      <x:c r="AH207" s="38" t="n">
        <x:f>IF(E207="Fason",L207*S207,0)</x:f>
        <x:v>45028.21527000001</x:v>
      </x:c>
      <x:c r="AI207" s="38" t="n">
        <x:f>IF(E207="Kurum içi",AC207*AD207+AE207*AF207+AB207*12%,0)</x:f>
        <x:v>0</x:v>
      </x:c>
      <x:c r="AJ207" s="38" t="n">
        <x:f>V207*AG207</x:f>
        <x:v>1444.400349531863</x:v>
      </x:c>
      <x:c r="AK207" s="38" t="n">
        <x:f>AB207*2%</x:f>
        <x:v>4253.71563845</x:v>
      </x:c>
      <x:c r="AL207" s="38" t="n">
        <x:f>AB207+AH207+AI207+AJ207+AK207</x:f>
        <x:v>263412.11318048195</x:v>
      </x:c>
      <x:c r="AM207" s="38" t="n">
        <x:f>AL207/V207</x:f>
        <x:v>1048.6148464853713</x:v>
      </x:c>
      <x:c r="AN207" s="40" t="n">
        <x:f>(W207+X207)/AL207*100</x:f>
        <x:v>69.65287429826324</x:v>
      </x:c>
      <x:c r="AO207" s="28" t="str">
        <x:v>R01-R20; ilgili satırdaki bölgesel fiyat ve maliyet varsayımları</x:v>
      </x:c>
      <x:c r="AP207" s="28" t="str">
        <x:v>Girdi miktarları, alım fiyatı değişimi, fason bedeli ve parti sonucu simüle edilmiştir; işletme kaydı değildir.</x:v>
      </x:c>
    </x:row>
    <x:row r="208" ht="22" customHeight="1">
      <x:c r="A208" t="str">
        <x:v>SUC-0207</x:v>
      </x:c>
      <x:c r="B208" s="36" t="n">
        <x:v>46268</x:v>
      </x:c>
      <x:c r="C208" t="str">
        <x:v>İç Anadolu</x:v>
      </x:c>
      <x:c r="D208" t="str">
        <x:v>ERZURUM_CI</x:v>
      </x:c>
      <x:c r="E208" t="str">
        <x:v>Fason</x:v>
      </x:c>
      <x:c r="F208" s="42" t="str">
        <x:v>SENTETİK/SİMÜLE — gerçek parti kaydı değildir</x:v>
      </x:c>
      <x:c r="G208" s="38" t="n">
        <x:v>259.738</x:v>
      </x:c>
      <x:c r="H208" s="38" t="n">
        <x:v>44.268</x:v>
      </x:c>
      <x:c r="I208" s="38" t="n">
        <x:v>15.044</x:v>
      </x:c>
      <x:c r="J208" s="38" t="n">
        <x:v>5.479</x:v>
      </x:c>
      <x:c r="K208" s="38" t="n">
        <x:v>0.495</x:v>
      </x:c>
      <x:c r="L208" s="38" t="n">
        <x:f>SUM(G208:K208)</x:f>
        <x:v>325.02399999999994</x:v>
      </x:c>
      <x:c r="M208" s="38" t="n">
        <x:v>430.669</x:v>
      </x:c>
      <x:c r="N208" s="38" t="n">
        <x:v>594.87</x:v>
      </x:c>
      <x:c r="O208" s="38" t="n">
        <x:v>475.76</x:v>
      </x:c>
      <x:c r="P208" s="38" t="n">
        <x:v>550</x:v>
      </x:c>
      <x:c r="Q208" s="38" t="n">
        <x:v>19.88</x:v>
      </x:c>
      <x:c r="R208" s="38" t="n">
        <x:v>43.7475</x:v>
      </x:c>
      <x:c r="S208" s="38" t="n">
        <x:v>104.82</x:v>
      </x:c>
      <x:c r="T208" s="40" t="n">
        <x:v>21.24</x:v>
      </x:c>
      <x:c r="U208" s="40" t="n">
        <x:v>0.94</x:v>
      </x:c>
      <x:c r="V208" s="38" t="n">
        <x:f>L208*(1-T208/100)*(1-U208/100)</x:f>
        <x:v>253.58260671743997</x:v>
      </x:c>
      <x:c r="W208" s="38" t="n">
        <x:f>G208*N208</x:f>
        <x:v>154510.34406</x:v>
      </x:c>
      <x:c r="X208" s="38" t="n">
        <x:f>H208*O208</x:f>
        <x:v>21060.94368</x:v>
      </x:c>
      <x:c r="Y208" s="38" t="n">
        <x:f>I208*P208</x:f>
        <x:v>8274.2</x:v>
      </x:c>
      <x:c r="Z208" s="38" t="n">
        <x:f>J208*Q208+K208*P208</x:f>
        <x:v>381.17251999999996</x:v>
      </x:c>
      <x:c r="AA208" s="38" t="n">
        <x:f>M208*R208</x:f>
        <x:v>18840.6920775</x:v>
      </x:c>
      <x:c r="AB208" s="38" t="n">
        <x:f>SUM(W208:AA208)</x:f>
        <x:v>203067.3523375</x:v>
      </x:c>
      <x:c r="AC208" s="38" t="n">
        <x:v>12.16</x:v>
      </x:c>
      <x:c r="AD208" s="38" t="n">
        <x:v>174.33</x:v>
      </x:c>
      <x:c r="AE208" s="38" t="n">
        <x:v>147.16</x:v>
      </x:c>
      <x:c r="AF208" s="38" t="n">
        <x:v>4.8148</x:v>
      </x:c>
      <x:c r="AG208" s="38" t="n">
        <x:v>5.42</x:v>
      </x:c>
      <x:c r="AH208" s="38" t="n">
        <x:f>IF(E208="Fason",L208*S208,0)</x:f>
        <x:v>34069.01567999999</x:v>
      </x:c>
      <x:c r="AI208" s="38" t="n">
        <x:f>IF(E208="Kurum içi",AC208*AD208+AE208*AF208+AB208*12%,0)</x:f>
        <x:v>0</x:v>
      </x:c>
      <x:c r="AJ208" s="38" t="n">
        <x:f>V208*AG208</x:f>
        <x:v>1374.4177284085247</x:v>
      </x:c>
      <x:c r="AK208" s="38" t="n">
        <x:f>AB208*2%</x:f>
        <x:v>4061.34704675</x:v>
      </x:c>
      <x:c r="AL208" s="38" t="n">
        <x:f>AB208+AH208+AI208+AJ208+AK208</x:f>
        <x:v>242572.1327926585</x:v>
      </x:c>
      <x:c r="AM208" s="38" t="n">
        <x:f>AL208/V208</x:f>
        <x:v>956.5803267530484</x:v>
      </x:c>
      <x:c r="AN208" s="40" t="n">
        <x:f>(W208+X208)/AL208*100</x:f>
        <x:v>72.37900154428361</x:v>
      </x:c>
      <x:c r="AO208" s="28" t="str">
        <x:v>R01-R20; ilgili satırdaki bölgesel fiyat ve maliyet varsayımları</x:v>
      </x:c>
      <x:c r="AP208" s="28" t="str">
        <x:v>Girdi miktarları, alım fiyatı değişimi, fason bedeli ve parti sonucu simüle edilmiştir; işletme kaydı değildir.</x:v>
      </x:c>
    </x:row>
    <x:row r="209" ht="22" customHeight="1">
      <x:c r="A209" t="str">
        <x:v>SUC-0208</x:v>
      </x:c>
      <x:c r="B209" s="36" t="n">
        <x:v>46273</x:v>
      </x:c>
      <x:c r="C209" t="str">
        <x:v>Doğu Anadolu</x:v>
      </x:c>
      <x:c r="D209" t="str">
        <x:v>ERZURUM_CI</x:v>
      </x:c>
      <x:c r="E209" t="str">
        <x:v>Kurum içi</x:v>
      </x:c>
      <x:c r="F209" s="42" t="str">
        <x:v>SENTETİK/SİMÜLE — gerçek parti kaydı değildir</x:v>
      </x:c>
      <x:c r="G209" s="38" t="n">
        <x:v>223.42</x:v>
      </x:c>
      <x:c r="H209" s="38" t="n">
        <x:v>39.033</x:v>
      </x:c>
      <x:c r="I209" s="38" t="n">
        <x:v>12.537</x:v>
      </x:c>
      <x:c r="J209" s="38" t="n">
        <x:v>4.843</x:v>
      </x:c>
      <x:c r="K209" s="38" t="n">
        <x:v>0.297</x:v>
      </x:c>
      <x:c r="L209" s="38" t="n">
        <x:f>SUM(G209:K209)</x:f>
        <x:v>280.13</x:v>
      </x:c>
      <x:c r="M209" s="38" t="n">
        <x:v>376.047</x:v>
      </x:c>
      <x:c r="N209" s="38" t="n">
        <x:v>577.19</x:v>
      </x:c>
      <x:c r="O209" s="38" t="n">
        <x:v>429.35</x:v>
      </x:c>
      <x:c r="P209" s="38" t="n">
        <x:v>669.9</x:v>
      </x:c>
      <x:c r="Q209" s="38" t="n">
        <x:v>19.88</x:v>
      </x:c>
      <x:c r="R209" s="38" t="n">
        <x:v>43.7475</x:v>
      </x:c>
      <x:c r="S209" s="38" t="n">
        <x:v>66.36</x:v>
      </x:c>
      <x:c r="T209" s="40" t="n">
        <x:v>17.25</x:v>
      </x:c>
      <x:c r="U209" s="40" t="n">
        <x:v>1.54</x:v>
      </x:c>
      <x:c r="V209" s="38" t="n">
        <x:f>L209*(1-T209/100)*(1-U209/100)</x:f>
        <x:v>228.23773834500003</x:v>
      </x:c>
      <x:c r="W209" s="38" t="n">
        <x:f>G209*N209</x:f>
        <x:v>128955.7898</x:v>
      </x:c>
      <x:c r="X209" s="38" t="n">
        <x:f>H209*O209</x:f>
        <x:v>16758.81855</x:v>
      </x:c>
      <x:c r="Y209" s="38" t="n">
        <x:f>I209*P209</x:f>
        <x:v>8398.5363</x:v>
      </x:c>
      <x:c r="Z209" s="38" t="n">
        <x:f>J209*Q209+K209*P209</x:f>
        <x:v>295.23913999999996</x:v>
      </x:c>
      <x:c r="AA209" s="38" t="n">
        <x:f>M209*R209</x:f>
        <x:v>16451.116132500003</x:v>
      </x:c>
      <x:c r="AB209" s="38" t="n">
        <x:f>SUM(W209:AA209)</x:f>
        <x:v>170859.4999225</x:v>
      </x:c>
      <x:c r="AC209" s="38" t="n">
        <x:v>10.2</x:v>
      </x:c>
      <x:c r="AD209" s="38" t="n">
        <x:v>174.33</x:v>
      </x:c>
      <x:c r="AE209" s="38" t="n">
        <x:v>108.16</x:v>
      </x:c>
      <x:c r="AF209" s="38" t="n">
        <x:v>4.8148</x:v>
      </x:c>
      <x:c r="AG209" s="38" t="n">
        <x:v>5.31</x:v>
      </x:c>
      <x:c r="AH209" s="38" t="n">
        <x:f>IF(E209="Fason",L209*S209,0)</x:f>
        <x:v>0</x:v>
      </x:c>
      <x:c r="AI209" s="38" t="n">
        <x:f>IF(E209="Kurum içi",AC209*AD209+AE209*AF209+AB209*12%,0)</x:f>
        <x:v>22802.074758699997</x:v>
      </x:c>
      <x:c r="AJ209" s="38" t="n">
        <x:f>V209*AG209</x:f>
        <x:v>1211.94239061195</x:v>
      </x:c>
      <x:c r="AK209" s="38" t="n">
        <x:f>AB209*2%</x:f>
        <x:v>3417.18999845</x:v>
      </x:c>
      <x:c r="AL209" s="38" t="n">
        <x:f>AB209+AH209+AI209+AJ209+AK209</x:f>
        <x:v>198290.70707026194</x:v>
      </x:c>
      <x:c r="AM209" s="38" t="n">
        <x:f>AL209/V209</x:f>
        <x:v>868.7901856551405</x:v>
      </x:c>
      <x:c r="AN209" s="40" t="n">
        <x:f>(W209+X209)/AL209*100</x:f>
        <x:v>73.4853440702936</x:v>
      </x:c>
      <x:c r="AO209" s="28" t="str">
        <x:v>R01-R20; ilgili satırdaki bölgesel fiyat ve maliyet varsayımları</x:v>
      </x:c>
      <x:c r="AP209" s="28" t="str">
        <x:v>Girdi miktarları, alım fiyatı değişimi, fason bedeli ve parti sonucu simüle edilmiştir; işletme kaydı değildir.</x:v>
      </x:c>
    </x:row>
    <x:row r="210" ht="22" customHeight="1">
      <x:c r="A210" t="str">
        <x:v>SUC-0209</x:v>
      </x:c>
      <x:c r="B210" s="36" t="n">
        <x:v>46293</x:v>
      </x:c>
      <x:c r="C210" t="str">
        <x:v>Ege</x:v>
      </x:c>
      <x:c r="D210" t="str">
        <x:v>ERZURUM_CI</x:v>
      </x:c>
      <x:c r="E210" t="str">
        <x:v>Kurum içi</x:v>
      </x:c>
      <x:c r="F210" s="42" t="str">
        <x:v>SENTETİK/SİMÜLE — gerçek parti kaydı değildir</x:v>
      </x:c>
      <x:c r="G210" s="38" t="n">
        <x:v>342.298</x:v>
      </x:c>
      <x:c r="H210" s="38" t="n">
        <x:v>61.468</x:v>
      </x:c>
      <x:c r="I210" s="38" t="n">
        <x:v>21.074</x:v>
      </x:c>
      <x:c r="J210" s="38" t="n">
        <x:v>7.302</x:v>
      </x:c>
      <x:c r="K210" s="38" t="n">
        <x:v>0.473</x:v>
      </x:c>
      <x:c r="L210" s="38" t="n">
        <x:f>SUM(G210:K210)</x:f>
        <x:v>432.61500000000007</x:v>
      </x:c>
      <x:c r="M210" s="38" t="n">
        <x:v>550.952</x:v>
      </x:c>
      <x:c r="N210" s="38" t="n">
        <x:v>602.05</x:v>
      </x:c>
      <x:c r="O210" s="38" t="n">
        <x:v>412.12</x:v>
      </x:c>
      <x:c r="P210" s="38" t="n">
        <x:v>550</x:v>
      </x:c>
      <x:c r="Q210" s="38" t="n">
        <x:v>19.88</x:v>
      </x:c>
      <x:c r="R210" s="38" t="n">
        <x:v>43.7475</x:v>
      </x:c>
      <x:c r="S210" s="38" t="n">
        <x:v>108.87</x:v>
      </x:c>
      <x:c r="T210" s="40" t="n">
        <x:v>20.94</x:v>
      </x:c>
      <x:c r="U210" s="40" t="n">
        <x:v>1.17</x:v>
      </x:c>
      <x:c r="V210" s="38" t="n">
        <x:f>L210*(1-T210/100)*(1-U210/100)</x:f>
        <x:v>338.02372159770005</x:v>
      </x:c>
      <x:c r="W210" s="38" t="n">
        <x:f>G210*N210</x:f>
        <x:v>206080.5109</x:v>
      </x:c>
      <x:c r="X210" s="38" t="n">
        <x:f>H210*O210</x:f>
        <x:v>25332.192160000002</x:v>
      </x:c>
      <x:c r="Y210" s="38" t="n">
        <x:f>I210*P210</x:f>
        <x:v>11590.7</x:v>
      </x:c>
      <x:c r="Z210" s="38" t="n">
        <x:f>J210*Q210+K210*P210</x:f>
        <x:v>405.31376</x:v>
      </x:c>
      <x:c r="AA210" s="38" t="n">
        <x:f>M210*R210</x:f>
        <x:v>24102.77262</x:v>
      </x:c>
      <x:c r="AB210" s="38" t="n">
        <x:f>SUM(W210:AA210)</x:f>
        <x:v>267511.48944</x:v>
      </x:c>
      <x:c r="AC210" s="38" t="n">
        <x:v>15.18</x:v>
      </x:c>
      <x:c r="AD210" s="38" t="n">
        <x:v>174.33</x:v>
      </x:c>
      <x:c r="AE210" s="38" t="n">
        <x:v>148.24</x:v>
      </x:c>
      <x:c r="AF210" s="38" t="n">
        <x:v>4.8148</x:v>
      </x:c>
      <x:c r="AG210" s="38" t="n">
        <x:v>5.77</x:v>
      </x:c>
      <x:c r="AH210" s="38" t="n">
        <x:f>IF(E210="Fason",L210*S210,0)</x:f>
        <x:v>0</x:v>
      </x:c>
      <x:c r="AI210" s="38" t="n">
        <x:f>IF(E210="Kurum içi",AC210*AD210+AE210*AF210+AB210*12%,0)</x:f>
        <x:v>35461.454084799996</x:v>
      </x:c>
      <x:c r="AJ210" s="38" t="n">
        <x:f>V210*AG210</x:f>
        <x:v>1950.3968736187292</x:v>
      </x:c>
      <x:c r="AK210" s="38" t="n">
        <x:f>AB210*2%</x:f>
        <x:v>5350.229788799999</x:v>
      </x:c>
      <x:c r="AL210" s="38" t="n">
        <x:f>AB210+AH210+AI210+AJ210+AK210</x:f>
        <x:v>310273.57018721866</x:v>
      </x:c>
      <x:c r="AM210" s="38" t="n">
        <x:f>AL210/V210</x:f>
        <x:v>917.9047219546671</x:v>
      </x:c>
      <x:c r="AN210" s="40" t="n">
        <x:f>(W210+X210)/AL210*100</x:f>
        <x:v>74.58344032344291</x:v>
      </x:c>
      <x:c r="AO210" s="28" t="str">
        <x:v>R01-R20; ilgili satırdaki bölgesel fiyat ve maliyet varsayımları</x:v>
      </x:c>
      <x:c r="AP210" s="28" t="str">
        <x:v>Girdi miktarları, alım fiyatı değişimi, fason bedeli ve parti sonucu simüle edilmiştir; işletme kaydı değildir.</x:v>
      </x:c>
    </x:row>
    <x:row r="211" ht="22" customHeight="1">
      <x:c r="A211" t="str">
        <x:v>SUC-0210</x:v>
      </x:c>
      <x:c r="B211" s="36" t="n">
        <x:v>46316</x:v>
      </x:c>
      <x:c r="C211" t="str">
        <x:v>İç Anadolu</x:v>
      </x:c>
      <x:c r="D211" t="str">
        <x:v>MEB_STANDART</x:v>
      </x:c>
      <x:c r="E211" t="str">
        <x:v>Fason</x:v>
      </x:c>
      <x:c r="F211" s="42" t="str">
        <x:v>SENTETİK/SİMÜLE — gerçek parti kaydı değildir</x:v>
      </x:c>
      <x:c r="G211" s="38" t="n">
        <x:v>336.25</x:v>
      </x:c>
      <x:c r="H211" s="38" t="n">
        <x:v>101.421</x:v>
      </x:c>
      <x:c r="I211" s="38" t="n">
        <x:v>21.841</x:v>
      </x:c>
      <x:c r="J211" s="38" t="n">
        <x:v>11.404</x:v>
      </x:c>
      <x:c r="K211" s="38" t="n">
        <x:v>4.765</x:v>
      </x:c>
      <x:c r="L211" s="38" t="n">
        <x:f>SUM(G211:K211)</x:f>
        <x:v>475.681</x:v>
      </x:c>
      <x:c r="M211" s="38" t="n">
        <x:v>583.545</x:v>
      </x:c>
      <x:c r="N211" s="38" t="n">
        <x:v>593.81</x:v>
      </x:c>
      <x:c r="O211" s="38" t="n">
        <x:v>430.7</x:v>
      </x:c>
      <x:c r="P211" s="38" t="n">
        <x:v>400</x:v>
      </x:c>
      <x:c r="Q211" s="38" t="n">
        <x:v>19.88</x:v>
      </x:c>
      <x:c r="R211" s="38" t="n">
        <x:v>43.7475</x:v>
      </x:c>
      <x:c r="S211" s="38" t="n">
        <x:v>87.07</x:v>
      </x:c>
      <x:c r="T211" s="40" t="n">
        <x:v>23.06</x:v>
      </x:c>
      <x:c r="U211" s="40" t="n">
        <x:v>0.69</x:v>
      </x:c>
      <x:c r="V211" s="38" t="n">
        <x:f>L211*(1-T211/100)*(1-U211/100)</x:f>
        <x:v>363.46363756633997</x:v>
      </x:c>
      <x:c r="W211" s="38" t="n">
        <x:f>G211*N211</x:f>
        <x:v>199668.6125</x:v>
      </x:c>
      <x:c r="X211" s="38" t="n">
        <x:f>H211*O211</x:f>
        <x:v>43682.0247</x:v>
      </x:c>
      <x:c r="Y211" s="38" t="n">
        <x:f>I211*P211</x:f>
        <x:v>8736.4</x:v>
      </x:c>
      <x:c r="Z211" s="38" t="n">
        <x:f>J211*Q211+K211*P211</x:f>
        <x:v>2132.71152</x:v>
      </x:c>
      <x:c r="AA211" s="38" t="n">
        <x:f>M211*R211</x:f>
        <x:v>25528.6348875</x:v>
      </x:c>
      <x:c r="AB211" s="38" t="n">
        <x:f>SUM(W211:AA211)</x:f>
        <x:v>279748.3836075</x:v>
      </x:c>
      <x:c r="AC211" s="38" t="n">
        <x:v>31.67</x:v>
      </x:c>
      <x:c r="AD211" s="38" t="n">
        <x:v>174.33</x:v>
      </x:c>
      <x:c r="AE211" s="38" t="n">
        <x:v>131.63</x:v>
      </x:c>
      <x:c r="AF211" s="38" t="n">
        <x:v>4.8148</x:v>
      </x:c>
      <x:c r="AG211" s="38" t="n">
        <x:v>5.73</x:v>
      </x:c>
      <x:c r="AH211" s="38" t="n">
        <x:f>IF(E211="Fason",L211*S211,0)</x:f>
        <x:v>41417.544669999996</x:v>
      </x:c>
      <x:c r="AI211" s="38" t="n">
        <x:f>IF(E211="Kurum içi",AC211*AD211+AE211*AF211+AB211*12%,0)</x:f>
        <x:v>0</x:v>
      </x:c>
      <x:c r="AJ211" s="38" t="n">
        <x:f>V211*AG211</x:f>
        <x:v>2082.6466432551283</x:v>
      </x:c>
      <x:c r="AK211" s="38" t="n">
        <x:f>AB211*2%</x:f>
        <x:v>5594.96767215</x:v>
      </x:c>
      <x:c r="AL211" s="38" t="n">
        <x:f>AB211+AH211+AI211+AJ211+AK211</x:f>
        <x:v>328843.5425929051</x:v>
      </x:c>
      <x:c r="AM211" s="38" t="n">
        <x:f>AL211/V211</x:f>
        <x:v>904.7494951482844</x:v>
      </x:c>
      <x:c r="AN211" s="40" t="n">
        <x:f>(W211+X211)/AL211*100</x:f>
        <x:v>74.00195098288981</x:v>
      </x:c>
      <x:c r="AO211" s="28" t="str">
        <x:v>R01-R20; ilgili satırdaki bölgesel fiyat ve maliyet varsayımları</x:v>
      </x:c>
      <x:c r="AP211" s="28" t="str">
        <x:v>Girdi miktarları, alım fiyatı değişimi, fason bedeli ve parti sonucu simüle edilmiştir; işletme kaydı değildir.</x:v>
      </x:c>
    </x:row>
    <x:row r="212" ht="22" customHeight="1">
      <x:c r="A212" t="str">
        <x:v>SUC-0211</x:v>
      </x:c>
      <x:c r="B212" s="36" t="n">
        <x:v>46286</x:v>
      </x:c>
      <x:c r="C212" t="str">
        <x:v>Akdeniz</x:v>
      </x:c>
      <x:c r="D212" t="str">
        <x:v>ERZURUM_CI</x:v>
      </x:c>
      <x:c r="E212" t="str">
        <x:v>Kurum içi</x:v>
      </x:c>
      <x:c r="F212" s="42" t="str">
        <x:v>SENTETİK/SİMÜLE — gerçek parti kaydı değildir</x:v>
      </x:c>
      <x:c r="G212" s="38" t="n">
        <x:v>53.307</x:v>
      </x:c>
      <x:c r="H212" s="38" t="n">
        <x:v>9.042</x:v>
      </x:c>
      <x:c r="I212" s="38" t="n">
        <x:v>3.06</x:v>
      </x:c>
      <x:c r="J212" s="38" t="n">
        <x:v>0.998</x:v>
      </x:c>
      <x:c r="K212" s="38" t="n">
        <x:v>0.125</x:v>
      </x:c>
      <x:c r="L212" s="38" t="n">
        <x:f>SUM(G212:K212)</x:f>
        <x:v>66.53200000000001</x:v>
      </x:c>
      <x:c r="M212" s="38" t="n">
        <x:v>76.849</x:v>
      </x:c>
      <x:c r="N212" s="38" t="n">
        <x:v>593.64</x:v>
      </x:c>
      <x:c r="O212" s="38" t="n">
        <x:v>461.63</x:v>
      </x:c>
      <x:c r="P212" s="38" t="n">
        <x:v>550</x:v>
      </x:c>
      <x:c r="Q212" s="38" t="n">
        <x:v>19.88</x:v>
      </x:c>
      <x:c r="R212" s="38" t="n">
        <x:v>43.7475</x:v>
      </x:c>
      <x:c r="S212" s="38" t="n">
        <x:v>70.17</x:v>
      </x:c>
      <x:c r="T212" s="40" t="n">
        <x:v>18.55</x:v>
      </x:c>
      <x:c r="U212" s="40" t="n">
        <x:v>0.54</x:v>
      </x:c>
      <x:c r="V212" s="38" t="n">
        <x:f>L212*(1-T212/100)*(1-U212/100)</x:f>
        <x:v>53.89768630440001</x:v>
      </x:c>
      <x:c r="W212" s="38" t="n">
        <x:f>G212*N212</x:f>
        <x:v>31645.16748</x:v>
      </x:c>
      <x:c r="X212" s="38" t="n">
        <x:f>H212*O212</x:f>
        <x:v>4174.05846</x:v>
      </x:c>
      <x:c r="Y212" s="38" t="n">
        <x:f>I212*P212</x:f>
        <x:v>1683</x:v>
      </x:c>
      <x:c r="Z212" s="38" t="n">
        <x:f>J212*Q212+K212*P212</x:f>
        <x:v>88.59024</x:v>
      </x:c>
      <x:c r="AA212" s="38" t="n">
        <x:f>M212*R212</x:f>
        <x:v>3361.9516275000005</x:v>
      </x:c>
      <x:c r="AB212" s="38" t="n">
        <x:f>SUM(W212:AA212)</x:f>
        <x:v>40952.7678075</x:v>
      </x:c>
      <x:c r="AC212" s="38" t="n">
        <x:v>4.38</x:v>
      </x:c>
      <x:c r="AD212" s="38" t="n">
        <x:v>174.33</x:v>
      </x:c>
      <x:c r="AE212" s="38" t="n">
        <x:v>15.33</x:v>
      </x:c>
      <x:c r="AF212" s="38" t="n">
        <x:v>4.8148</x:v>
      </x:c>
      <x:c r="AG212" s="38" t="n">
        <x:v>5.14</x:v>
      </x:c>
      <x:c r="AH212" s="38" t="n">
        <x:f>IF(E212="Fason",L212*S212,0)</x:f>
        <x:v>0</x:v>
      </x:c>
      <x:c r="AI212" s="38" t="n">
        <x:f>IF(E212="Kurum içi",AC212*AD212+AE212*AF212+AB212*12%,0)</x:f>
        <x:v>5751.7084208999995</x:v>
      </x:c>
      <x:c r="AJ212" s="38" t="n">
        <x:f>V212*AG212</x:f>
        <x:v>277.03410760461605</x:v>
      </x:c>
      <x:c r="AK212" s="38" t="n">
        <x:f>AB212*2%</x:f>
        <x:v>819.0553561500001</x:v>
      </x:c>
      <x:c r="AL212" s="38" t="n">
        <x:f>AB212+AH212+AI212+AJ212+AK212</x:f>
        <x:v>47800.56569215462</x:v>
      </x:c>
      <x:c r="AM212" s="38" t="n">
        <x:f>AL212/V212</x:f>
        <x:v>886.8760232524555</x:v>
      </x:c>
      <x:c r="AN212" s="40" t="n">
        <x:f>(W212+X212)/AL212*100</x:f>
        <x:v>74.93473230146085</x:v>
      </x:c>
      <x:c r="AO212" s="28" t="str">
        <x:v>R01-R20; ilgili satırdaki bölgesel fiyat ve maliyet varsayımları</x:v>
      </x:c>
      <x:c r="AP212" s="28" t="str">
        <x:v>Girdi miktarları, alım fiyatı değişimi, fason bedeli ve parti sonucu simüle edilmiştir; işletme kaydı değildir.</x:v>
      </x:c>
    </x:row>
    <x:row r="213" ht="22" customHeight="1">
      <x:c r="A213" t="str">
        <x:v>SUC-0212</x:v>
      </x:c>
      <x:c r="B213" s="36" t="n">
        <x:v>46274</x:v>
      </x:c>
      <x:c r="C213" t="str">
        <x:v>Doğu Anadolu</x:v>
      </x:c>
      <x:c r="D213" t="str">
        <x:v>MEB_STANDART</x:v>
      </x:c>
      <x:c r="E213" t="str">
        <x:v>Kurum içi</x:v>
      </x:c>
      <x:c r="F213" s="42" t="str">
        <x:v>SENTETİK/SİMÜLE — gerçek parti kaydı değildir</x:v>
      </x:c>
      <x:c r="G213" s="38" t="n">
        <x:v>149.522</x:v>
      </x:c>
      <x:c r="H213" s="38" t="n">
        <x:v>47.737</x:v>
      </x:c>
      <x:c r="I213" s="38" t="n">
        <x:v>9.686</x:v>
      </x:c>
      <x:c r="J213" s="38" t="n">
        <x:v>5.291</x:v>
      </x:c>
      <x:c r="K213" s="38" t="n">
        <x:v>1.87</x:v>
      </x:c>
      <x:c r="L213" s="38" t="n">
        <x:f>SUM(G213:K213)</x:f>
        <x:v>214.106</x:v>
      </x:c>
      <x:c r="M213" s="38" t="n">
        <x:v>280.223</x:v>
      </x:c>
      <x:c r="N213" s="38" t="n">
        <x:v>584.9</x:v>
      </x:c>
      <x:c r="O213" s="38" t="n">
        <x:v>471.62</x:v>
      </x:c>
      <x:c r="P213" s="38" t="n">
        <x:v>669.9</x:v>
      </x:c>
      <x:c r="Q213" s="38" t="n">
        <x:v>19.88</x:v>
      </x:c>
      <x:c r="R213" s="38" t="n">
        <x:v>43.7475</x:v>
      </x:c>
      <x:c r="S213" s="38" t="n">
        <x:v>91.59</x:v>
      </x:c>
      <x:c r="T213" s="40" t="n">
        <x:v>18.27</x:v>
      </x:c>
      <x:c r="U213" s="40" t="n">
        <x:v>0.97</x:v>
      </x:c>
      <x:c r="V213" s="38" t="n">
        <x:f>L213*(1-T213/100)*(1-U213/100)</x:f>
        <x:v>173.29144211214</x:v>
      </x:c>
      <x:c r="W213" s="38" t="n">
        <x:f>G213*N213</x:f>
        <x:v>87455.4178</x:v>
      </x:c>
      <x:c r="X213" s="38" t="n">
        <x:f>H213*O213</x:f>
        <x:v>22513.72394</x:v>
      </x:c>
      <x:c r="Y213" s="38" t="n">
        <x:f>I213*P213</x:f>
        <x:v>6488.6514</x:v>
      </x:c>
      <x:c r="Z213" s="38" t="n">
        <x:f>J213*Q213+K213*P213</x:f>
        <x:v>1357.89808</x:v>
      </x:c>
      <x:c r="AA213" s="38" t="n">
        <x:f>M213*R213</x:f>
        <x:v>12259.055692500002</x:v>
      </x:c>
      <x:c r="AB213" s="38" t="n">
        <x:f>SUM(W213:AA213)</x:f>
        <x:v>130074.74691249999</x:v>
      </x:c>
      <x:c r="AC213" s="38" t="n">
        <x:v>12.58</x:v>
      </x:c>
      <x:c r="AD213" s="38" t="n">
        <x:v>174.33</x:v>
      </x:c>
      <x:c r="AE213" s="38" t="n">
        <x:v>54.94</x:v>
      </x:c>
      <x:c r="AF213" s="38" t="n">
        <x:v>4.8148</x:v>
      </x:c>
      <x:c r="AG213" s="38" t="n">
        <x:v>5.14</x:v>
      </x:c>
      <x:c r="AH213" s="38" t="n">
        <x:f>IF(E213="Fason",L213*S213,0)</x:f>
        <x:v>0</x:v>
      </x:c>
      <x:c r="AI213" s="38" t="n">
        <x:f>IF(E213="Kurum içi",AC213*AD213+AE213*AF213+AB213*12%,0)</x:f>
        <x:v>18066.5661415</x:v>
      </x:c>
      <x:c r="AJ213" s="38" t="n">
        <x:f>V213*AG213</x:f>
        <x:v>890.7180124563996</x:v>
      </x:c>
      <x:c r="AK213" s="38" t="n">
        <x:f>AB213*2%</x:f>
        <x:v>2601.49493825</x:v>
      </x:c>
      <x:c r="AL213" s="38" t="n">
        <x:f>AB213+AH213+AI213+AJ213+AK213</x:f>
        <x:v>151633.5260047064</x:v>
      </x:c>
      <x:c r="AM213" s="38" t="n">
        <x:f>AL213/V213</x:f>
        <x:v>875.0202788812942</x:v>
      </x:c>
      <x:c r="AN213" s="40" t="n">
        <x:f>(W213+X213)/AL213*100</x:f>
        <x:v>72.52297340667708</x:v>
      </x:c>
      <x:c r="AO213" s="28" t="str">
        <x:v>R01-R20; ilgili satırdaki bölgesel fiyat ve maliyet varsayımları</x:v>
      </x:c>
      <x:c r="AP213" s="28" t="str">
        <x:v>Girdi miktarları, alım fiyatı değişimi, fason bedeli ve parti sonucu simüle edilmiştir; işletme kaydı değildir.</x:v>
      </x:c>
    </x:row>
    <x:row r="214" ht="22" customHeight="1">
      <x:c r="A214" t="str">
        <x:v>SUC-0213</x:v>
      </x:c>
      <x:c r="B214" s="36" t="n">
        <x:v>46277</x:v>
      </x:c>
      <x:c r="C214" t="str">
        <x:v>Marmara</x:v>
      </x:c>
      <x:c r="D214" t="str">
        <x:v>ERZURUM_CI</x:v>
      </x:c>
      <x:c r="E214" t="str">
        <x:v>Kurum içi</x:v>
      </x:c>
      <x:c r="F214" s="42" t="str">
        <x:v>SENTETİK/SİMÜLE — gerçek parti kaydı değildir</x:v>
      </x:c>
      <x:c r="G214" s="38" t="n">
        <x:v>364.031</x:v>
      </x:c>
      <x:c r="H214" s="38" t="n">
        <x:v>66.993</x:v>
      </x:c>
      <x:c r="I214" s="38" t="n">
        <x:v>21.99</x:v>
      </x:c>
      <x:c r="J214" s="38" t="n">
        <x:v>6.343</x:v>
      </x:c>
      <x:c r="K214" s="38" t="n">
        <x:v>0.726</x:v>
      </x:c>
      <x:c r="L214" s="38" t="n">
        <x:f>SUM(G214:K214)</x:f>
        <x:v>460.083</x:v>
      </x:c>
      <x:c r="M214" s="38" t="n">
        <x:v>542.59</x:v>
      </x:c>
      <x:c r="N214" s="38" t="n">
        <x:v>619.81</x:v>
      </x:c>
      <x:c r="O214" s="38" t="n">
        <x:v>480.78</x:v>
      </x:c>
      <x:c r="P214" s="38" t="n">
        <x:v>400</x:v>
      </x:c>
      <x:c r="Q214" s="38" t="n">
        <x:v>19.88</x:v>
      </x:c>
      <x:c r="R214" s="38" t="n">
        <x:v>43.7475</x:v>
      </x:c>
      <x:c r="S214" s="38" t="n">
        <x:v>85.14</x:v>
      </x:c>
      <x:c r="T214" s="40" t="n">
        <x:v>22.02</x:v>
      </x:c>
      <x:c r="U214" s="40" t="n">
        <x:v>1.33</x:v>
      </x:c>
      <x:c r="V214" s="38" t="n">
        <x:f>L214*(1-T214/100)*(1-U214/100)</x:f>
        <x:v>354.00104617878003</x:v>
      </x:c>
      <x:c r="W214" s="38" t="n">
        <x:f>G214*N214</x:f>
        <x:v>225630.05411</x:v>
      </x:c>
      <x:c r="X214" s="38" t="n">
        <x:f>H214*O214</x:f>
        <x:v>32208.894539999998</x:v>
      </x:c>
      <x:c r="Y214" s="38" t="n">
        <x:f>I214*P214</x:f>
        <x:v>8796</x:v>
      </x:c>
      <x:c r="Z214" s="38" t="n">
        <x:f>J214*Q214+K214*P214</x:f>
        <x:v>416.49884</x:v>
      </x:c>
      <x:c r="AA214" s="38" t="n">
        <x:f>M214*R214</x:f>
        <x:v>23736.956025000003</x:v>
      </x:c>
      <x:c r="AB214" s="38" t="n">
        <x:f>SUM(W214:AA214)</x:f>
        <x:v>290788.4035150001</x:v>
      </x:c>
      <x:c r="AC214" s="38" t="n">
        <x:v>28.98</x:v>
      </x:c>
      <x:c r="AD214" s="38" t="n">
        <x:v>174.33</x:v>
      </x:c>
      <x:c r="AE214" s="38" t="n">
        <x:v>126.62</x:v>
      </x:c>
      <x:c r="AF214" s="38" t="n">
        <x:v>4.8148</x:v>
      </x:c>
      <x:c r="AG214" s="38" t="n">
        <x:v>5.29</x:v>
      </x:c>
      <x:c r="AH214" s="38" t="n">
        <x:f>IF(E214="Fason",L214*S214,0)</x:f>
        <x:v>0</x:v>
      </x:c>
      <x:c r="AI214" s="38" t="n">
        <x:f>IF(E214="Kurum içi",AC214*AD214+AE214*AF214+AB214*12%,0)</x:f>
        <x:v>40556.34179780001</x:v>
      </x:c>
      <x:c r="AJ214" s="38" t="n">
        <x:f>V214*AG214</x:f>
        <x:v>1872.6655342857464</x:v>
      </x:c>
      <x:c r="AK214" s="38" t="n">
        <x:f>AB214*2%</x:f>
        <x:v>5815.768070300001</x:v>
      </x:c>
      <x:c r="AL214" s="38" t="n">
        <x:f>AB214+AH214+AI214+AJ214+AK214</x:f>
        <x:v>339033.1789173858</x:v>
      </x:c>
      <x:c r="AM214" s="38" t="n">
        <x:f>AL214/V214</x:f>
        <x:v>957.718014048368</x:v>
      </x:c>
      <x:c r="AN214" s="40" t="n">
        <x:f>(W214+X214)/AL214*100</x:f>
        <x:v>76.05124356068677</x:v>
      </x:c>
      <x:c r="AO214" s="28" t="str">
        <x:v>R01-R20; ilgili satırdaki bölgesel fiyat ve maliyet varsayımları</x:v>
      </x:c>
      <x:c r="AP214" s="28" t="str">
        <x:v>Girdi miktarları, alım fiyatı değişimi, fason bedeli ve parti sonucu simüle edilmiştir; işletme kaydı değildir.</x:v>
      </x:c>
    </x:row>
    <x:row r="215" ht="22" customHeight="1">
      <x:c r="A215" t="str">
        <x:v>SUC-0214</x:v>
      </x:c>
      <x:c r="B215" s="36" t="n">
        <x:v>46284</x:v>
      </x:c>
      <x:c r="C215" t="str">
        <x:v>Ege</x:v>
      </x:c>
      <x:c r="D215" t="str">
        <x:v>MEB_STANDART</x:v>
      </x:c>
      <x:c r="E215" t="str">
        <x:v>Kurum içi</x:v>
      </x:c>
      <x:c r="F215" s="42" t="str">
        <x:v>SENTETİK/SİMÜLE — gerçek parti kaydı değildir</x:v>
      </x:c>
      <x:c r="G215" s="38" t="n">
        <x:v>185.16</x:v>
      </x:c>
      <x:c r="H215" s="38" t="n">
        <x:v>59.828</x:v>
      </x:c>
      <x:c r="I215" s="38" t="n">
        <x:v>12.504</x:v>
      </x:c>
      <x:c r="J215" s="38" t="n">
        <x:v>7.072</x:v>
      </x:c>
      <x:c r="K215" s="38" t="n">
        <x:v>2.626</x:v>
      </x:c>
      <x:c r="L215" s="38" t="n">
        <x:f>SUM(G215:K215)</x:f>
        <x:v>267.19</x:v>
      </x:c>
      <x:c r="M215" s="38" t="n">
        <x:v>332.264</x:v>
      </x:c>
      <x:c r="N215" s="38" t="n">
        <x:v>607.29</x:v>
      </x:c>
      <x:c r="O215" s="38" t="n">
        <x:v>481.54</x:v>
      </x:c>
      <x:c r="P215" s="38" t="n">
        <x:v>550</x:v>
      </x:c>
      <x:c r="Q215" s="38" t="n">
        <x:v>19.88</x:v>
      </x:c>
      <x:c r="R215" s="38" t="n">
        <x:v>43.7475</x:v>
      </x:c>
      <x:c r="S215" s="38" t="n">
        <x:v>80.24</x:v>
      </x:c>
      <x:c r="T215" s="40" t="n">
        <x:v>25.19</x:v>
      </x:c>
      <x:c r="U215" s="40" t="n">
        <x:v>0.79</x:v>
      </x:c>
      <x:c r="V215" s="38" t="n">
        <x:f>L215*(1-T215/100)*(1-U215/100)</x:f>
        <x:v>198.3057487719</x:v>
      </x:c>
      <x:c r="W215" s="38" t="n">
        <x:f>G215*N215</x:f>
        <x:v>112445.8164</x:v>
      </x:c>
      <x:c r="X215" s="38" t="n">
        <x:f>H215*O215</x:f>
        <x:v>28809.57512</x:v>
      </x:c>
      <x:c r="Y215" s="38" t="n">
        <x:f>I215*P215</x:f>
        <x:v>6877.2</x:v>
      </x:c>
      <x:c r="Z215" s="38" t="n">
        <x:f>J215*Q215+K215*P215</x:f>
        <x:v>1584.8913599999998</x:v>
      </x:c>
      <x:c r="AA215" s="38" t="n">
        <x:f>M215*R215</x:f>
        <x:v>14535.719340000001</x:v>
      </x:c>
      <x:c r="AB215" s="38" t="n">
        <x:f>SUM(W215:AA215)</x:f>
        <x:v>164253.20222000004</x:v>
      </x:c>
      <x:c r="AC215" s="38" t="n">
        <x:v>12.27</x:v>
      </x:c>
      <x:c r="AD215" s="38" t="n">
        <x:v>174.33</x:v>
      </x:c>
      <x:c r="AE215" s="38" t="n">
        <x:v>80.05</x:v>
      </x:c>
      <x:c r="AF215" s="38" t="n">
        <x:v>4.8148</x:v>
      </x:c>
      <x:c r="AG215" s="38" t="n">
        <x:v>5.68</x:v>
      </x:c>
      <x:c r="AH215" s="38" t="n">
        <x:f>IF(E215="Fason",L215*S215,0)</x:f>
        <x:v>0</x:v>
      </x:c>
      <x:c r="AI215" s="38" t="n">
        <x:f>IF(E215="Kurum içi",AC215*AD215+AE215*AF215+AB215*12%,0)</x:f>
        <x:v>22234.838106400006</x:v>
      </x:c>
      <x:c r="AJ215" s="38" t="n">
        <x:f>V215*AG215</x:f>
        <x:v>1126.376653024392</x:v>
      </x:c>
      <x:c r="AK215" s="38" t="n">
        <x:f>AB215*2%</x:f>
        <x:v>3285.064044400001</x:v>
      </x:c>
      <x:c r="AL215" s="38" t="n">
        <x:f>AB215+AH215+AI215+AJ215+AK215</x:f>
        <x:v>190899.48102382445</x:v>
      </x:c>
      <x:c r="AM215" s="38" t="n">
        <x:f>AL215/V215</x:f>
        <x:v>962.6522791500383</x:v>
      </x:c>
      <x:c r="AN215" s="40" t="n">
        <x:f>(W215+X215)/AL215*100</x:f>
        <x:v>73.9946440725898</x:v>
      </x:c>
      <x:c r="AO215" s="28" t="str">
        <x:v>R01-R20; ilgili satırdaki bölgesel fiyat ve maliyet varsayımları</x:v>
      </x:c>
      <x:c r="AP215" s="28" t="str">
        <x:v>Girdi miktarları, alım fiyatı değişimi, fason bedeli ve parti sonucu simüle edilmiştir; işletme kaydı değildir.</x:v>
      </x:c>
    </x:row>
    <x:row r="216" ht="22" customHeight="1">
      <x:c r="A216" t="str">
        <x:v>SUC-0215</x:v>
      </x:c>
      <x:c r="B216" s="36" t="n">
        <x:v>46311</x:v>
      </x:c>
      <x:c r="C216" t="str">
        <x:v>Güneydoğu Anadolu</x:v>
      </x:c>
      <x:c r="D216" t="str">
        <x:v>MEB_STANDART</x:v>
      </x:c>
      <x:c r="E216" t="str">
        <x:v>Kurum içi</x:v>
      </x:c>
      <x:c r="F216" s="42" t="str">
        <x:v>SENTETİK/SİMÜLE — gerçek parti kaydı değildir</x:v>
      </x:c>
      <x:c r="G216" s="38" t="n">
        <x:v>107.565</x:v>
      </x:c>
      <x:c r="H216" s="38" t="n">
        <x:v>35.266</x:v>
      </x:c>
      <x:c r="I216" s="38" t="n">
        <x:v>7.32</x:v>
      </x:c>
      <x:c r="J216" s="38" t="n">
        <x:v>3.616</x:v>
      </x:c>
      <x:c r="K216" s="38" t="n">
        <x:v>1.567</x:v>
      </x:c>
      <x:c r="L216" s="38" t="n">
        <x:f>SUM(G216:K216)</x:f>
        <x:v>155.334</x:v>
      </x:c>
      <x:c r="M216" s="38" t="n">
        <x:v>197.398</x:v>
      </x:c>
      <x:c r="N216" s="38" t="n">
        <x:v>573.77</x:v>
      </x:c>
      <x:c r="O216" s="38" t="n">
        <x:v>449.92</x:v>
      </x:c>
      <x:c r="P216" s="38" t="n">
        <x:v>400</x:v>
      </x:c>
      <x:c r="Q216" s="38" t="n">
        <x:v>19.88</x:v>
      </x:c>
      <x:c r="R216" s="38" t="n">
        <x:v>43.7475</x:v>
      </x:c>
      <x:c r="S216" s="38" t="n">
        <x:v>97.08</x:v>
      </x:c>
      <x:c r="T216" s="40" t="n">
        <x:v>20.22</x:v>
      </x:c>
      <x:c r="U216" s="40" t="n">
        <x:v>1.51</x:v>
      </x:c>
      <x:c r="V216" s="38" t="n">
        <x:f>L216*(1-T216/100)*(1-U216/100)</x:f>
        <x:v>122.05419067548002</x:v>
      </x:c>
      <x:c r="W216" s="38" t="n">
        <x:f>G216*N216</x:f>
        <x:v>61717.570049999995</x:v>
      </x:c>
      <x:c r="X216" s="38" t="n">
        <x:f>H216*O216</x:f>
        <x:v>15866.87872</x:v>
      </x:c>
      <x:c r="Y216" s="38" t="n">
        <x:f>I216*P216</x:f>
        <x:v>2928</x:v>
      </x:c>
      <x:c r="Z216" s="38" t="n">
        <x:f>J216*Q216+K216*P216</x:f>
        <x:v>698.68608</x:v>
      </x:c>
      <x:c r="AA216" s="38" t="n">
        <x:f>M216*R216</x:f>
        <x:v>8635.669005</x:v>
      </x:c>
      <x:c r="AB216" s="38" t="n">
        <x:f>SUM(W216:AA216)</x:f>
        <x:v>89846.80385499999</x:v>
      </x:c>
      <x:c r="AC216" s="38" t="n">
        <x:v>8.59</x:v>
      </x:c>
      <x:c r="AD216" s="38" t="n">
        <x:v>174.33</x:v>
      </x:c>
      <x:c r="AE216" s="38" t="n">
        <x:v>43.67</x:v>
      </x:c>
      <x:c r="AF216" s="38" t="n">
        <x:v>4.8148</x:v>
      </x:c>
      <x:c r="AG216" s="38" t="n">
        <x:v>5.71</x:v>
      </x:c>
      <x:c r="AH216" s="38" t="n">
        <x:f>IF(E216="Fason",L216*S216,0)</x:f>
        <x:v>0</x:v>
      </x:c>
      <x:c r="AI216" s="38" t="n">
        <x:f>IF(E216="Kurum içi",AC216*AD216+AE216*AF216+AB216*12%,0)</x:f>
        <x:v>12489.373478599999</x:v>
      </x:c>
      <x:c r="AJ216" s="38" t="n">
        <x:f>V216*AG216</x:f>
        <x:v>696.9294287569909</x:v>
      </x:c>
      <x:c r="AK216" s="38" t="n">
        <x:f>AB216*2%</x:f>
        <x:v>1796.9360771</x:v>
      </x:c>
      <x:c r="AL216" s="38" t="n">
        <x:f>AB216+AH216+AI216+AJ216+AK216</x:f>
        <x:v>104830.04283945699</x:v>
      </x:c>
      <x:c r="AM216" s="38" t="n">
        <x:f>AL216/V216</x:f>
        <x:v>858.8811433618129</x:v>
      </x:c>
      <x:c r="AN216" s="40" t="n">
        <x:f>(W216+X216)/AL216*100</x:f>
        <x:v>74.0097463174917</x:v>
      </x:c>
      <x:c r="AO216" s="28" t="str">
        <x:v>R01-R20; ilgili satırdaki bölgesel fiyat ve maliyet varsayımları</x:v>
      </x:c>
      <x:c r="AP216" s="28" t="str">
        <x:v>Girdi miktarları, alım fiyatı değişimi, fason bedeli ve parti sonucu simüle edilmiştir; işletme kaydı değildir.</x:v>
      </x:c>
    </x:row>
    <x:row r="217" ht="22" customHeight="1">
      <x:c r="A217" t="str">
        <x:v>SUC-0216</x:v>
      </x:c>
      <x:c r="B217" s="36" t="n">
        <x:v>46295</x:v>
      </x:c>
      <x:c r="C217" t="str">
        <x:v>Akdeniz</x:v>
      </x:c>
      <x:c r="D217" t="str">
        <x:v>ERZURUM_CI</x:v>
      </x:c>
      <x:c r="E217" t="str">
        <x:v>Kurum içi</x:v>
      </x:c>
      <x:c r="F217" s="42" t="str">
        <x:v>SENTETİK/SİMÜLE — gerçek parti kaydı değildir</x:v>
      </x:c>
      <x:c r="G217" s="38" t="n">
        <x:v>230.382</x:v>
      </x:c>
      <x:c r="H217" s="38" t="n">
        <x:v>42.336</x:v>
      </x:c>
      <x:c r="I217" s="38" t="n">
        <x:v>12.68</x:v>
      </x:c>
      <x:c r="J217" s="38" t="n">
        <x:v>4.918</x:v>
      </x:c>
      <x:c r="K217" s="38" t="n">
        <x:v>0.315</x:v>
      </x:c>
      <x:c r="L217" s="38" t="n">
        <x:f>SUM(G217:K217)</x:f>
        <x:v>290.63100000000003</x:v>
      </x:c>
      <x:c r="M217" s="38" t="n">
        <x:v>348.456</x:v>
      </x:c>
      <x:c r="N217" s="38" t="n">
        <x:v>593.79</x:v>
      </x:c>
      <x:c r="O217" s="38" t="n">
        <x:v>437.07</x:v>
      </x:c>
      <x:c r="P217" s="38" t="n">
        <x:v>550</x:v>
      </x:c>
      <x:c r="Q217" s="38" t="n">
        <x:v>19.88</x:v>
      </x:c>
      <x:c r="R217" s="38" t="n">
        <x:v>43.7475</x:v>
      </x:c>
      <x:c r="S217" s="38" t="n">
        <x:v>109.09</x:v>
      </x:c>
      <x:c r="T217" s="40" t="n">
        <x:v>23.59</x:v>
      </x:c>
      <x:c r="U217" s="40" t="n">
        <x:v>1.68</x:v>
      </x:c>
      <x:c r="V217" s="38" t="n">
        <x:f>L217*(1-T217/100)*(1-U217/100)</x:f>
        <x:v>218.34035182872</x:v>
      </x:c>
      <x:c r="W217" s="38" t="n">
        <x:f>G217*N217</x:f>
        <x:v>136798.52778</x:v>
      </x:c>
      <x:c r="X217" s="38" t="n">
        <x:f>H217*O217</x:f>
        <x:v>18503.79552</x:v>
      </x:c>
      <x:c r="Y217" s="38" t="n">
        <x:f>I217*P217</x:f>
        <x:v>6974</x:v>
      </x:c>
      <x:c r="Z217" s="38" t="n">
        <x:f>J217*Q217+K217*P217</x:f>
        <x:v>271.01984</x:v>
      </x:c>
      <x:c r="AA217" s="38" t="n">
        <x:f>M217*R217</x:f>
        <x:v>15244.078860000001</x:v>
      </x:c>
      <x:c r="AB217" s="38" t="n">
        <x:f>SUM(W217:AA217)</x:f>
        <x:v>177791.422</x:v>
      </x:c>
      <x:c r="AC217" s="38" t="n">
        <x:v>20.09</x:v>
      </x:c>
      <x:c r="AD217" s="38" t="n">
        <x:v>174.33</x:v>
      </x:c>
      <x:c r="AE217" s="38" t="n">
        <x:v>98.34</x:v>
      </x:c>
      <x:c r="AF217" s="38" t="n">
        <x:v>4.8148</x:v>
      </x:c>
      <x:c r="AG217" s="38" t="n">
        <x:v>5.23</x:v>
      </x:c>
      <x:c r="AH217" s="38" t="n">
        <x:f>IF(E217="Fason",L217*S217,0)</x:f>
        <x:v>0</x:v>
      </x:c>
      <x:c r="AI217" s="38" t="n">
        <x:f>IF(E217="Kurum içi",AC217*AD217+AE217*AF217+AB217*12%,0)</x:f>
        <x:v>25310.747772</x:v>
      </x:c>
      <x:c r="AJ217" s="38" t="n">
        <x:f>V217*AG217</x:f>
        <x:v>1141.9200400642058</x:v>
      </x:c>
      <x:c r="AK217" s="38" t="n">
        <x:f>AB217*2%</x:f>
        <x:v>3555.82844</x:v>
      </x:c>
      <x:c r="AL217" s="38" t="n">
        <x:f>AB217+AH217+AI217+AJ217+AK217</x:f>
        <x:v>207799.9182520642</x:v>
      </x:c>
      <x:c r="AM217" s="38" t="n">
        <x:f>AL217/V217</x:f>
        <x:v>951.7247568377815</x:v>
      </x:c>
      <x:c r="AN217" s="40" t="n">
        <x:f>(W217+X217)/AL217*100</x:f>
        <x:v>74.73646987272444</x:v>
      </x:c>
      <x:c r="AO217" s="28" t="str">
        <x:v>R01-R20; ilgili satırdaki bölgesel fiyat ve maliyet varsayımları</x:v>
      </x:c>
      <x:c r="AP217" s="28" t="str">
        <x:v>Girdi miktarları, alım fiyatı değişimi, fason bedeli ve parti sonucu simüle edilmiştir; işletme kaydı değildir.</x:v>
      </x:c>
    </x:row>
    <x:row r="218" ht="22" customHeight="1">
      <x:c r="A218" t="str">
        <x:v>SUC-0217</x:v>
      </x:c>
      <x:c r="B218" s="36" t="n">
        <x:v>46285</x:v>
      </x:c>
      <x:c r="C218" t="str">
        <x:v>Karadeniz</x:v>
      </x:c>
      <x:c r="D218" t="str">
        <x:v>ERZURUM_CI</x:v>
      </x:c>
      <x:c r="E218" t="str">
        <x:v>Fason</x:v>
      </x:c>
      <x:c r="F218" s="42" t="str">
        <x:v>SENTETİK/SİMÜLE — gerçek parti kaydı değildir</x:v>
      </x:c>
      <x:c r="G218" s="38" t="n">
        <x:v>243.859</x:v>
      </x:c>
      <x:c r="H218" s="38" t="n">
        <x:v>40.961</x:v>
      </x:c>
      <x:c r="I218" s="38" t="n">
        <x:v>14.318</x:v>
      </x:c>
      <x:c r="J218" s="38" t="n">
        <x:v>5.272</x:v>
      </x:c>
      <x:c r="K218" s="38" t="n">
        <x:v>0.534</x:v>
      </x:c>
      <x:c r="L218" s="38" t="n">
        <x:f>SUM(G218:K218)</x:f>
        <x:v>304.94399999999996</x:v>
      </x:c>
      <x:c r="M218" s="38" t="n">
        <x:v>385.132</x:v>
      </x:c>
      <x:c r="N218" s="38" t="n">
        <x:v>619.12</x:v>
      </x:c>
      <x:c r="O218" s="38" t="n">
        <x:v>444.58</x:v>
      </x:c>
      <x:c r="P218" s="38" t="n">
        <x:v>669.9</x:v>
      </x:c>
      <x:c r="Q218" s="38" t="n">
        <x:v>19.88</x:v>
      </x:c>
      <x:c r="R218" s="38" t="n">
        <x:v>43.7475</x:v>
      </x:c>
      <x:c r="S218" s="38" t="n">
        <x:v>77.65</x:v>
      </x:c>
      <x:c r="T218" s="40" t="n">
        <x:v>17.13</x:v>
      </x:c>
      <x:c r="U218" s="40" t="n">
        <x:v>0.41</x:v>
      </x:c>
      <x:c r="V218" s="38" t="n">
        <x:f>L218*(1-T218/100)*(1-U218/100)</x:f>
        <x:v>251.67099371951997</x:v>
      </x:c>
      <x:c r="W218" s="38" t="n">
        <x:f>G218*N218</x:f>
        <x:v>150977.98408</x:v>
      </x:c>
      <x:c r="X218" s="38" t="n">
        <x:f>H218*O218</x:f>
        <x:v>18210.44138</x:v>
      </x:c>
      <x:c r="Y218" s="38" t="n">
        <x:f>I218*P218</x:f>
        <x:v>9591.6282</x:v>
      </x:c>
      <x:c r="Z218" s="38" t="n">
        <x:f>J218*Q218+K218*P218</x:f>
        <x:v>462.53396000000004</x:v>
      </x:c>
      <x:c r="AA218" s="38" t="n">
        <x:f>M218*R218</x:f>
        <x:v>16848.56217</x:v>
      </x:c>
      <x:c r="AB218" s="38" t="n">
        <x:f>SUM(W218:AA218)</x:f>
        <x:v>196091.14979</x:v>
      </x:c>
      <x:c r="AC218" s="38" t="n">
        <x:v>17.95</x:v>
      </x:c>
      <x:c r="AD218" s="38" t="n">
        <x:v>174.33</x:v>
      </x:c>
      <x:c r="AE218" s="38" t="n">
        <x:v>138.1</x:v>
      </x:c>
      <x:c r="AF218" s="38" t="n">
        <x:v>4.8148</x:v>
      </x:c>
      <x:c r="AG218" s="38" t="n">
        <x:v>5.64</x:v>
      </x:c>
      <x:c r="AH218" s="38" t="n">
        <x:f>IF(E218="Fason",L218*S218,0)</x:f>
        <x:v>23678.901599999997</x:v>
      </x:c>
      <x:c r="AI218" s="38" t="n">
        <x:f>IF(E218="Kurum içi",AC218*AD218+AE218*AF218+AB218*12%,0)</x:f>
        <x:v>0</x:v>
      </x:c>
      <x:c r="AJ218" s="38" t="n">
        <x:f>V218*AG218</x:f>
        <x:v>1419.4244045780927</x:v>
      </x:c>
      <x:c r="AK218" s="38" t="n">
        <x:f>AB218*2%</x:f>
        <x:v>3921.8229958</x:v>
      </x:c>
      <x:c r="AL218" s="38" t="n">
        <x:f>AB218+AH218+AI218+AJ218+AK218</x:f>
        <x:v>225111.29879037806</x:v>
      </x:c>
      <x:c r="AM218" s="38" t="n">
        <x:f>AL218/V218</x:f>
        <x:v>894.466602858723</x:v>
      </x:c>
      <x:c r="AN218" s="40" t="n">
        <x:f>(W218+X218)/AL218*100</x:f>
        <x:v>75.15767816592226</x:v>
      </x:c>
      <x:c r="AO218" s="28" t="str">
        <x:v>R01-R20; ilgili satırdaki bölgesel fiyat ve maliyet varsayımları</x:v>
      </x:c>
      <x:c r="AP218" s="28" t="str">
        <x:v>Girdi miktarları, alım fiyatı değişimi, fason bedeli ve parti sonucu simüle edilmiştir; işletme kaydı değildir.</x:v>
      </x:c>
    </x:row>
    <x:row r="219" ht="22" customHeight="1">
      <x:c r="A219" t="str">
        <x:v>SUC-0218</x:v>
      </x:c>
      <x:c r="B219" s="36" t="n">
        <x:v>46285</x:v>
      </x:c>
      <x:c r="C219" t="str">
        <x:v>Güneydoğu Anadolu</x:v>
      </x:c>
      <x:c r="D219" t="str">
        <x:v>ERZURUM_CI</x:v>
      </x:c>
      <x:c r="E219" t="str">
        <x:v>Kurum içi</x:v>
      </x:c>
      <x:c r="F219" s="42" t="str">
        <x:v>SENTETİK/SİMÜLE — gerçek parti kaydı değildir</x:v>
      </x:c>
      <x:c r="G219" s="38" t="n">
        <x:v>310.627</x:v>
      </x:c>
      <x:c r="H219" s="38" t="n">
        <x:v>57.929</x:v>
      </x:c>
      <x:c r="I219" s="38" t="n">
        <x:v>18.049</x:v>
      </x:c>
      <x:c r="J219" s="38" t="n">
        <x:v>6.714</x:v>
      </x:c>
      <x:c r="K219" s="38" t="n">
        <x:v>0.878</x:v>
      </x:c>
      <x:c r="L219" s="38" t="n">
        <x:f>SUM(G219:K219)</x:f>
        <x:v>394.197</x:v>
      </x:c>
      <x:c r="M219" s="38" t="n">
        <x:v>482.66</x:v>
      </x:c>
      <x:c r="N219" s="38" t="n">
        <x:v>575.48</x:v>
      </x:c>
      <x:c r="O219" s="38" t="n">
        <x:v>472.68</x:v>
      </x:c>
      <x:c r="P219" s="38" t="n">
        <x:v>669.9</x:v>
      </x:c>
      <x:c r="Q219" s="38" t="n">
        <x:v>19.88</x:v>
      </x:c>
      <x:c r="R219" s="38" t="n">
        <x:v>43.7475</x:v>
      </x:c>
      <x:c r="S219" s="38" t="n">
        <x:v>89.03</x:v>
      </x:c>
      <x:c r="T219" s="40" t="n">
        <x:v>16.14</x:v>
      </x:c>
      <x:c r="U219" s="40" t="n">
        <x:v>0.79</x:v>
      </x:c>
      <x:c r="V219" s="38" t="n">
        <x:f>L219*(1-T219/100)*(1-U219/100)</x:f>
        <x:v>327.96207272682005</x:v>
      </x:c>
      <x:c r="W219" s="38" t="n">
        <x:f>G219*N219</x:f>
        <x:v>178759.62596</x:v>
      </x:c>
      <x:c r="X219" s="38" t="n">
        <x:f>H219*O219</x:f>
        <x:v>27381.87972</x:v>
      </x:c>
      <x:c r="Y219" s="38" t="n">
        <x:f>I219*P219</x:f>
        <x:v>12091.025099999999</x:v>
      </x:c>
      <x:c r="Z219" s="38" t="n">
        <x:f>J219*Q219+K219*P219</x:f>
        <x:v>721.64652</x:v>
      </x:c>
      <x:c r="AA219" s="38" t="n">
        <x:f>M219*R219</x:f>
        <x:v>21115.168350000004</x:v>
      </x:c>
      <x:c r="AB219" s="38" t="n">
        <x:f>SUM(W219:AA219)</x:f>
        <x:v>240069.34565</x:v>
      </x:c>
      <x:c r="AC219" s="38" t="n">
        <x:v>25.69</x:v>
      </x:c>
      <x:c r="AD219" s="38" t="n">
        <x:v>174.33</x:v>
      </x:c>
      <x:c r="AE219" s="38" t="n">
        <x:v>119.54</x:v>
      </x:c>
      <x:c r="AF219" s="38" t="n">
        <x:v>4.8148</x:v>
      </x:c>
      <x:c r="AG219" s="38" t="n">
        <x:v>5.31</x:v>
      </x:c>
      <x:c r="AH219" s="38" t="n">
        <x:f>IF(E219="Fason",L219*S219,0)</x:f>
        <x:v>0</x:v>
      </x:c>
      <x:c r="AI219" s="38" t="n">
        <x:f>IF(E219="Kurum içi",AC219*AD219+AE219*AF219+AB219*12%,0)</x:f>
        <x:v>33862.42037</x:v>
      </x:c>
      <x:c r="AJ219" s="38" t="n">
        <x:f>V219*AG219</x:f>
        <x:v>1741.4786061794143</x:v>
      </x:c>
      <x:c r="AK219" s="38" t="n">
        <x:f>AB219*2%</x:f>
        <x:v>4801.386913</x:v>
      </x:c>
      <x:c r="AL219" s="38" t="n">
        <x:f>AB219+AH219+AI219+AJ219+AK219</x:f>
        <x:v>280474.6315391794</x:v>
      </x:c>
      <x:c r="AM219" s="38" t="n">
        <x:f>AL219/V219</x:f>
        <x:v>855.2044729050244</x:v>
      </x:c>
      <x:c r="AN219" s="40" t="n">
        <x:f>(W219+X219)/AL219*100</x:f>
        <x:v>73.49737997648609</x:v>
      </x:c>
      <x:c r="AO219" s="28" t="str">
        <x:v>R01-R20; ilgili satırdaki bölgesel fiyat ve maliyet varsayımları</x:v>
      </x:c>
      <x:c r="AP219" s="28" t="str">
        <x:v>Girdi miktarları, alım fiyatı değişimi, fason bedeli ve parti sonucu simüle edilmiştir; işletme kaydı değildir.</x:v>
      </x:c>
    </x:row>
    <x:row r="220" ht="22" customHeight="1">
      <x:c r="A220" t="str">
        <x:v>SUC-0219</x:v>
      </x:c>
      <x:c r="B220" s="36" t="n">
        <x:v>46272</x:v>
      </x:c>
      <x:c r="C220" t="str">
        <x:v>Güneydoğu Anadolu</x:v>
      </x:c>
      <x:c r="D220" t="str">
        <x:v>MEB_STANDART</x:v>
      </x:c>
      <x:c r="E220" t="str">
        <x:v>Kurum içi</x:v>
      </x:c>
      <x:c r="F220" s="42" t="str">
        <x:v>SENTETİK/SİMÜLE — gerçek parti kaydı değildir</x:v>
      </x:c>
      <x:c r="G220" s="38" t="n">
        <x:v>113.808</x:v>
      </x:c>
      <x:c r="H220" s="38" t="n">
        <x:v>37.588</x:v>
      </x:c>
      <x:c r="I220" s="38" t="n">
        <x:v>7.496</x:v>
      </x:c>
      <x:c r="J220" s="38" t="n">
        <x:v>3.807</x:v>
      </x:c>
      <x:c r="K220" s="38" t="n">
        <x:v>1.753</x:v>
      </x:c>
      <x:c r="L220" s="38" t="n">
        <x:f>SUM(G220:K220)</x:f>
        <x:v>164.452</x:v>
      </x:c>
      <x:c r="M220" s="38" t="n">
        <x:v>194.101</x:v>
      </x:c>
      <x:c r="N220" s="38" t="n">
        <x:v>566.51</x:v>
      </x:c>
      <x:c r="O220" s="38" t="n">
        <x:v>449.18</x:v>
      </x:c>
      <x:c r="P220" s="38" t="n">
        <x:v>550</x:v>
      </x:c>
      <x:c r="Q220" s="38" t="n">
        <x:v>19.88</x:v>
      </x:c>
      <x:c r="R220" s="38" t="n">
        <x:v>43.7475</x:v>
      </x:c>
      <x:c r="S220" s="38" t="n">
        <x:v>105.78</x:v>
      </x:c>
      <x:c r="T220" s="40" t="n">
        <x:v>20.72</x:v>
      </x:c>
      <x:c r="U220" s="40" t="n">
        <x:v>1.01</x:v>
      </x:c>
      <x:c r="V220" s="38" t="n">
        <x:f>L220*(1-T220/100)*(1-U220/100)</x:f>
        <x:v>129.06073238943998</x:v>
      </x:c>
      <x:c r="W220" s="38" t="n">
        <x:f>G220*N220</x:f>
        <x:v>64473.37008</x:v>
      </x:c>
      <x:c r="X220" s="38" t="n">
        <x:f>H220*O220</x:f>
        <x:v>16883.777840000002</x:v>
      </x:c>
      <x:c r="Y220" s="38" t="n">
        <x:f>I220*P220</x:f>
        <x:v>4122.8</x:v>
      </x:c>
      <x:c r="Z220" s="38" t="n">
        <x:f>J220*Q220+K220*P220</x:f>
        <x:v>1039.83316</x:v>
      </x:c>
      <x:c r="AA220" s="38" t="n">
        <x:f>M220*R220</x:f>
        <x:v>8491.4334975</x:v>
      </x:c>
      <x:c r="AB220" s="38" t="n">
        <x:f>SUM(W220:AA220)</x:f>
        <x:v>95011.2145775</x:v>
      </x:c>
      <x:c r="AC220" s="38" t="n">
        <x:v>8</x:v>
      </x:c>
      <x:c r="AD220" s="38" t="n">
        <x:v>174.33</x:v>
      </x:c>
      <x:c r="AE220" s="38" t="n">
        <x:v>65.55</x:v>
      </x:c>
      <x:c r="AF220" s="38" t="n">
        <x:v>4.8148</x:v>
      </x:c>
      <x:c r="AG220" s="38" t="n">
        <x:v>5.79</x:v>
      </x:c>
      <x:c r="AH220" s="38" t="n">
        <x:f>IF(E220="Fason",L220*S220,0)</x:f>
        <x:v>0</x:v>
      </x:c>
      <x:c r="AI220" s="38" t="n">
        <x:f>IF(E220="Kurum içi",AC220*AD220+AE220*AF220+AB220*12%,0)</x:f>
        <x:v>13111.595889299999</x:v>
      </x:c>
      <x:c r="AJ220" s="38" t="n">
        <x:f>V220*AG220</x:f>
        <x:v>747.2616405348575</x:v>
      </x:c>
      <x:c r="AK220" s="38" t="n">
        <x:f>AB220*2%</x:f>
        <x:v>1900.2242915499999</x:v>
      </x:c>
      <x:c r="AL220" s="38" t="n">
        <x:f>AB220+AH220+AI220+AJ220+AK220</x:f>
        <x:v>110770.29639888485</x:v>
      </x:c>
      <x:c r="AM220" s="38" t="n">
        <x:f>AL220/V220</x:f>
        <x:v>858.2803951912821</x:v>
      </x:c>
      <x:c r="AN220" s="40" t="n">
        <x:f>(W220+X220)/AL220*100</x:f>
        <x:v>73.44671862845989</x:v>
      </x:c>
      <x:c r="AO220" s="28" t="str">
        <x:v>R01-R20; ilgili satırdaki bölgesel fiyat ve maliyet varsayımları</x:v>
      </x:c>
      <x:c r="AP220" s="28" t="str">
        <x:v>Girdi miktarları, alım fiyatı değişimi, fason bedeli ve parti sonucu simüle edilmiştir; işletme kaydı değildir.</x:v>
      </x:c>
    </x:row>
    <x:row r="221" ht="22" customHeight="1">
      <x:c r="A221" t="str">
        <x:v>SUC-0220</x:v>
      </x:c>
      <x:c r="B221" s="36" t="n">
        <x:v>46273</x:v>
      </x:c>
      <x:c r="C221" t="str">
        <x:v>Karadeniz</x:v>
      </x:c>
      <x:c r="D221" t="str">
        <x:v>MEB_STANDART</x:v>
      </x:c>
      <x:c r="E221" t="str">
        <x:v>Kurum içi</x:v>
      </x:c>
      <x:c r="F221" s="42" t="str">
        <x:v>SENTETİK/SİMÜLE — gerçek parti kaydı değildir</x:v>
      </x:c>
      <x:c r="G221" s="38" t="n">
        <x:v>274.222</x:v>
      </x:c>
      <x:c r="H221" s="38" t="n">
        <x:v>88.156</x:v>
      </x:c>
      <x:c r="I221" s="38" t="n">
        <x:v>18.339</x:v>
      </x:c>
      <x:c r="J221" s="38" t="n">
        <x:v>9.362</x:v>
      </x:c>
      <x:c r="K221" s="38" t="n">
        <x:v>3.908</x:v>
      </x:c>
      <x:c r="L221" s="38" t="n">
        <x:f>SUM(G221:K221)</x:f>
        <x:v>393.987</x:v>
      </x:c>
      <x:c r="M221" s="38" t="n">
        <x:v>481.235</x:v>
      </x:c>
      <x:c r="N221" s="38" t="n">
        <x:v>617.74</x:v>
      </x:c>
      <x:c r="O221" s="38" t="n">
        <x:v>430.77</x:v>
      </x:c>
      <x:c r="P221" s="38" t="n">
        <x:v>550</x:v>
      </x:c>
      <x:c r="Q221" s="38" t="n">
        <x:v>19.88</x:v>
      </x:c>
      <x:c r="R221" s="38" t="n">
        <x:v>43.7475</x:v>
      </x:c>
      <x:c r="S221" s="38" t="n">
        <x:v>84.73</x:v>
      </x:c>
      <x:c r="T221" s="40" t="n">
        <x:v>19.34</x:v>
      </x:c>
      <x:c r="U221" s="40" t="n">
        <x:v>1.47</x:v>
      </x:c>
      <x:c r="V221" s="38" t="n">
        <x:f>L221*(1-T221/100)*(1-U221/100)</x:f>
        <x:v>313.11840246125996</x:v>
      </x:c>
      <x:c r="W221" s="38" t="n">
        <x:f>G221*N221</x:f>
        <x:v>169397.89828</x:v>
      </x:c>
      <x:c r="X221" s="38" t="n">
        <x:f>H221*O221</x:f>
        <x:v>37974.96012</x:v>
      </x:c>
      <x:c r="Y221" s="38" t="n">
        <x:f>I221*P221</x:f>
        <x:v>10086.449999999999</x:v>
      </x:c>
      <x:c r="Z221" s="38" t="n">
        <x:f>J221*Q221+K221*P221</x:f>
        <x:v>2335.51656</x:v>
      </x:c>
      <x:c r="AA221" s="38" t="n">
        <x:f>M221*R221</x:f>
        <x:v>21052.8281625</x:v>
      </x:c>
      <x:c r="AB221" s="38" t="n">
        <x:f>SUM(W221:AA221)</x:f>
        <x:v>240847.6531225</x:v>
      </x:c>
      <x:c r="AC221" s="38" t="n">
        <x:v>19.94</x:v>
      </x:c>
      <x:c r="AD221" s="38" t="n">
        <x:v>174.33</x:v>
      </x:c>
      <x:c r="AE221" s="38" t="n">
        <x:v>152.53</x:v>
      </x:c>
      <x:c r="AF221" s="38" t="n">
        <x:v>4.8148</x:v>
      </x:c>
      <x:c r="AG221" s="38" t="n">
        <x:v>5.26</x:v>
      </x:c>
      <x:c r="AH221" s="38" t="n">
        <x:f>IF(E221="Fason",L221*S221,0)</x:f>
        <x:v>0</x:v>
      </x:c>
      <x:c r="AI221" s="38" t="n">
        <x:f>IF(E221="Kurum içi",AC221*AD221+AE221*AF221+AB221*12%,0)</x:f>
        <x:v>33112.2600187</x:v>
      </x:c>
      <x:c r="AJ221" s="38" t="n">
        <x:f>V221*AG221</x:f>
        <x:v>1647.0027969462274</x:v>
      </x:c>
      <x:c r="AK221" s="38" t="n">
        <x:f>AB221*2%</x:f>
        <x:v>4816.95306245</x:v>
      </x:c>
      <x:c r="AL221" s="38" t="n">
        <x:f>AB221+AH221+AI221+AJ221+AK221</x:f>
        <x:v>280423.86900059617</x:v>
      </x:c>
      <x:c r="AM221" s="38" t="n">
        <x:f>AL221/V221</x:f>
        <x:v>895.5841202443894</x:v>
      </x:c>
      <x:c r="AN221" s="40" t="n">
        <x:f>(W221+X221)/AL221*100</x:f>
        <x:v>73.94978863213643</x:v>
      </x:c>
      <x:c r="AO221" s="28" t="str">
        <x:v>R01-R20; ilgili satırdaki bölgesel fiyat ve maliyet varsayımları</x:v>
      </x:c>
      <x:c r="AP221" s="28" t="str">
        <x:v>Girdi miktarları, alım fiyatı değişimi, fason bedeli ve parti sonucu simüle edilmiştir; işletme kaydı değildir.</x:v>
      </x:c>
    </x:row>
    <x:row r="222" ht="22" customHeight="1">
      <x:c r="A222" t="str">
        <x:v>SUC-0221</x:v>
      </x:c>
      <x:c r="B222" s="36" t="n">
        <x:v>46272</x:v>
      </x:c>
      <x:c r="C222" t="str">
        <x:v>Akdeniz</x:v>
      </x:c>
      <x:c r="D222" t="str">
        <x:v>MEB_STANDART</x:v>
      </x:c>
      <x:c r="E222" t="str">
        <x:v>Fason</x:v>
      </x:c>
      <x:c r="F222" s="42" t="str">
        <x:v>SENTETİK/SİMÜLE — gerçek parti kaydı değildir</x:v>
      </x:c>
      <x:c r="G222" s="38" t="n">
        <x:v>283.541</x:v>
      </x:c>
      <x:c r="H222" s="38" t="n">
        <x:v>87.506</x:v>
      </x:c>
      <x:c r="I222" s="38" t="n">
        <x:v>18.889</x:v>
      </x:c>
      <x:c r="J222" s="38" t="n">
        <x:v>9.93</x:v>
      </x:c>
      <x:c r="K222" s="38" t="n">
        <x:v>3.537</x:v>
      </x:c>
      <x:c r="L222" s="38" t="n">
        <x:f>SUM(G222:K222)</x:f>
        <x:v>403.403</x:v>
      </x:c>
      <x:c r="M222" s="38" t="n">
        <x:v>512.188</x:v>
      </x:c>
      <x:c r="N222" s="38" t="n">
        <x:v>599.99</x:v>
      </x:c>
      <x:c r="O222" s="38" t="n">
        <x:v>478.69</x:v>
      </x:c>
      <x:c r="P222" s="38" t="n">
        <x:v>550</x:v>
      </x:c>
      <x:c r="Q222" s="38" t="n">
        <x:v>19.88</x:v>
      </x:c>
      <x:c r="R222" s="38" t="n">
        <x:v>43.7475</x:v>
      </x:c>
      <x:c r="S222" s="38" t="n">
        <x:v>115.36</x:v>
      </x:c>
      <x:c r="T222" s="40" t="n">
        <x:v>20.4</x:v>
      </x:c>
      <x:c r="U222" s="40" t="n">
        <x:v>0.55</x:v>
      </x:c>
      <x:c r="V222" s="38" t="n">
        <x:f>L222*(1-T222/100)*(1-U222/100)</x:f>
        <x:v>319.342689666</x:v>
      </x:c>
      <x:c r="W222" s="38" t="n">
        <x:f>G222*N222</x:f>
        <x:v>170121.76459</x:v>
      </x:c>
      <x:c r="X222" s="38" t="n">
        <x:f>H222*O222</x:f>
        <x:v>41888.24714</x:v>
      </x:c>
      <x:c r="Y222" s="38" t="n">
        <x:f>I222*P222</x:f>
        <x:v>10388.949999999999</x:v>
      </x:c>
      <x:c r="Z222" s="38" t="n">
        <x:f>J222*Q222+K222*P222</x:f>
        <x:v>2142.7583999999997</x:v>
      </x:c>
      <x:c r="AA222" s="38" t="n">
        <x:f>M222*R222</x:f>
        <x:v>22406.94453</x:v>
      </x:c>
      <x:c r="AB222" s="38" t="n">
        <x:f>SUM(W222:AA222)</x:f>
        <x:v>246948.66466</x:v>
      </x:c>
      <x:c r="AC222" s="38" t="n">
        <x:v>19.1</x:v>
      </x:c>
      <x:c r="AD222" s="38" t="n">
        <x:v>174.33</x:v>
      </x:c>
      <x:c r="AE222" s="38" t="n">
        <x:v>97.63</x:v>
      </x:c>
      <x:c r="AF222" s="38" t="n">
        <x:v>4.8148</x:v>
      </x:c>
      <x:c r="AG222" s="38" t="n">
        <x:v>5.35</x:v>
      </x:c>
      <x:c r="AH222" s="38" t="n">
        <x:f>IF(E222="Fason",L222*S222,0)</x:f>
        <x:v>46536.570080000005</x:v>
      </x:c>
      <x:c r="AI222" s="38" t="n">
        <x:f>IF(E222="Kurum içi",AC222*AD222+AE222*AF222+AB222*12%,0)</x:f>
        <x:v>0</x:v>
      </x:c>
      <x:c r="AJ222" s="38" t="n">
        <x:f>V222*AG222</x:f>
        <x:v>1708.4833897131</x:v>
      </x:c>
      <x:c r="AK222" s="38" t="n">
        <x:f>AB222*2%</x:f>
        <x:v>4938.973293200001</x:v>
      </x:c>
      <x:c r="AL222" s="38" t="n">
        <x:f>AB222+AH222+AI222+AJ222+AK222</x:f>
        <x:v>300132.6914229131</x:v>
      </x:c>
      <x:c r="AM222" s="38" t="n">
        <x:f>AL222/V222</x:f>
        <x:v>939.8451918120355</x:v>
      </x:c>
      <x:c r="AN222" s="40" t="n">
        <x:f>(W222+X222)/AL222*100</x:f>
        <x:v>70.63876005138656</x:v>
      </x:c>
      <x:c r="AO222" s="28" t="str">
        <x:v>R01-R20; ilgili satırdaki bölgesel fiyat ve maliyet varsayımları</x:v>
      </x:c>
      <x:c r="AP222" s="28" t="str">
        <x:v>Girdi miktarları, alım fiyatı değişimi, fason bedeli ve parti sonucu simüle edilmiştir; işletme kaydı değildir.</x:v>
      </x:c>
    </x:row>
    <x:row r="223" ht="22" customHeight="1">
      <x:c r="A223" t="str">
        <x:v>SUC-0222</x:v>
      </x:c>
      <x:c r="B223" s="36" t="n">
        <x:v>46293</x:v>
      </x:c>
      <x:c r="C223" t="str">
        <x:v>Karadeniz</x:v>
      </x:c>
      <x:c r="D223" t="str">
        <x:v>ERZURUM_CI</x:v>
      </x:c>
      <x:c r="E223" t="str">
        <x:v>Kurum içi</x:v>
      </x:c>
      <x:c r="F223" s="42" t="str">
        <x:v>SENTETİK/SİMÜLE — gerçek parti kaydı değildir</x:v>
      </x:c>
      <x:c r="G223" s="38" t="n">
        <x:v>59.047</x:v>
      </x:c>
      <x:c r="H223" s="38" t="n">
        <x:v>10.065</x:v>
      </x:c>
      <x:c r="I223" s="38" t="n">
        <x:v>3.696</x:v>
      </x:c>
      <x:c r="J223" s="38" t="n">
        <x:v>1.321</x:v>
      </x:c>
      <x:c r="K223" s="38" t="n">
        <x:v>0.129</x:v>
      </x:c>
      <x:c r="L223" s="38" t="n">
        <x:f>SUM(G223:K223)</x:f>
        <x:v>74.258</x:v>
      </x:c>
      <x:c r="M223" s="38" t="n">
        <x:v>101.099</x:v>
      </x:c>
      <x:c r="N223" s="38" t="n">
        <x:v>595.19</x:v>
      </x:c>
      <x:c r="O223" s="38" t="n">
        <x:v>443.76</x:v>
      </x:c>
      <x:c r="P223" s="38" t="n">
        <x:v>669.9</x:v>
      </x:c>
      <x:c r="Q223" s="38" t="n">
        <x:v>19.88</x:v>
      </x:c>
      <x:c r="R223" s="38" t="n">
        <x:v>43.7475</x:v>
      </x:c>
      <x:c r="S223" s="38" t="n">
        <x:v>118.73</x:v>
      </x:c>
      <x:c r="T223" s="40" t="n">
        <x:v>19.99</x:v>
      </x:c>
      <x:c r="U223" s="40" t="n">
        <x:v>0.84</x:v>
      </x:c>
      <x:c r="V223" s="38" t="n">
        <x:f>L223*(1-T223/100)*(1-U223/100)</x:f>
        <x:v>58.91474966328</x:v>
      </x:c>
      <x:c r="W223" s="38" t="n">
        <x:f>G223*N223</x:f>
        <x:v>35144.18393</x:v>
      </x:c>
      <x:c r="X223" s="38" t="n">
        <x:f>H223*O223</x:f>
        <x:v>4466.444399999999</x:v>
      </x:c>
      <x:c r="Y223" s="38" t="n">
        <x:f>I223*P223</x:f>
        <x:v>2475.9504</x:v>
      </x:c>
      <x:c r="Z223" s="38" t="n">
        <x:f>J223*Q223+K223*P223</x:f>
        <x:v>112.67858000000001</x:v>
      </x:c>
      <x:c r="AA223" s="38" t="n">
        <x:f>M223*R223</x:f>
        <x:v>4422.8285025000005</x:v>
      </x:c>
      <x:c r="AB223" s="38" t="n">
        <x:f>SUM(W223:AA223)</x:f>
        <x:v>46622.0858125</x:v>
      </x:c>
      <x:c r="AC223" s="38" t="n">
        <x:v>4.01</x:v>
      </x:c>
      <x:c r="AD223" s="38" t="n">
        <x:v>174.33</x:v>
      </x:c>
      <x:c r="AE223" s="38" t="n">
        <x:v>26.93</x:v>
      </x:c>
      <x:c r="AF223" s="38" t="n">
        <x:v>4.8148</x:v>
      </x:c>
      <x:c r="AG223" s="38" t="n">
        <x:v>5.27</x:v>
      </x:c>
      <x:c r="AH223" s="38" t="n">
        <x:f>IF(E223="Fason",L223*S223,0)</x:f>
        <x:v>0</x:v>
      </x:c>
      <x:c r="AI223" s="38" t="n">
        <x:f>IF(E223="Kurum içi",AC223*AD223+AE223*AF223+AB223*12%,0)</x:f>
        <x:v>6423.3761615</x:v>
      </x:c>
      <x:c r="AJ223" s="38" t="n">
        <x:f>V223*AG223</x:f>
        <x:v>310.48073072548556</x:v>
      </x:c>
      <x:c r="AK223" s="38" t="n">
        <x:f>AB223*2%</x:f>
        <x:v>932.44171625</x:v>
      </x:c>
      <x:c r="AL223" s="38" t="n">
        <x:f>AB223+AH223+AI223+AJ223+AK223</x:f>
        <x:v>54288.3844209755</x:v>
      </x:c>
      <x:c r="AM223" s="38" t="n">
        <x:f>AL223/V223</x:f>
        <x:v>921.4735652999304</x:v>
      </x:c>
      <x:c r="AN223" s="40" t="n">
        <x:f>(W223+X223)/AL223*100</x:f>
        <x:v>72.96335809671945</x:v>
      </x:c>
      <x:c r="AO223" s="28" t="str">
        <x:v>R01-R20; ilgili satırdaki bölgesel fiyat ve maliyet varsayımları</x:v>
      </x:c>
      <x:c r="AP223" s="28" t="str">
        <x:v>Girdi miktarları, alım fiyatı değişimi, fason bedeli ve parti sonucu simüle edilmiştir; işletme kaydı değildir.</x:v>
      </x:c>
    </x:row>
    <x:row r="224" ht="22" customHeight="1">
      <x:c r="A224" t="str">
        <x:v>SUC-0223</x:v>
      </x:c>
      <x:c r="B224" s="36" t="n">
        <x:v>46299</x:v>
      </x:c>
      <x:c r="C224" t="str">
        <x:v>Akdeniz</x:v>
      </x:c>
      <x:c r="D224" t="str">
        <x:v>MEB_STANDART</x:v>
      </x:c>
      <x:c r="E224" t="str">
        <x:v>Kurum içi</x:v>
      </x:c>
      <x:c r="F224" s="42" t="str">
        <x:v>SENTETİK/SİMÜLE — gerçek parti kaydı değildir</x:v>
      </x:c>
      <x:c r="G224" s="38" t="n">
        <x:v>153.304</x:v>
      </x:c>
      <x:c r="H224" s="38" t="n">
        <x:v>48.738</x:v>
      </x:c>
      <x:c r="I224" s="38" t="n">
        <x:v>10.28</x:v>
      </x:c>
      <x:c r="J224" s="38" t="n">
        <x:v>5.198</x:v>
      </x:c>
      <x:c r="K224" s="38" t="n">
        <x:v>2.22</x:v>
      </x:c>
      <x:c r="L224" s="38" t="n">
        <x:f>SUM(G224:K224)</x:f>
        <x:v>219.74</x:v>
      </x:c>
      <x:c r="M224" s="38" t="n">
        <x:v>271.778</x:v>
      </x:c>
      <x:c r="N224" s="38" t="n">
        <x:v>584.1</x:v>
      </x:c>
      <x:c r="O224" s="38" t="n">
        <x:v>439.24</x:v>
      </x:c>
      <x:c r="P224" s="38" t="n">
        <x:v>669.9</x:v>
      </x:c>
      <x:c r="Q224" s="38" t="n">
        <x:v>19.88</x:v>
      </x:c>
      <x:c r="R224" s="38" t="n">
        <x:v>43.7475</x:v>
      </x:c>
      <x:c r="S224" s="38" t="n">
        <x:v>105.96</x:v>
      </x:c>
      <x:c r="T224" s="40" t="n">
        <x:v>19.89</x:v>
      </x:c>
      <x:c r="U224" s="40" t="n">
        <x:v>0.46</x:v>
      </x:c>
      <x:c r="V224" s="38" t="n">
        <x:f>L224*(1-T224/100)*(1-U224/100)</x:f>
        <x:v>175.2239589156</x:v>
      </x:c>
      <x:c r="W224" s="38" t="n">
        <x:f>G224*N224</x:f>
        <x:v>89544.8664</x:v>
      </x:c>
      <x:c r="X224" s="38" t="n">
        <x:f>H224*O224</x:f>
        <x:v>21407.67912</x:v>
      </x:c>
      <x:c r="Y224" s="38" t="n">
        <x:f>I224*P224</x:f>
        <x:v>6886.571999999999</x:v>
      </x:c>
      <x:c r="Z224" s="38" t="n">
        <x:f>J224*Q224+K224*P224</x:f>
        <x:v>1590.5142400000002</x:v>
      </x:c>
      <x:c r="AA224" s="38" t="n">
        <x:f>M224*R224</x:f>
        <x:v>11889.608055</x:v>
      </x:c>
      <x:c r="AB224" s="38" t="n">
        <x:f>SUM(W224:AA224)</x:f>
        <x:v>131319.239815</x:v>
      </x:c>
      <x:c r="AC224" s="38" t="n">
        <x:v>10.66</x:v>
      </x:c>
      <x:c r="AD224" s="38" t="n">
        <x:v>174.33</x:v>
      </x:c>
      <x:c r="AE224" s="38" t="n">
        <x:v>93.16</x:v>
      </x:c>
      <x:c r="AF224" s="38" t="n">
        <x:v>4.8148</x:v>
      </x:c>
      <x:c r="AG224" s="38" t="n">
        <x:v>5.79</x:v>
      </x:c>
      <x:c r="AH224" s="38" t="n">
        <x:f>IF(E224="Fason",L224*S224,0)</x:f>
        <x:v>0</x:v>
      </x:c>
      <x:c r="AI224" s="38" t="n">
        <x:f>IF(E224="Kurum içi",AC224*AD224+AE224*AF224+AB224*12%,0)</x:f>
        <x:v>18065.213345800003</x:v>
      </x:c>
      <x:c r="AJ224" s="38" t="n">
        <x:f>V224*AG224</x:f>
        <x:v>1014.546722121324</x:v>
      </x:c>
      <x:c r="AK224" s="38" t="n">
        <x:f>AB224*2%</x:f>
        <x:v>2626.3847963000003</x:v>
      </x:c>
      <x:c r="AL224" s="38" t="n">
        <x:f>AB224+AH224+AI224+AJ224+AK224</x:f>
        <x:v>153025.38467922134</x:v>
      </x:c>
      <x:c r="AM224" s="38" t="n">
        <x:f>AL224/V224</x:f>
        <x:v>873.3131338102512</x:v>
      </x:c>
      <x:c r="AN224" s="40" t="n">
        <x:f>(W224+X224)/AL224*100</x:f>
        <x:v>72.50597392882474</x:v>
      </x:c>
      <x:c r="AO224" s="28" t="str">
        <x:v>R01-R20; ilgili satırdaki bölgesel fiyat ve maliyet varsayımları</x:v>
      </x:c>
      <x:c r="AP224" s="28" t="str">
        <x:v>Girdi miktarları, alım fiyatı değişimi, fason bedeli ve parti sonucu simüle edilmiştir; işletme kaydı değildir.</x:v>
      </x:c>
    </x:row>
    <x:row r="225" ht="22" customHeight="1">
      <x:c r="A225" t="str">
        <x:v>SUC-0224</x:v>
      </x:c>
      <x:c r="B225" s="36" t="n">
        <x:v>46300</x:v>
      </x:c>
      <x:c r="C225" t="str">
        <x:v>Ege</x:v>
      </x:c>
      <x:c r="D225" t="str">
        <x:v>MEB_STANDART</x:v>
      </x:c>
      <x:c r="E225" t="str">
        <x:v>Kurum içi</x:v>
      </x:c>
      <x:c r="F225" s="42" t="str">
        <x:v>SENTETİK/SİMÜLE — gerçek parti kaydı değildir</x:v>
      </x:c>
      <x:c r="G225" s="38" t="n">
        <x:v>85.341</x:v>
      </x:c>
      <x:c r="H225" s="38" t="n">
        <x:v>25.603</x:v>
      </x:c>
      <x:c r="I225" s="38" t="n">
        <x:v>5.511</x:v>
      </x:c>
      <x:c r="J225" s="38" t="n">
        <x:v>3.111</x:v>
      </x:c>
      <x:c r="K225" s="38" t="n">
        <x:v>1.393</x:v>
      </x:c>
      <x:c r="L225" s="38" t="n">
        <x:f>SUM(G225:K225)</x:f>
        <x:v>120.95899999999999</x:v>
      </x:c>
      <x:c r="M225" s="38" t="n">
        <x:v>143.144</x:v>
      </x:c>
      <x:c r="N225" s="38" t="n">
        <x:v>581.01</x:v>
      </x:c>
      <x:c r="O225" s="38" t="n">
        <x:v>470.6</x:v>
      </x:c>
      <x:c r="P225" s="38" t="n">
        <x:v>669.9</x:v>
      </x:c>
      <x:c r="Q225" s="38" t="n">
        <x:v>19.88</x:v>
      </x:c>
      <x:c r="R225" s="38" t="n">
        <x:v>43.7475</x:v>
      </x:c>
      <x:c r="S225" s="38" t="n">
        <x:v>108.4</x:v>
      </x:c>
      <x:c r="T225" s="40" t="n">
        <x:v>17.42</x:v>
      </x:c>
      <x:c r="U225" s="40" t="n">
        <x:v>0.65</x:v>
      </x:c>
      <x:c r="V225" s="38" t="n">
        <x:f>L225*(1-T225/100)*(1-U225/100)</x:f>
        <x:v>99.23867057569998</x:v>
      </x:c>
      <x:c r="W225" s="38" t="n">
        <x:f>G225*N225</x:f>
        <x:v>49583.974409999995</x:v>
      </x:c>
      <x:c r="X225" s="38" t="n">
        <x:f>H225*O225</x:f>
        <x:v>12048.7718</x:v>
      </x:c>
      <x:c r="Y225" s="38" t="n">
        <x:f>I225*P225</x:f>
        <x:v>3691.8188999999998</x:v>
      </x:c>
      <x:c r="Z225" s="38" t="n">
        <x:f>J225*Q225+K225*P225</x:f>
        <x:v>995.01738</x:v>
      </x:c>
      <x:c r="AA225" s="38" t="n">
        <x:f>M225*R225</x:f>
        <x:v>6262.192140000001</x:v>
      </x:c>
      <x:c r="AB225" s="38" t="n">
        <x:f>SUM(W225:AA225)</x:f>
        <x:v>72581.77463</x:v>
      </x:c>
      <x:c r="AC225" s="38" t="n">
        <x:v>5.4</x:v>
      </x:c>
      <x:c r="AD225" s="38" t="n">
        <x:v>174.33</x:v>
      </x:c>
      <x:c r="AE225" s="38" t="n">
        <x:v>45.7</x:v>
      </x:c>
      <x:c r="AF225" s="38" t="n">
        <x:v>4.8148</x:v>
      </x:c>
      <x:c r="AG225" s="38" t="n">
        <x:v>5.33</x:v>
      </x:c>
      <x:c r="AH225" s="38" t="n">
        <x:f>IF(E225="Fason",L225*S225,0)</x:f>
        <x:v>0</x:v>
      </x:c>
      <x:c r="AI225" s="38" t="n">
        <x:f>IF(E225="Kurum içi",AC225*AD225+AE225*AF225+AB225*12%,0)</x:f>
        <x:v>9871.2313156</x:v>
      </x:c>
      <x:c r="AJ225" s="38" t="n">
        <x:f>V225*AG225</x:f>
        <x:v>528.9421141684809</x:v>
      </x:c>
      <x:c r="AK225" s="38" t="n">
        <x:f>AB225*2%</x:f>
        <x:v>1451.6354926000001</x:v>
      </x:c>
      <x:c r="AL225" s="38" t="n">
        <x:f>AB225+AH225+AI225+AJ225+AK225</x:f>
        <x:v>84433.5835523685</x:v>
      </x:c>
      <x:c r="AM225" s="38" t="n">
        <x:f>AL225/V225</x:f>
        <x:v>850.8133277335869</x:v>
      </x:c>
      <x:c r="AN225" s="40" t="n">
        <x:f>(W225+X225)/AL225*100</x:f>
        <x:v>72.99553520877546</x:v>
      </x:c>
      <x:c r="AO225" s="28" t="str">
        <x:v>R01-R20; ilgili satırdaki bölgesel fiyat ve maliyet varsayımları</x:v>
      </x:c>
      <x:c r="AP225" s="28" t="str">
        <x:v>Girdi miktarları, alım fiyatı değişimi, fason bedeli ve parti sonucu simüle edilmiştir; işletme kaydı değildir.</x:v>
      </x:c>
    </x:row>
    <x:row r="226" ht="22" customHeight="1">
      <x:c r="A226" t="str">
        <x:v>SUC-0225</x:v>
      </x:c>
      <x:c r="B226" s="36" t="n">
        <x:v>46268</x:v>
      </x:c>
      <x:c r="C226" t="str">
        <x:v>Doğu Anadolu</x:v>
      </x:c>
      <x:c r="D226" t="str">
        <x:v>ERZURUM_CI</x:v>
      </x:c>
      <x:c r="E226" t="str">
        <x:v>Fason</x:v>
      </x:c>
      <x:c r="F226" s="42" t="str">
        <x:v>SENTETİK/SİMÜLE — gerçek parti kaydı değildir</x:v>
      </x:c>
      <x:c r="G226" s="38" t="n">
        <x:v>299.001</x:v>
      </x:c>
      <x:c r="H226" s="38" t="n">
        <x:v>54.192</x:v>
      </x:c>
      <x:c r="I226" s="38" t="n">
        <x:v>17.787</x:v>
      </x:c>
      <x:c r="J226" s="38" t="n">
        <x:v>6.025</x:v>
      </x:c>
      <x:c r="K226" s="38" t="n">
        <x:v>0.871</x:v>
      </x:c>
      <x:c r="L226" s="38" t="n">
        <x:f>SUM(G226:K226)</x:f>
        <x:v>377.8759999999999</x:v>
      </x:c>
      <x:c r="M226" s="38" t="n">
        <x:v>495.541</x:v>
      </x:c>
      <x:c r="N226" s="38" t="n">
        <x:v>596.34</x:v>
      </x:c>
      <x:c r="O226" s="38" t="n">
        <x:v>477.8</x:v>
      </x:c>
      <x:c r="P226" s="38" t="n">
        <x:v>550</x:v>
      </x:c>
      <x:c r="Q226" s="38" t="n">
        <x:v>19.88</x:v>
      </x:c>
      <x:c r="R226" s="38" t="n">
        <x:v>43.7475</x:v>
      </x:c>
      <x:c r="S226" s="38" t="n">
        <x:v>115.26</x:v>
      </x:c>
      <x:c r="T226" s="40" t="n">
        <x:v>24.54</x:v>
      </x:c>
      <x:c r="U226" s="40" t="n">
        <x:v>1.66</x:v>
      </x:c>
      <x:c r="V226" s="38" t="n">
        <x:f>L226*(1-T226/100)*(1-U226/100)</x:f>
        <x:v>280.41181878863995</x:v>
      </x:c>
      <x:c r="W226" s="38" t="n">
        <x:f>G226*N226</x:f>
        <x:v>178306.25634</x:v>
      </x:c>
      <x:c r="X226" s="38" t="n">
        <x:f>H226*O226</x:f>
        <x:v>25892.9376</x:v>
      </x:c>
      <x:c r="Y226" s="38" t="n">
        <x:f>I226*P226</x:f>
        <x:v>9782.85</x:v>
      </x:c>
      <x:c r="Z226" s="38" t="n">
        <x:f>J226*Q226+K226*P226</x:f>
        <x:v>598.827</x:v>
      </x:c>
      <x:c r="AA226" s="38" t="n">
        <x:f>M226*R226</x:f>
        <x:v>21678.679897500002</x:v>
      </x:c>
      <x:c r="AB226" s="38" t="n">
        <x:f>SUM(W226:AA226)</x:f>
        <x:v>236259.5508375</x:v>
      </x:c>
      <x:c r="AC226" s="38" t="n">
        <x:v>21.87</x:v>
      </x:c>
      <x:c r="AD226" s="38" t="n">
        <x:v>174.33</x:v>
      </x:c>
      <x:c r="AE226" s="38" t="n">
        <x:v>120.91</x:v>
      </x:c>
      <x:c r="AF226" s="38" t="n">
        <x:v>4.8148</x:v>
      </x:c>
      <x:c r="AG226" s="38" t="n">
        <x:v>5.44</x:v>
      </x:c>
      <x:c r="AH226" s="38" t="n">
        <x:f>IF(E226="Fason",L226*S226,0)</x:f>
        <x:v>43553.98775999999</x:v>
      </x:c>
      <x:c r="AI226" s="38" t="n">
        <x:f>IF(E226="Kurum içi",AC226*AD226+AE226*AF226+AB226*12%,0)</x:f>
        <x:v>0</x:v>
      </x:c>
      <x:c r="AJ226" s="38" t="n">
        <x:f>V226*AG226</x:f>
        <x:v>1525.4402942102015</x:v>
      </x:c>
      <x:c r="AK226" s="38" t="n">
        <x:f>AB226*2%</x:f>
        <x:v>4725.19101675</x:v>
      </x:c>
      <x:c r="AL226" s="38" t="n">
        <x:f>AB226+AH226+AI226+AJ226+AK226</x:f>
        <x:v>286064.1699084602</x:v>
      </x:c>
      <x:c r="AM226" s="38" t="n">
        <x:f>AL226/V226</x:f>
        <x:v>1020.1573212721132</x:v>
      </x:c>
      <x:c r="AN226" s="40" t="n">
        <x:f>(W226+X226)/AL226*100</x:f>
        <x:v>71.38230348992789</x:v>
      </x:c>
      <x:c r="AO226" s="28" t="str">
        <x:v>R01-R20; ilgili satırdaki bölgesel fiyat ve maliyet varsayımları</x:v>
      </x:c>
      <x:c r="AP226" s="28" t="str">
        <x:v>Girdi miktarları, alım fiyatı değişimi, fason bedeli ve parti sonucu simüle edilmiştir; işletme kaydı değildir.</x:v>
      </x:c>
    </x:row>
    <x:row r="227" ht="22" customHeight="1">
      <x:c r="A227" t="str">
        <x:v>SUC-0226</x:v>
      </x:c>
      <x:c r="B227" s="36" t="n">
        <x:v>46311</x:v>
      </x:c>
      <x:c r="C227" t="str">
        <x:v>Güneydoğu Anadolu</x:v>
      </x:c>
      <x:c r="D227" t="str">
        <x:v>ERZURUM_CI</x:v>
      </x:c>
      <x:c r="E227" t="str">
        <x:v>Fason</x:v>
      </x:c>
      <x:c r="F227" s="42" t="str">
        <x:v>SENTETİK/SİMÜLE — gerçek parti kaydı değildir</x:v>
      </x:c>
      <x:c r="G227" s="38" t="n">
        <x:v>52.518</x:v>
      </x:c>
      <x:c r="H227" s="38" t="n">
        <x:v>9.039</x:v>
      </x:c>
      <x:c r="I227" s="38" t="n">
        <x:v>3.122</x:v>
      </x:c>
      <x:c r="J227" s="38" t="n">
        <x:v>0.932</x:v>
      </x:c>
      <x:c r="K227" s="38" t="n">
        <x:v>0.007</x:v>
      </x:c>
      <x:c r="L227" s="38" t="n">
        <x:f>SUM(G227:K227)</x:f>
        <x:v>65.61800000000001</x:v>
      </x:c>
      <x:c r="M227" s="38" t="n">
        <x:v>82.979</x:v>
      </x:c>
      <x:c r="N227" s="38" t="n">
        <x:v>593.65</x:v>
      </x:c>
      <x:c r="O227" s="38" t="n">
        <x:v>470.77</x:v>
      </x:c>
      <x:c r="P227" s="38" t="n">
        <x:v>400</x:v>
      </x:c>
      <x:c r="Q227" s="38" t="n">
        <x:v>19.88</x:v>
      </x:c>
      <x:c r="R227" s="38" t="n">
        <x:v>43.7475</x:v>
      </x:c>
      <x:c r="S227" s="38" t="n">
        <x:v>74.16</x:v>
      </x:c>
      <x:c r="T227" s="40" t="n">
        <x:v>24.21</x:v>
      </x:c>
      <x:c r="U227" s="40" t="n">
        <x:v>1.24</x:v>
      </x:c>
      <x:c r="V227" s="38" t="n">
        <x:f>L227*(1-T227/100)*(1-U227/100)</x:f>
        <x:v>49.11520686072001</x:v>
      </x:c>
      <x:c r="W227" s="38" t="n">
        <x:f>G227*N227</x:f>
        <x:v>31177.310699999998</x:v>
      </x:c>
      <x:c r="X227" s="38" t="n">
        <x:f>H227*O227</x:f>
        <x:v>4255.29003</x:v>
      </x:c>
      <x:c r="Y227" s="38" t="n">
        <x:f>I227*P227</x:f>
        <x:v>1248.8</x:v>
      </x:c>
      <x:c r="Z227" s="38" t="n">
        <x:f>J227*Q227+K227*P227</x:f>
        <x:v>21.32816</x:v>
      </x:c>
      <x:c r="AA227" s="38" t="n">
        <x:f>M227*R227</x:f>
        <x:v>3630.1238025000002</x:v>
      </x:c>
      <x:c r="AB227" s="38" t="n">
        <x:f>SUM(W227:AA227)</x:f>
        <x:v>40332.8526925</x:v>
      </x:c>
      <x:c r="AC227" s="38" t="n">
        <x:v>3.32</x:v>
      </x:c>
      <x:c r="AD227" s="38" t="n">
        <x:v>174.33</x:v>
      </x:c>
      <x:c r="AE227" s="38" t="n">
        <x:v>26.64</x:v>
      </x:c>
      <x:c r="AF227" s="38" t="n">
        <x:v>4.8148</x:v>
      </x:c>
      <x:c r="AG227" s="38" t="n">
        <x:v>5.16</x:v>
      </x:c>
      <x:c r="AH227" s="38" t="n">
        <x:f>IF(E227="Fason",L227*S227,0)</x:f>
        <x:v>4866.23088</x:v>
      </x:c>
      <x:c r="AI227" s="38" t="n">
        <x:f>IF(E227="Kurum içi",AC227*AD227+AE227*AF227+AB227*12%,0)</x:f>
        <x:v>0</x:v>
      </x:c>
      <x:c r="AJ227" s="38" t="n">
        <x:f>V227*AG227</x:f>
        <x:v>253.43446740131526</x:v>
      </x:c>
      <x:c r="AK227" s="38" t="n">
        <x:f>AB227*2%</x:f>
        <x:v>806.65705385</x:v>
      </x:c>
      <x:c r="AL227" s="38" t="n">
        <x:f>AB227+AH227+AI227+AJ227+AK227</x:f>
        <x:v>46259.17509375131</x:v>
      </x:c>
      <x:c r="AM227" s="38" t="n">
        <x:f>AL227/V227</x:f>
        <x:v>941.8503565490872</x:v>
      </x:c>
      <x:c r="AN227" s="40" t="n">
        <x:f>(W227+X227)/AL227*100</x:f>
        <x:v>76.59583349290254</x:v>
      </x:c>
      <x:c r="AO227" s="28" t="str">
        <x:v>R01-R20; ilgili satırdaki bölgesel fiyat ve maliyet varsayımları</x:v>
      </x:c>
      <x:c r="AP227" s="28" t="str">
        <x:v>Girdi miktarları, alım fiyatı değişimi, fason bedeli ve parti sonucu simüle edilmiştir; işletme kaydı değildir.</x:v>
      </x:c>
    </x:row>
    <x:row r="228" ht="22" customHeight="1">
      <x:c r="A228" t="str">
        <x:v>SUC-0227</x:v>
      </x:c>
      <x:c r="B228" s="36" t="n">
        <x:v>46274</x:v>
      </x:c>
      <x:c r="C228" t="str">
        <x:v>Akdeniz</x:v>
      </x:c>
      <x:c r="D228" t="str">
        <x:v>MEB_STANDART</x:v>
      </x:c>
      <x:c r="E228" t="str">
        <x:v>Fason</x:v>
      </x:c>
      <x:c r="F228" s="42" t="str">
        <x:v>SENTETİK/SİMÜLE — gerçek parti kaydı değildir</x:v>
      </x:c>
      <x:c r="G228" s="38" t="n">
        <x:v>134.44</x:v>
      </x:c>
      <x:c r="H228" s="38" t="n">
        <x:v>43.816</x:v>
      </x:c>
      <x:c r="I228" s="38" t="n">
        <x:v>8.638</x:v>
      </x:c>
      <x:c r="J228" s="38" t="n">
        <x:v>5.102</x:v>
      </x:c>
      <x:c r="K228" s="38" t="n">
        <x:v>1.819</x:v>
      </x:c>
      <x:c r="L228" s="38" t="n">
        <x:f>SUM(G228:K228)</x:f>
        <x:v>193.815</x:v>
      </x:c>
      <x:c r="M228" s="38" t="n">
        <x:v>226.157</x:v>
      </x:c>
      <x:c r="N228" s="38" t="n">
        <x:v>576.18</x:v>
      </x:c>
      <x:c r="O228" s="38" t="n">
        <x:v>425.34</x:v>
      </x:c>
      <x:c r="P228" s="38" t="n">
        <x:v>550</x:v>
      </x:c>
      <x:c r="Q228" s="38" t="n">
        <x:v>19.88</x:v>
      </x:c>
      <x:c r="R228" s="38" t="n">
        <x:v>43.7475</x:v>
      </x:c>
      <x:c r="S228" s="38" t="n">
        <x:v>94.9</x:v>
      </x:c>
      <x:c r="T228" s="40" t="n">
        <x:v>26.96</x:v>
      </x:c>
      <x:c r="U228" s="40" t="n">
        <x:v>1.24</x:v>
      </x:c>
      <x:c r="V228" s="38" t="n">
        <x:f>L228*(1-T228/100)*(1-U228/100)</x:f>
        <x:v>139.80710129759998</x:v>
      </x:c>
      <x:c r="W228" s="38" t="n">
        <x:f>G228*N228</x:f>
        <x:v>77461.63919999999</x:v>
      </x:c>
      <x:c r="X228" s="38" t="n">
        <x:f>H228*O228</x:f>
        <x:v>18636.69744</x:v>
      </x:c>
      <x:c r="Y228" s="38" t="n">
        <x:f>I228*P228</x:f>
        <x:v>4750.9</x:v>
      </x:c>
      <x:c r="Z228" s="38" t="n">
        <x:f>J228*Q228+K228*P228</x:f>
        <x:v>1101.8777599999999</x:v>
      </x:c>
      <x:c r="AA228" s="38" t="n">
        <x:f>M228*R228</x:f>
        <x:v>9893.8033575</x:v>
      </x:c>
      <x:c r="AB228" s="38" t="n">
        <x:f>SUM(W228:AA228)</x:f>
        <x:v>111844.91775749999</x:v>
      </x:c>
      <x:c r="AC228" s="38" t="n">
        <x:v>11.94</x:v>
      </x:c>
      <x:c r="AD228" s="38" t="n">
        <x:v>174.33</x:v>
      </x:c>
      <x:c r="AE228" s="38" t="n">
        <x:v>64.06</x:v>
      </x:c>
      <x:c r="AF228" s="38" t="n">
        <x:v>4.8148</x:v>
      </x:c>
      <x:c r="AG228" s="38" t="n">
        <x:v>5.86</x:v>
      </x:c>
      <x:c r="AH228" s="38" t="n">
        <x:f>IF(E228="Fason",L228*S228,0)</x:f>
        <x:v>18393.0435</x:v>
      </x:c>
      <x:c r="AI228" s="38" t="n">
        <x:f>IF(E228="Kurum içi",AC228*AD228+AE228*AF228+AB228*12%,0)</x:f>
        <x:v>0</x:v>
      </x:c>
      <x:c r="AJ228" s="38" t="n">
        <x:f>V228*AG228</x:f>
        <x:v>819.2696136039359</x:v>
      </x:c>
      <x:c r="AK228" s="38" t="n">
        <x:f>AB228*2%</x:f>
        <x:v>2236.89835515</x:v>
      </x:c>
      <x:c r="AL228" s="38" t="n">
        <x:f>AB228+AH228+AI228+AJ228+AK228</x:f>
        <x:v>133294.12922625392</x:v>
      </x:c>
      <x:c r="AM228" s="38" t="n">
        <x:f>AL228/V228</x:f>
        <x:v>953.414583301586</x:v>
      </x:c>
      <x:c r="AN228" s="40" t="n">
        <x:f>(W228+X228)/AL228*100</x:f>
        <x:v>72.09495061622883</x:v>
      </x:c>
      <x:c r="AO228" s="28" t="str">
        <x:v>R01-R20; ilgili satırdaki bölgesel fiyat ve maliyet varsayımları</x:v>
      </x:c>
      <x:c r="AP228" s="28" t="str">
        <x:v>Girdi miktarları, alım fiyatı değişimi, fason bedeli ve parti sonucu simüle edilmiştir; işletme kaydı değildir.</x:v>
      </x:c>
    </x:row>
    <x:row r="229" ht="22" customHeight="1">
      <x:c r="A229" t="str">
        <x:v>SUC-0228</x:v>
      </x:c>
      <x:c r="B229" s="36" t="n">
        <x:v>46284</x:v>
      </x:c>
      <x:c r="C229" t="str">
        <x:v>İç Anadolu</x:v>
      </x:c>
      <x:c r="D229" t="str">
        <x:v>MEB_STANDART</x:v>
      </x:c>
      <x:c r="E229" t="str">
        <x:v>Kurum içi</x:v>
      </x:c>
      <x:c r="F229" s="42" t="str">
        <x:v>SENTETİK/SİMÜLE — gerçek parti kaydı değildir</x:v>
      </x:c>
      <x:c r="G229" s="38" t="n">
        <x:v>204.962</x:v>
      </x:c>
      <x:c r="H229" s="38" t="n">
        <x:v>61.84</x:v>
      </x:c>
      <x:c r="I229" s="38" t="n">
        <x:v>13.513</x:v>
      </x:c>
      <x:c r="J229" s="38" t="n">
        <x:v>7.766</x:v>
      </x:c>
      <x:c r="K229" s="38" t="n">
        <x:v>3.057</x:v>
      </x:c>
      <x:c r="L229" s="38" t="n">
        <x:f>SUM(G229:K229)</x:f>
        <x:v>291.13800000000003</x:v>
      </x:c>
      <x:c r="M229" s="38" t="n">
        <x:v>384.259</x:v>
      </x:c>
      <x:c r="N229" s="38" t="n">
        <x:v>582.17</x:v>
      </x:c>
      <x:c r="O229" s="38" t="n">
        <x:v>426.68</x:v>
      </x:c>
      <x:c r="P229" s="38" t="n">
        <x:v>400</x:v>
      </x:c>
      <x:c r="Q229" s="38" t="n">
        <x:v>19.88</x:v>
      </x:c>
      <x:c r="R229" s="38" t="n">
        <x:v>43.7475</x:v>
      </x:c>
      <x:c r="S229" s="38" t="n">
        <x:v>89.4</x:v>
      </x:c>
      <x:c r="T229" s="40" t="n">
        <x:v>18.54</x:v>
      </x:c>
      <x:c r="U229" s="40" t="n">
        <x:v>1.26</x:v>
      </x:c>
      <x:c r="V229" s="38" t="n">
        <x:f>L229*(1-T229/100)*(1-U229/100)</x:f>
        <x:v>234.17278601352004</x:v>
      </x:c>
      <x:c r="W229" s="38" t="n">
        <x:f>G229*N229</x:f>
        <x:v>119322.72753999998</x:v>
      </x:c>
      <x:c r="X229" s="38" t="n">
        <x:f>H229*O229</x:f>
        <x:v>26385.891200000002</x:v>
      </x:c>
      <x:c r="Y229" s="38" t="n">
        <x:f>I229*P229</x:f>
        <x:v>5405.2</x:v>
      </x:c>
      <x:c r="Z229" s="38" t="n">
        <x:f>J229*Q229+K229*P229</x:f>
        <x:v>1377.18808</x:v>
      </x:c>
      <x:c r="AA229" s="38" t="n">
        <x:f>M229*R229</x:f>
        <x:v>16810.370602500003</x:v>
      </x:c>
      <x:c r="AB229" s="38" t="n">
        <x:f>SUM(W229:AA229)</x:f>
        <x:v>169301.3774225</x:v>
      </x:c>
      <x:c r="AC229" s="38" t="n">
        <x:v>11.73</x:v>
      </x:c>
      <x:c r="AD229" s="38" t="n">
        <x:v>174.33</x:v>
      </x:c>
      <x:c r="AE229" s="38" t="n">
        <x:v>83.75</x:v>
      </x:c>
      <x:c r="AF229" s="38" t="n">
        <x:v>4.8148</x:v>
      </x:c>
      <x:c r="AG229" s="38" t="n">
        <x:v>5.54</x:v>
      </x:c>
      <x:c r="AH229" s="38" t="n">
        <x:f>IF(E229="Fason",L229*S229,0)</x:f>
        <x:v>0</x:v>
      </x:c>
      <x:c r="AI229" s="38" t="n">
        <x:f>IF(E229="Kurum içi",AC229*AD229+AE229*AF229+AB229*12%,0)</x:f>
        <x:v>22764.2956907</x:v>
      </x:c>
      <x:c r="AJ229" s="38" t="n">
        <x:f>V229*AG229</x:f>
        <x:v>1297.317234514901</x:v>
      </x:c>
      <x:c r="AK229" s="38" t="n">
        <x:f>AB229*2%</x:f>
        <x:v>3386.02754845</x:v>
      </x:c>
      <x:c r="AL229" s="38" t="n">
        <x:f>AB229+AH229+AI229+AJ229+AK229</x:f>
        <x:v>196749.01789616488</x:v>
      </x:c>
      <x:c r="AM229" s="38" t="n">
        <x:f>AL229/V229</x:f>
        <x:v>840.187372946084</x:v>
      </x:c>
      <x:c r="AN229" s="40" t="n">
        <x:f>(W229+X229)/AL229*100</x:f>
        <x:v>74.05811744224224</x:v>
      </x:c>
      <x:c r="AO229" s="28" t="str">
        <x:v>R01-R20; ilgili satırdaki bölgesel fiyat ve maliyet varsayımları</x:v>
      </x:c>
      <x:c r="AP229" s="28" t="str">
        <x:v>Girdi miktarları, alım fiyatı değişimi, fason bedeli ve parti sonucu simüle edilmiştir; işletme kaydı değildir.</x:v>
      </x:c>
    </x:row>
    <x:row r="230" ht="22" customHeight="1">
      <x:c r="A230" t="str">
        <x:v>SUC-0229</x:v>
      </x:c>
      <x:c r="B230" s="36" t="n">
        <x:v>46277</x:v>
      </x:c>
      <x:c r="C230" t="str">
        <x:v>Karadeniz</x:v>
      </x:c>
      <x:c r="D230" t="str">
        <x:v>ERZURUM_CI</x:v>
      </x:c>
      <x:c r="E230" t="str">
        <x:v>Fason</x:v>
      </x:c>
      <x:c r="F230" s="42" t="str">
        <x:v>SENTETİK/SİMÜLE — gerçek parti kaydı değildir</x:v>
      </x:c>
      <x:c r="G230" s="38" t="n">
        <x:v>130.022</x:v>
      </x:c>
      <x:c r="H230" s="38" t="n">
        <x:v>22.916</x:v>
      </x:c>
      <x:c r="I230" s="38" t="n">
        <x:v>8.089</x:v>
      </x:c>
      <x:c r="J230" s="38" t="n">
        <x:v>2.823</x:v>
      </x:c>
      <x:c r="K230" s="38" t="n">
        <x:v>0.287</x:v>
      </x:c>
      <x:c r="L230" s="38" t="n">
        <x:f>SUM(G230:K230)</x:f>
        <x:v>164.137</x:v>
      </x:c>
      <x:c r="M230" s="38" t="n">
        <x:v>199.273</x:v>
      </x:c>
      <x:c r="N230" s="38" t="n">
        <x:v>617.52</x:v>
      </x:c>
      <x:c r="O230" s="38" t="n">
        <x:v>470</x:v>
      </x:c>
      <x:c r="P230" s="38" t="n">
        <x:v>400</x:v>
      </x:c>
      <x:c r="Q230" s="38" t="n">
        <x:v>19.88</x:v>
      </x:c>
      <x:c r="R230" s="38" t="n">
        <x:v>43.7475</x:v>
      </x:c>
      <x:c r="S230" s="38" t="n">
        <x:v>78.52</x:v>
      </x:c>
      <x:c r="T230" s="40" t="n">
        <x:v>25.95</x:v>
      </x:c>
      <x:c r="U230" s="40" t="n">
        <x:v>1.77</x:v>
      </x:c>
      <x:c r="V230" s="38" t="n">
        <x:f>L230*(1-T230/100)*(1-U230/100)</x:f>
        <x:v>119.39212946154998</x:v>
      </x:c>
      <x:c r="W230" s="38" t="n">
        <x:f>G230*N230</x:f>
        <x:v>80291.18543999999</x:v>
      </x:c>
      <x:c r="X230" s="38" t="n">
        <x:f>H230*O230</x:f>
        <x:v>10770.52</x:v>
      </x:c>
      <x:c r="Y230" s="38" t="n">
        <x:f>I230*P230</x:f>
        <x:v>3235.6000000000004</x:v>
      </x:c>
      <x:c r="Z230" s="38" t="n">
        <x:f>J230*Q230+K230*P230</x:f>
        <x:v>170.92123999999998</x:v>
      </x:c>
      <x:c r="AA230" s="38" t="n">
        <x:f>M230*R230</x:f>
        <x:v>8717.6955675</x:v>
      </x:c>
      <x:c r="AB230" s="38" t="n">
        <x:f>SUM(W230:AA230)</x:f>
        <x:v>103185.9222475</x:v>
      </x:c>
      <x:c r="AC230" s="38" t="n">
        <x:v>9.43</x:v>
      </x:c>
      <x:c r="AD230" s="38" t="n">
        <x:v>174.33</x:v>
      </x:c>
      <x:c r="AE230" s="38" t="n">
        <x:v>47.41</x:v>
      </x:c>
      <x:c r="AF230" s="38" t="n">
        <x:v>4.8148</x:v>
      </x:c>
      <x:c r="AG230" s="38" t="n">
        <x:v>5.42</x:v>
      </x:c>
      <x:c r="AH230" s="38" t="n">
        <x:f>IF(E230="Fason",L230*S230,0)</x:f>
        <x:v>12888.03724</x:v>
      </x:c>
      <x:c r="AI230" s="38" t="n">
        <x:f>IF(E230="Kurum içi",AC230*AD230+AE230*AF230+AB230*12%,0)</x:f>
        <x:v>0</x:v>
      </x:c>
      <x:c r="AJ230" s="38" t="n">
        <x:f>V230*AG230</x:f>
        <x:v>647.1053416816009</x:v>
      </x:c>
      <x:c r="AK230" s="38" t="n">
        <x:f>AB230*2%</x:f>
        <x:v>2063.71844495</x:v>
      </x:c>
      <x:c r="AL230" s="38" t="n">
        <x:f>AB230+AH230+AI230+AJ230+AK230</x:f>
        <x:v>118784.78327413161</x:v>
      </x:c>
      <x:c r="AM230" s="38" t="n">
        <x:f>AL230/V230</x:f>
        <x:v>994.9130131931018</x:v>
      </x:c>
      <x:c r="AN230" s="40" t="n">
        <x:f>(W230+X230)/AL230*100</x:f>
        <x:v>76.66108648769239</x:v>
      </x:c>
      <x:c r="AO230" s="28" t="str">
        <x:v>R01-R20; ilgili satırdaki bölgesel fiyat ve maliyet varsayımları</x:v>
      </x:c>
      <x:c r="AP230" s="28" t="str">
        <x:v>Girdi miktarları, alım fiyatı değişimi, fason bedeli ve parti sonucu simüle edilmiştir; işletme kaydı değildir.</x:v>
      </x:c>
    </x:row>
    <x:row r="231" ht="22" customHeight="1">
      <x:c r="A231" t="str">
        <x:v>SUC-0230</x:v>
      </x:c>
      <x:c r="B231" s="36" t="n">
        <x:v>46309</x:v>
      </x:c>
      <x:c r="C231" t="str">
        <x:v>Marmara</x:v>
      </x:c>
      <x:c r="D231" t="str">
        <x:v>MEB_STANDART</x:v>
      </x:c>
      <x:c r="E231" t="str">
        <x:v>Fason</x:v>
      </x:c>
      <x:c r="F231" s="42" t="str">
        <x:v>SENTETİK/SİMÜLE — gerçek parti kaydı değildir</x:v>
      </x:c>
      <x:c r="G231" s="38" t="n">
        <x:v>289.808</x:v>
      </x:c>
      <x:c r="H231" s="38" t="n">
        <x:v>92.494</x:v>
      </x:c>
      <x:c r="I231" s="38" t="n">
        <x:v>19.266</x:v>
      </x:c>
      <x:c r="J231" s="38" t="n">
        <x:v>10.26</x:v>
      </x:c>
      <x:c r="K231" s="38" t="n">
        <x:v>4.496</x:v>
      </x:c>
      <x:c r="L231" s="38" t="n">
        <x:f>SUM(G231:K231)</x:f>
        <x:v>416.324</x:v>
      </x:c>
      <x:c r="M231" s="38" t="n">
        <x:v>517.994</x:v>
      </x:c>
      <x:c r="N231" s="38" t="n">
        <x:v>598.59</x:v>
      </x:c>
      <x:c r="O231" s="38" t="n">
        <x:v>444.6</x:v>
      </x:c>
      <x:c r="P231" s="38" t="n">
        <x:v>400</x:v>
      </x:c>
      <x:c r="Q231" s="38" t="n">
        <x:v>19.88</x:v>
      </x:c>
      <x:c r="R231" s="38" t="n">
        <x:v>43.7475</x:v>
      </x:c>
      <x:c r="S231" s="38" t="n">
        <x:v>101.38</x:v>
      </x:c>
      <x:c r="T231" s="40" t="n">
        <x:v>18.77</x:v>
      </x:c>
      <x:c r="U231" s="40" t="n">
        <x:v>0.41</x:v>
      </x:c>
      <x:c r="V231" s="38" t="n">
        <x:f>L231*(1-T231/100)*(1-U231/100)</x:f>
        <x:v>336.79344726068</x:v>
      </x:c>
      <x:c r="W231" s="38" t="n">
        <x:f>G231*N231</x:f>
        <x:v>173476.17072</x:v>
      </x:c>
      <x:c r="X231" s="38" t="n">
        <x:f>H231*O231</x:f>
        <x:v>41122.8324</x:v>
      </x:c>
      <x:c r="Y231" s="38" t="n">
        <x:f>I231*P231</x:f>
        <x:v>7706.4</x:v>
      </x:c>
      <x:c r="Z231" s="38" t="n">
        <x:f>J231*Q231+K231*P231</x:f>
        <x:v>2002.3688000000002</x:v>
      </x:c>
      <x:c r="AA231" s="38" t="n">
        <x:f>M231*R231</x:f>
        <x:v>22660.942515000002</x:v>
      </x:c>
      <x:c r="AB231" s="38" t="n">
        <x:f>SUM(W231:AA231)</x:f>
        <x:v>246968.714435</x:v>
      </x:c>
      <x:c r="AC231" s="38" t="n">
        <x:v>25.55</x:v>
      </x:c>
      <x:c r="AD231" s="38" t="n">
        <x:v>174.33</x:v>
      </x:c>
      <x:c r="AE231" s="38" t="n">
        <x:v>154.64</x:v>
      </x:c>
      <x:c r="AF231" s="38" t="n">
        <x:v>4.8148</x:v>
      </x:c>
      <x:c r="AG231" s="38" t="n">
        <x:v>5.89</x:v>
      </x:c>
      <x:c r="AH231" s="38" t="n">
        <x:f>IF(E231="Fason",L231*S231,0)</x:f>
        <x:v>42206.92712</x:v>
      </x:c>
      <x:c r="AI231" s="38" t="n">
        <x:f>IF(E231="Kurum içi",AC231*AD231+AE231*AF231+AB231*12%,0)</x:f>
        <x:v>0</x:v>
      </x:c>
      <x:c r="AJ231" s="38" t="n">
        <x:f>V231*AG231</x:f>
        <x:v>1983.7134043654053</x:v>
      </x:c>
      <x:c r="AK231" s="38" t="n">
        <x:f>AB231*2%</x:f>
        <x:v>4939.3742887</x:v>
      </x:c>
      <x:c r="AL231" s="38" t="n">
        <x:f>AB231+AH231+AI231+AJ231+AK231</x:f>
        <x:v>296098.7292480654</x:v>
      </x:c>
      <x:c r="AM231" s="38" t="n">
        <x:f>AL231/V231</x:f>
        <x:v>879.1701016049856</x:v>
      </x:c>
      <x:c r="AN231" s="40" t="n">
        <x:f>(W231+X231)/AL231*100</x:f>
        <x:v>72.47548939671856</x:v>
      </x:c>
      <x:c r="AO231" s="28" t="str">
        <x:v>R01-R20; ilgili satırdaki bölgesel fiyat ve maliyet varsayımları</x:v>
      </x:c>
      <x:c r="AP231" s="28" t="str">
        <x:v>Girdi miktarları, alım fiyatı değişimi, fason bedeli ve parti sonucu simüle edilmiştir; işletme kaydı değildir.</x:v>
      </x:c>
    </x:row>
    <x:row r="232" ht="22" customHeight="1">
      <x:c r="A232" t="str">
        <x:v>SUC-0231</x:v>
      </x:c>
      <x:c r="B232" s="36" t="n">
        <x:v>46297</x:v>
      </x:c>
      <x:c r="C232" t="str">
        <x:v>İç Anadolu</x:v>
      </x:c>
      <x:c r="D232" t="str">
        <x:v>MEB_STANDART</x:v>
      </x:c>
      <x:c r="E232" t="str">
        <x:v>Kurum içi</x:v>
      </x:c>
      <x:c r="F232" s="42" t="str">
        <x:v>SENTETİK/SİMÜLE — gerçek parti kaydı değildir</x:v>
      </x:c>
      <x:c r="G232" s="38" t="n">
        <x:v>150.806</x:v>
      </x:c>
      <x:c r="H232" s="38" t="n">
        <x:v>47.463</x:v>
      </x:c>
      <x:c r="I232" s="38" t="n">
        <x:v>9.866</x:v>
      </x:c>
      <x:c r="J232" s="38" t="n">
        <x:v>5.693</x:v>
      </x:c>
      <x:c r="K232" s="38" t="n">
        <x:v>1.912</x:v>
      </x:c>
      <x:c r="L232" s="38" t="n">
        <x:f>SUM(G232:K232)</x:f>
        <x:v>215.74</x:v>
      </x:c>
      <x:c r="M232" s="38" t="n">
        <x:v>283.655</x:v>
      </x:c>
      <x:c r="N232" s="38" t="n">
        <x:v>586.34</x:v>
      </x:c>
      <x:c r="O232" s="38" t="n">
        <x:v>480.64</x:v>
      </x:c>
      <x:c r="P232" s="38" t="n">
        <x:v>550</x:v>
      </x:c>
      <x:c r="Q232" s="38" t="n">
        <x:v>19.88</x:v>
      </x:c>
      <x:c r="R232" s="38" t="n">
        <x:v>43.7475</x:v>
      </x:c>
      <x:c r="S232" s="38" t="n">
        <x:v>85.23</x:v>
      </x:c>
      <x:c r="T232" s="40" t="n">
        <x:v>18.41</x:v>
      </x:c>
      <x:c r="U232" s="40" t="n">
        <x:v>1.37</x:v>
      </x:c>
      <x:c r="V232" s="38" t="n">
        <x:f>L232*(1-T232/100)*(1-U232/100)</x:f>
        <x:v>173.6107609558</x:v>
      </x:c>
      <x:c r="W232" s="38" t="n">
        <x:f>G232*N232</x:f>
        <x:v>88423.59004000001</x:v>
      </x:c>
      <x:c r="X232" s="38" t="n">
        <x:f>H232*O232</x:f>
        <x:v>22812.61632</x:v>
      </x:c>
      <x:c r="Y232" s="38" t="n">
        <x:f>I232*P232</x:f>
        <x:v>5426.3</x:v>
      </x:c>
      <x:c r="Z232" s="38" t="n">
        <x:f>J232*Q232+K232*P232</x:f>
        <x:v>1164.77684</x:v>
      </x:c>
      <x:c r="AA232" s="38" t="n">
        <x:f>M232*R232</x:f>
        <x:v>12409.1971125</x:v>
      </x:c>
      <x:c r="AB232" s="38" t="n">
        <x:f>SUM(W232:AA232)</x:f>
        <x:v>130236.48031250002</x:v>
      </x:c>
      <x:c r="AC232" s="38" t="n">
        <x:v>9.69</x:v>
      </x:c>
      <x:c r="AD232" s="38" t="n">
        <x:v>174.33</x:v>
      </x:c>
      <x:c r="AE232" s="38" t="n">
        <x:v>98.32</x:v>
      </x:c>
      <x:c r="AF232" s="38" t="n">
        <x:v>4.8148</x:v>
      </x:c>
      <x:c r="AG232" s="38" t="n">
        <x:v>5.41</x:v>
      </x:c>
      <x:c r="AH232" s="38" t="n">
        <x:f>IF(E232="Fason",L232*S232,0)</x:f>
        <x:v>0</x:v>
      </x:c>
      <x:c r="AI232" s="38" t="n">
        <x:f>IF(E232="Kurum içi",AC232*AD232+AE232*AF232+AB232*12%,0)</x:f>
        <x:v>17791.026473500002</x:v>
      </x:c>
      <x:c r="AJ232" s="38" t="n">
        <x:f>V232*AG232</x:f>
        <x:v>939.234216770878</x:v>
      </x:c>
      <x:c r="AK232" s="38" t="n">
        <x:f>AB232*2%</x:f>
        <x:v>2604.7296062500004</x:v>
      </x:c>
      <x:c r="AL232" s="38" t="n">
        <x:f>AB232+AH232+AI232+AJ232+AK232</x:f>
        <x:v>151571.4706090209</x:v>
      </x:c>
      <x:c r="AM232" s="38" t="n">
        <x:f>AL232/V232</x:f>
        <x:v>873.0534315647051</x:v>
      </x:c>
      <x:c r="AN232" s="40" t="n">
        <x:f>(W232+X232)/AL232*100</x:f>
        <x:v>73.38861720681867</x:v>
      </x:c>
      <x:c r="AO232" s="28" t="str">
        <x:v>R01-R20; ilgili satırdaki bölgesel fiyat ve maliyet varsayımları</x:v>
      </x:c>
      <x:c r="AP232" s="28" t="str">
        <x:v>Girdi miktarları, alım fiyatı değişimi, fason bedeli ve parti sonucu simüle edilmiştir; işletme kaydı değildir.</x:v>
      </x:c>
    </x:row>
    <x:row r="233" ht="22" customHeight="1">
      <x:c r="A233" t="str">
        <x:v>SUC-0232</x:v>
      </x:c>
      <x:c r="B233" s="36" t="n">
        <x:v>46302</x:v>
      </x:c>
      <x:c r="C233" t="str">
        <x:v>Marmara</x:v>
      </x:c>
      <x:c r="D233" t="str">
        <x:v>MEB_STANDART</x:v>
      </x:c>
      <x:c r="E233" t="str">
        <x:v>Kurum içi</x:v>
      </x:c>
      <x:c r="F233" s="42" t="str">
        <x:v>SENTETİK/SİMÜLE — gerçek parti kaydı değildir</x:v>
      </x:c>
      <x:c r="G233" s="38" t="n">
        <x:v>335.147</x:v>
      </x:c>
      <x:c r="H233" s="38" t="n">
        <x:v>109.617</x:v>
      </x:c>
      <x:c r="I233" s="38" t="n">
        <x:v>22.592</x:v>
      </x:c>
      <x:c r="J233" s="38" t="n">
        <x:v>11.552</x:v>
      </x:c>
      <x:c r="K233" s="38" t="n">
        <x:v>5.355</x:v>
      </x:c>
      <x:c r="L233" s="38" t="n">
        <x:f>SUM(G233:K233)</x:f>
        <x:v>484.26300000000003</x:v>
      </x:c>
      <x:c r="M233" s="38" t="n">
        <x:v>633.516</x:v>
      </x:c>
      <x:c r="N233" s="38" t="n">
        <x:v>610.63</x:v>
      </x:c>
      <x:c r="O233" s="38" t="n">
        <x:v>455</x:v>
      </x:c>
      <x:c r="P233" s="38" t="n">
        <x:v>669.9</x:v>
      </x:c>
      <x:c r="Q233" s="38" t="n">
        <x:v>19.88</x:v>
      </x:c>
      <x:c r="R233" s="38" t="n">
        <x:v>43.7475</x:v>
      </x:c>
      <x:c r="S233" s="38" t="n">
        <x:v>82.81</x:v>
      </x:c>
      <x:c r="T233" s="40" t="n">
        <x:v>19.89</x:v>
      </x:c>
      <x:c r="U233" s="40" t="n">
        <x:v>1.61</x:v>
      </x:c>
      <x:c r="V233" s="38" t="n">
        <x:f>L233*(1-T233/100)*(1-U233/100)</x:f>
        <x:v>381.69720556227</x:v>
      </x:c>
      <x:c r="W233" s="38" t="n">
        <x:f>G233*N233</x:f>
        <x:v>204650.81261</x:v>
      </x:c>
      <x:c r="X233" s="38" t="n">
        <x:f>H233*O233</x:f>
        <x:v>49875.735</x:v>
      </x:c>
      <x:c r="Y233" s="38" t="n">
        <x:f>I233*P233</x:f>
        <x:v>15134.380799999999</x:v>
      </x:c>
      <x:c r="Z233" s="38" t="n">
        <x:f>J233*Q233+K233*P233</x:f>
        <x:v>3816.96826</x:v>
      </x:c>
      <x:c r="AA233" s="38" t="n">
        <x:f>M233*R233</x:f>
        <x:v>27714.74121</x:v>
      </x:c>
      <x:c r="AB233" s="38" t="n">
        <x:f>SUM(W233:AA233)</x:f>
        <x:v>301192.63788</x:v>
      </x:c>
      <x:c r="AC233" s="38" t="n">
        <x:v>21.77</x:v>
      </x:c>
      <x:c r="AD233" s="38" t="n">
        <x:v>174.33</x:v>
      </x:c>
      <x:c r="AE233" s="38" t="n">
        <x:v>144.89</x:v>
      </x:c>
      <x:c r="AF233" s="38" t="n">
        <x:v>4.8148</x:v>
      </x:c>
      <x:c r="AG233" s="38" t="n">
        <x:v>5.32</x:v>
      </x:c>
      <x:c r="AH233" s="38" t="n">
        <x:f>IF(E233="Fason",L233*S233,0)</x:f>
        <x:v>0</x:v>
      </x:c>
      <x:c r="AI233" s="38" t="n">
        <x:f>IF(E233="Kurum içi",AC233*AD233+AE233*AF233+AB233*12%,0)</x:f>
        <x:v>40635.89701759999</x:v>
      </x:c>
      <x:c r="AJ233" s="38" t="n">
        <x:f>V233*AG233</x:f>
        <x:v>2030.6291335912767</x:v>
      </x:c>
      <x:c r="AK233" s="38" t="n">
        <x:f>AB233*2%</x:f>
        <x:v>6023.8527576</x:v>
      </x:c>
      <x:c r="AL233" s="38" t="n">
        <x:f>AB233+AH233+AI233+AJ233+AK233</x:f>
        <x:v>349883.0167887913</x:v>
      </x:c>
      <x:c r="AM233" s="38" t="n">
        <x:f>AL233/V233</x:f>
        <x:v>916.6507160391338</x:v>
      </x:c>
      <x:c r="AN233" s="40" t="n">
        <x:f>(W233+X233)/AL233*100</x:f>
        <x:v>72.74618526673054</x:v>
      </x:c>
      <x:c r="AO233" s="28" t="str">
        <x:v>R01-R20; ilgili satırdaki bölgesel fiyat ve maliyet varsayımları</x:v>
      </x:c>
      <x:c r="AP233" s="28" t="str">
        <x:v>Girdi miktarları, alım fiyatı değişimi, fason bedeli ve parti sonucu simüle edilmiştir; işletme kaydı değildir.</x:v>
      </x:c>
    </x:row>
    <x:row r="234" ht="22" customHeight="1">
      <x:c r="A234" t="str">
        <x:v>SUC-0233</x:v>
      </x:c>
      <x:c r="B234" s="36" t="n">
        <x:v>46317</x:v>
      </x:c>
      <x:c r="C234" t="str">
        <x:v>Ege</x:v>
      </x:c>
      <x:c r="D234" t="str">
        <x:v>ERZURUM_CI</x:v>
      </x:c>
      <x:c r="E234" t="str">
        <x:v>Kurum içi</x:v>
      </x:c>
      <x:c r="F234" s="42" t="str">
        <x:v>SENTETİK/SİMÜLE — gerçek parti kaydı değildir</x:v>
      </x:c>
      <x:c r="G234" s="38" t="n">
        <x:v>178.114</x:v>
      </x:c>
      <x:c r="H234" s="38" t="n">
        <x:v>32.274</x:v>
      </x:c>
      <x:c r="I234" s="38" t="n">
        <x:v>11.017</x:v>
      </x:c>
      <x:c r="J234" s="38" t="n">
        <x:v>3.647</x:v>
      </x:c>
      <x:c r="K234" s="38" t="n">
        <x:v>0.203</x:v>
      </x:c>
      <x:c r="L234" s="38" t="n">
        <x:f>SUM(G234:K234)</x:f>
        <x:v>225.255</x:v>
      </x:c>
      <x:c r="M234" s="38" t="n">
        <x:v>278.748</x:v>
      </x:c>
      <x:c r="N234" s="38" t="n">
        <x:v>603.6</x:v>
      </x:c>
      <x:c r="O234" s="38" t="n">
        <x:v>413.68</x:v>
      </x:c>
      <x:c r="P234" s="38" t="n">
        <x:v>400</x:v>
      </x:c>
      <x:c r="Q234" s="38" t="n">
        <x:v>19.88</x:v>
      </x:c>
      <x:c r="R234" s="38" t="n">
        <x:v>43.7475</x:v>
      </x:c>
      <x:c r="S234" s="38" t="n">
        <x:v>70.73</x:v>
      </x:c>
      <x:c r="T234" s="40" t="n">
        <x:v>17.6</x:v>
      </x:c>
      <x:c r="U234" s="40" t="n">
        <x:v>0.46</x:v>
      </x:c>
      <x:c r="V234" s="38" t="n">
        <x:f>L234*(1-T234/100)*(1-U234/100)</x:f>
        <x:v>184.756313448</x:v>
      </x:c>
      <x:c r="W234" s="38" t="n">
        <x:f>G234*N234</x:f>
        <x:v>107509.6104</x:v>
      </x:c>
      <x:c r="X234" s="38" t="n">
        <x:f>H234*O234</x:f>
        <x:v>13351.108320000001</x:v>
      </x:c>
      <x:c r="Y234" s="38" t="n">
        <x:f>I234*P234</x:f>
        <x:v>4406.8</x:v>
      </x:c>
      <x:c r="Z234" s="38" t="n">
        <x:f>J234*Q234+K234*P234</x:f>
        <x:v>153.70236</x:v>
      </x:c>
      <x:c r="AA234" s="38" t="n">
        <x:f>M234*R234</x:f>
        <x:v>12194.52813</x:v>
      </x:c>
      <x:c r="AB234" s="38" t="n">
        <x:f>SUM(W234:AA234)</x:f>
        <x:v>137615.74921</x:v>
      </x:c>
      <x:c r="AC234" s="38" t="n">
        <x:v>11.26</x:v>
      </x:c>
      <x:c r="AD234" s="38" t="n">
        <x:v>174.33</x:v>
      </x:c>
      <x:c r="AE234" s="38" t="n">
        <x:v>77.53</x:v>
      </x:c>
      <x:c r="AF234" s="38" t="n">
        <x:v>4.8148</x:v>
      </x:c>
      <x:c r="AG234" s="38" t="n">
        <x:v>5.55</x:v>
      </x:c>
      <x:c r="AH234" s="38" t="n">
        <x:f>IF(E234="Fason",L234*S234,0)</x:f>
        <x:v>0</x:v>
      </x:c>
      <x:c r="AI234" s="38" t="n">
        <x:f>IF(E234="Kurum içi",AC234*AD234+AE234*AF234+AB234*12%,0)</x:f>
        <x:v>18850.137149200003</x:v>
      </x:c>
      <x:c r="AJ234" s="38" t="n">
        <x:f>V234*AG234</x:f>
        <x:v>1025.3975396363999</x:v>
      </x:c>
      <x:c r="AK234" s="38" t="n">
        <x:f>AB234*2%</x:f>
        <x:v>2752.3149842000003</x:v>
      </x:c>
      <x:c r="AL234" s="38" t="n">
        <x:f>AB234+AH234+AI234+AJ234+AK234</x:f>
        <x:v>160243.5988830364</x:v>
      </x:c>
      <x:c r="AM234" s="38" t="n">
        <x:f>AL234/V234</x:f>
        <x:v>867.3240761980092</x:v>
      </x:c>
      <x:c r="AN234" s="40" t="n">
        <x:f>(W234+X234)/AL234*100</x:f>
        <x:v>75.42311802933082</x:v>
      </x:c>
      <x:c r="AO234" s="28" t="str">
        <x:v>R01-R20; ilgili satırdaki bölgesel fiyat ve maliyet varsayımları</x:v>
      </x:c>
      <x:c r="AP234" s="28" t="str">
        <x:v>Girdi miktarları, alım fiyatı değişimi, fason bedeli ve parti sonucu simüle edilmiştir; işletme kaydı değildir.</x:v>
      </x:c>
    </x:row>
    <x:row r="235" ht="22" customHeight="1">
      <x:c r="A235" t="str">
        <x:v>SUC-0234</x:v>
      </x:c>
      <x:c r="B235" s="36" t="n">
        <x:v>46271</x:v>
      </x:c>
      <x:c r="C235" t="str">
        <x:v>Doğu Anadolu</x:v>
      </x:c>
      <x:c r="D235" t="str">
        <x:v>ERZURUM_CI</x:v>
      </x:c>
      <x:c r="E235" t="str">
        <x:v>Fason</x:v>
      </x:c>
      <x:c r="F235" s="42" t="str">
        <x:v>SENTETİK/SİMÜLE — gerçek parti kaydı değildir</x:v>
      </x:c>
      <x:c r="G235" s="38" t="n">
        <x:v>382.929</x:v>
      </x:c>
      <x:c r="H235" s="38" t="n">
        <x:v>64.735</x:v>
      </x:c>
      <x:c r="I235" s="38" t="n">
        <x:v>21.433</x:v>
      </x:c>
      <x:c r="J235" s="38" t="n">
        <x:v>6.69</x:v>
      </x:c>
      <x:c r="K235" s="38" t="n">
        <x:v>0.048</x:v>
      </x:c>
      <x:c r="L235" s="38" t="n">
        <x:f>SUM(G235:K235)</x:f>
        <x:v>475.835</x:v>
      </x:c>
      <x:c r="M235" s="38" t="n">
        <x:v>555.165</x:v>
      </x:c>
      <x:c r="N235" s="38" t="n">
        <x:v>609.84</x:v>
      </x:c>
      <x:c r="O235" s="38" t="n">
        <x:v>470.56</x:v>
      </x:c>
      <x:c r="P235" s="38" t="n">
        <x:v>400</x:v>
      </x:c>
      <x:c r="Q235" s="38" t="n">
        <x:v>19.88</x:v>
      </x:c>
      <x:c r="R235" s="38" t="n">
        <x:v>43.7475</x:v>
      </x:c>
      <x:c r="S235" s="38" t="n">
        <x:v>91.61</x:v>
      </x:c>
      <x:c r="T235" s="40" t="n">
        <x:v>17.89</x:v>
      </x:c>
      <x:c r="U235" s="40" t="n">
        <x:v>0.84</x:v>
      </x:c>
      <x:c r="V235" s="38" t="n">
        <x:f>L235*(1-T235/100)*(1-U235/100)</x:f>
        <x:v>387.42617030459996</x:v>
      </x:c>
      <x:c r="W235" s="38" t="n">
        <x:f>G235*N235</x:f>
        <x:v>233525.42136</x:v>
      </x:c>
      <x:c r="X235" s="38" t="n">
        <x:f>H235*O235</x:f>
        <x:v>30461.7016</x:v>
      </x:c>
      <x:c r="Y235" s="38" t="n">
        <x:f>I235*P235</x:f>
        <x:v>8573.2</x:v>
      </x:c>
      <x:c r="Z235" s="38" t="n">
        <x:f>J235*Q235+K235*P235</x:f>
        <x:v>152.19719999999998</x:v>
      </x:c>
      <x:c r="AA235" s="38" t="n">
        <x:f>M235*R235</x:f>
        <x:v>24287.080837499998</x:v>
      </x:c>
      <x:c r="AB235" s="38" t="n">
        <x:f>SUM(W235:AA235)</x:f>
        <x:v>296999.6009975</x:v>
      </x:c>
      <x:c r="AC235" s="38" t="n">
        <x:v>31.91</x:v>
      </x:c>
      <x:c r="AD235" s="38" t="n">
        <x:v>174.33</x:v>
      </x:c>
      <x:c r="AE235" s="38" t="n">
        <x:v>161.58</x:v>
      </x:c>
      <x:c r="AF235" s="38" t="n">
        <x:v>4.8148</x:v>
      </x:c>
      <x:c r="AG235" s="38" t="n">
        <x:v>5.58</x:v>
      </x:c>
      <x:c r="AH235" s="38" t="n">
        <x:f>IF(E235="Fason",L235*S235,0)</x:f>
        <x:v>43591.24435</x:v>
      </x:c>
      <x:c r="AI235" s="38" t="n">
        <x:f>IF(E235="Kurum içi",AC235*AD235+AE235*AF235+AB235*12%,0)</x:f>
        <x:v>0</x:v>
      </x:c>
      <x:c r="AJ235" s="38" t="n">
        <x:f>V235*AG235</x:f>
        <x:v>2161.838030299668</x:v>
      </x:c>
      <x:c r="AK235" s="38" t="n">
        <x:f>AB235*2%</x:f>
        <x:v>5939.99201995</x:v>
      </x:c>
      <x:c r="AL235" s="38" t="n">
        <x:f>AB235+AH235+AI235+AJ235+AK235</x:f>
        <x:v>348692.6753977497</x:v>
      </x:c>
      <x:c r="AM235" s="38" t="n">
        <x:f>AL235/V235</x:f>
        <x:v>900.0235454502275</x:v>
      </x:c>
      <x:c r="AN235" s="40" t="n">
        <x:f>(W235+X235)/AL235*100</x:f>
        <x:v>75.70767658336183</x:v>
      </x:c>
      <x:c r="AO235" s="28" t="str">
        <x:v>R01-R20; ilgili satırdaki bölgesel fiyat ve maliyet varsayımları</x:v>
      </x:c>
      <x:c r="AP235" s="28" t="str">
        <x:v>Girdi miktarları, alım fiyatı değişimi, fason bedeli ve parti sonucu simüle edilmiştir; işletme kaydı değildir.</x:v>
      </x:c>
    </x:row>
    <x:row r="236" ht="22" customHeight="1">
      <x:c r="A236" t="str">
        <x:v>SUC-0235</x:v>
      </x:c>
      <x:c r="B236" s="36" t="n">
        <x:v>46269</x:v>
      </x:c>
      <x:c r="C236" t="str">
        <x:v>Marmara</x:v>
      </x:c>
      <x:c r="D236" t="str">
        <x:v>MEB_STANDART</x:v>
      </x:c>
      <x:c r="E236" t="str">
        <x:v>Kurum içi</x:v>
      </x:c>
      <x:c r="F236" s="42" t="str">
        <x:v>SENTETİK/SİMÜLE — gerçek parti kaydı değildir</x:v>
      </x:c>
      <x:c r="G236" s="38" t="n">
        <x:v>327.432</x:v>
      </x:c>
      <x:c r="H236" s="38" t="n">
        <x:v>97.422</x:v>
      </x:c>
      <x:c r="I236" s="38" t="n">
        <x:v>20.935</x:v>
      </x:c>
      <x:c r="J236" s="38" t="n">
        <x:v>11.94</x:v>
      </x:c>
      <x:c r="K236" s="38" t="n">
        <x:v>4.932</x:v>
      </x:c>
      <x:c r="L236" s="38" t="n">
        <x:f>SUM(G236:K236)</x:f>
        <x:v>462.66100000000006</x:v>
      </x:c>
      <x:c r="M236" s="38" t="n">
        <x:v>626.835</x:v>
      </x:c>
      <x:c r="N236" s="38" t="n">
        <x:v>611.15</x:v>
      </x:c>
      <x:c r="O236" s="38" t="n">
        <x:v>464.05</x:v>
      </x:c>
      <x:c r="P236" s="38" t="n">
        <x:v>669.9</x:v>
      </x:c>
      <x:c r="Q236" s="38" t="n">
        <x:v>19.88</x:v>
      </x:c>
      <x:c r="R236" s="38" t="n">
        <x:v>43.7475</x:v>
      </x:c>
      <x:c r="S236" s="38" t="n">
        <x:v>84.08</x:v>
      </x:c>
      <x:c r="T236" s="40" t="n">
        <x:v>21.08</x:v>
      </x:c>
      <x:c r="U236" s="40" t="n">
        <x:v>1.67</x:v>
      </x:c>
      <x:c r="V236" s="38" t="n">
        <x:f>L236*(1-T236/100)*(1-U236/100)</x:f>
        <x:v>359.03435577796006</x:v>
      </x:c>
      <x:c r="W236" s="38" t="n">
        <x:f>G236*N236</x:f>
        <x:v>200110.0668</x:v>
      </x:c>
      <x:c r="X236" s="38" t="n">
        <x:f>H236*O236</x:f>
        <x:v>45208.6791</x:v>
      </x:c>
      <x:c r="Y236" s="38" t="n">
        <x:f>I236*P236</x:f>
        <x:v>14024.356499999998</x:v>
      </x:c>
      <x:c r="Z236" s="38" t="n">
        <x:f>J236*Q236+K236*P236</x:f>
        <x:v>3541.3140000000003</x:v>
      </x:c>
      <x:c r="AA236" s="38" t="n">
        <x:f>M236*R236</x:f>
        <x:v>27422.464162500004</x:v>
      </x:c>
      <x:c r="AB236" s="38" t="n">
        <x:f>SUM(W236:AA236)</x:f>
        <x:v>290306.8805625</x:v>
      </x:c>
      <x:c r="AC236" s="38" t="n">
        <x:v>24.4</x:v>
      </x:c>
      <x:c r="AD236" s="38" t="n">
        <x:v>174.33</x:v>
      </x:c>
      <x:c r="AE236" s="38" t="n">
        <x:v>213.93</x:v>
      </x:c>
      <x:c r="AF236" s="38" t="n">
        <x:v>4.8148</x:v>
      </x:c>
      <x:c r="AG236" s="38" t="n">
        <x:v>5.71</x:v>
      </x:c>
      <x:c r="AH236" s="38" t="n">
        <x:f>IF(E236="Fason",L236*S236,0)</x:f>
        <x:v>0</x:v>
      </x:c>
      <x:c r="AI236" s="38" t="n">
        <x:f>IF(E236="Kurum içi",AC236*AD236+AE236*AF236+AB236*12%,0)</x:f>
        <x:v>40120.50783149999</x:v>
      </x:c>
      <x:c r="AJ236" s="38" t="n">
        <x:f>V236*AG236</x:f>
        <x:v>2050.086171492152</x:v>
      </x:c>
      <x:c r="AK236" s="38" t="n">
        <x:f>AB236*2%</x:f>
        <x:v>5806.137611249999</x:v>
      </x:c>
      <x:c r="AL236" s="38" t="n">
        <x:f>AB236+AH236+AI236+AJ236+AK236</x:f>
        <x:v>338283.6121767421</x:v>
      </x:c>
      <x:c r="AM236" s="38" t="n">
        <x:f>AL236/V236</x:f>
        <x:v>942.2040167820292</x:v>
      </x:c>
      <x:c r="AN236" s="40" t="n">
        <x:f>(W236+X236)/AL236*100</x:f>
        <x:v>72.518660990243</x:v>
      </x:c>
      <x:c r="AO236" s="28" t="str">
        <x:v>R01-R20; ilgili satırdaki bölgesel fiyat ve maliyet varsayımları</x:v>
      </x:c>
      <x:c r="AP236" s="28" t="str">
        <x:v>Girdi miktarları, alım fiyatı değişimi, fason bedeli ve parti sonucu simüle edilmiştir; işletme kaydı değildir.</x:v>
      </x:c>
    </x:row>
    <x:row r="237" ht="22" customHeight="1">
      <x:c r="A237" t="str">
        <x:v>SUC-0236</x:v>
      </x:c>
      <x:c r="B237" s="36" t="n">
        <x:v>46304</x:v>
      </x:c>
      <x:c r="C237" t="str">
        <x:v>Karadeniz</x:v>
      </x:c>
      <x:c r="D237" t="str">
        <x:v>MEB_STANDART</x:v>
      </x:c>
      <x:c r="E237" t="str">
        <x:v>Kurum içi</x:v>
      </x:c>
      <x:c r="F237" s="42" t="str">
        <x:v>SENTETİK/SİMÜLE — gerçek parti kaydı değildir</x:v>
      </x:c>
      <x:c r="G237" s="38" t="n">
        <x:v>128.876</x:v>
      </x:c>
      <x:c r="H237" s="38" t="n">
        <x:v>41.703</x:v>
      </x:c>
      <x:c r="I237" s="38" t="n">
        <x:v>8.226</x:v>
      </x:c>
      <x:c r="J237" s="38" t="n">
        <x:v>4.502</x:v>
      </x:c>
      <x:c r="K237" s="38" t="n">
        <x:v>1.801</x:v>
      </x:c>
      <x:c r="L237" s="38" t="n">
        <x:f>SUM(G237:K237)</x:f>
        <x:v>185.108</x:v>
      </x:c>
      <x:c r="M237" s="38" t="n">
        <x:v>232.337</x:v>
      </x:c>
      <x:c r="N237" s="38" t="n">
        <x:v>611.54</x:v>
      </x:c>
      <x:c r="O237" s="38" t="n">
        <x:v>469</x:v>
      </x:c>
      <x:c r="P237" s="38" t="n">
        <x:v>669.9</x:v>
      </x:c>
      <x:c r="Q237" s="38" t="n">
        <x:v>19.88</x:v>
      </x:c>
      <x:c r="R237" s="38" t="n">
        <x:v>43.7475</x:v>
      </x:c>
      <x:c r="S237" s="38" t="n">
        <x:v>70.36</x:v>
      </x:c>
      <x:c r="T237" s="40" t="n">
        <x:v>22.82</x:v>
      </x:c>
      <x:c r="U237" s="40" t="n">
        <x:v>1.47</x:v>
      </x:c>
      <x:c r="V237" s="38" t="n">
        <x:f>L237*(1-T237/100)*(1-U237/100)</x:f>
        <x:v>140.76621899032</x:v>
      </x:c>
      <x:c r="W237" s="38" t="n">
        <x:f>G237*N237</x:f>
        <x:v>78812.82904</x:v>
      </x:c>
      <x:c r="X237" s="38" t="n">
        <x:f>H237*O237</x:f>
        <x:v>19558.707000000002</x:v>
      </x:c>
      <x:c r="Y237" s="38" t="n">
        <x:f>I237*P237</x:f>
        <x:v>5510.597400000001</x:v>
      </x:c>
      <x:c r="Z237" s="38" t="n">
        <x:f>J237*Q237+K237*P237</x:f>
        <x:v>1295.9896599999997</x:v>
      </x:c>
      <x:c r="AA237" s="38" t="n">
        <x:f>M237*R237</x:f>
        <x:v>10164.1629075</x:v>
      </x:c>
      <x:c r="AB237" s="38" t="n">
        <x:f>SUM(W237:AA237)</x:f>
        <x:v>115342.2860075</x:v>
      </x:c>
      <x:c r="AC237" s="38" t="n">
        <x:v>7.76</x:v>
      </x:c>
      <x:c r="AD237" s="38" t="n">
        <x:v>174.33</x:v>
      </x:c>
      <x:c r="AE237" s="38" t="n">
        <x:v>68.91</x:v>
      </x:c>
      <x:c r="AF237" s="38" t="n">
        <x:v>4.8148</x:v>
      </x:c>
      <x:c r="AG237" s="38" t="n">
        <x:v>5.74</x:v>
      </x:c>
      <x:c r="AH237" s="38" t="n">
        <x:f>IF(E237="Fason",L237*S237,0)</x:f>
        <x:v>0</x:v>
      </x:c>
      <x:c r="AI237" s="38" t="n">
        <x:f>IF(E237="Kurum içi",AC237*AD237+AE237*AF237+AB237*12%,0)</x:f>
        <x:v>15525.662988900001</x:v>
      </x:c>
      <x:c r="AJ237" s="38" t="n">
        <x:f>V237*AG237</x:f>
        <x:v>807.9980970044368</x:v>
      </x:c>
      <x:c r="AK237" s="38" t="n">
        <x:f>AB237*2%</x:f>
        <x:v>2306.84572015</x:v>
      </x:c>
      <x:c r="AL237" s="38" t="n">
        <x:f>AB237+AH237+AI237+AJ237+AK237</x:f>
        <x:v>133982.79281355446</x:v>
      </x:c>
      <x:c r="AM237" s="38" t="n">
        <x:f>AL237/V237</x:f>
        <x:v>951.8106955957096</x:v>
      </x:c>
      <x:c r="AN237" s="40" t="n">
        <x:f>(W237+X237)/AL237*100</x:f>
        <x:v>73.42102218819264</x:v>
      </x:c>
      <x:c r="AO237" s="28" t="str">
        <x:v>R01-R20; ilgili satırdaki bölgesel fiyat ve maliyet varsayımları</x:v>
      </x:c>
      <x:c r="AP237" s="28" t="str">
        <x:v>Girdi miktarları, alım fiyatı değişimi, fason bedeli ve parti sonucu simüle edilmiştir; işletme kaydı değildir.</x:v>
      </x:c>
    </x:row>
    <x:row r="238" ht="22" customHeight="1">
      <x:c r="A238" t="str">
        <x:v>SUC-0237</x:v>
      </x:c>
      <x:c r="B238" s="36" t="n">
        <x:v>46272</x:v>
      </x:c>
      <x:c r="C238" t="str">
        <x:v>Marmara</x:v>
      </x:c>
      <x:c r="D238" t="str">
        <x:v>MEB_STANDART</x:v>
      </x:c>
      <x:c r="E238" t="str">
        <x:v>Kurum içi</x:v>
      </x:c>
      <x:c r="F238" s="42" t="str">
        <x:v>SENTETİK/SİMÜLE — gerçek parti kaydı değildir</x:v>
      </x:c>
      <x:c r="G238" s="38" t="n">
        <x:v>306.121</x:v>
      </x:c>
      <x:c r="H238" s="38" t="n">
        <x:v>94.857</x:v>
      </x:c>
      <x:c r="I238" s="38" t="n">
        <x:v>19.487</x:v>
      </x:c>
      <x:c r="J238" s="38" t="n">
        <x:v>10.979</x:v>
      </x:c>
      <x:c r="K238" s="38" t="n">
        <x:v>3.963</x:v>
      </x:c>
      <x:c r="L238" s="38" t="n">
        <x:f>SUM(G238:K238)</x:f>
        <x:v>435.407</x:v>
      </x:c>
      <x:c r="M238" s="38" t="n">
        <x:v>522.619</x:v>
      </x:c>
      <x:c r="N238" s="38" t="n">
        <x:v>618.92</x:v>
      </x:c>
      <x:c r="O238" s="38" t="n">
        <x:v>466.37</x:v>
      </x:c>
      <x:c r="P238" s="38" t="n">
        <x:v>550</x:v>
      </x:c>
      <x:c r="Q238" s="38" t="n">
        <x:v>19.88</x:v>
      </x:c>
      <x:c r="R238" s="38" t="n">
        <x:v>43.7475</x:v>
      </x:c>
      <x:c r="S238" s="38" t="n">
        <x:v>124.68</x:v>
      </x:c>
      <x:c r="T238" s="40" t="n">
        <x:v>16.34</x:v>
      </x:c>
      <x:c r="U238" s="40" t="n">
        <x:v>0.72</x:v>
      </x:c>
      <x:c r="V238" s="38" t="n">
        <x:f>L238*(1-T238/100)*(1-U238/100)</x:f>
        <x:v>361.63881342736</x:v>
      </x:c>
      <x:c r="W238" s="38" t="n">
        <x:f>G238*N238</x:f>
        <x:v>189464.40931999998</x:v>
      </x:c>
      <x:c r="X238" s="38" t="n">
        <x:f>H238*O238</x:f>
        <x:v>44238.45909</x:v>
      </x:c>
      <x:c r="Y238" s="38" t="n">
        <x:f>I238*P238</x:f>
        <x:v>10717.849999999999</x:v>
      </x:c>
      <x:c r="Z238" s="38" t="n">
        <x:f>J238*Q238+K238*P238</x:f>
        <x:v>2397.91252</x:v>
      </x:c>
      <x:c r="AA238" s="38" t="n">
        <x:f>M238*R238</x:f>
        <x:v>22863.274702500003</x:v>
      </x:c>
      <x:c r="AB238" s="38" t="n">
        <x:f>SUM(W238:AA238)</x:f>
        <x:v>269681.9056325</x:v>
      </x:c>
      <x:c r="AC238" s="38" t="n">
        <x:v>17.86</x:v>
      </x:c>
      <x:c r="AD238" s="38" t="n">
        <x:v>174.33</x:v>
      </x:c>
      <x:c r="AE238" s="38" t="n">
        <x:v>202.76</x:v>
      </x:c>
      <x:c r="AF238" s="38" t="n">
        <x:v>4.8148</x:v>
      </x:c>
      <x:c r="AG238" s="38" t="n">
        <x:v>5.82</x:v>
      </x:c>
      <x:c r="AH238" s="38" t="n">
        <x:f>IF(E238="Fason",L238*S238,0)</x:f>
        <x:v>0</x:v>
      </x:c>
      <x:c r="AI238" s="38" t="n">
        <x:f>IF(E238="Kurum içi",AC238*AD238+AE238*AF238+AB238*12%,0)</x:f>
        <x:v>36451.6113239</x:v>
      </x:c>
      <x:c r="AJ238" s="38" t="n">
        <x:f>V238*AG238</x:f>
        <x:v>2104.7378941472352</x:v>
      </x:c>
      <x:c r="AK238" s="38" t="n">
        <x:f>AB238*2%</x:f>
        <x:v>5393.63811265</x:v>
      </x:c>
      <x:c r="AL238" s="38" t="n">
        <x:f>AB238+AH238+AI238+AJ238+AK238</x:f>
        <x:v>313631.89296319726</x:v>
      </x:c>
      <x:c r="AM238" s="38" t="n">
        <x:f>AL238/V238</x:f>
        <x:v>867.251747650683</x:v>
      </x:c>
      <x:c r="AN238" s="40" t="n">
        <x:f>(W238+X238)/AL238*100</x:f>
        <x:v>74.51502020472884</x:v>
      </x:c>
      <x:c r="AO238" s="28" t="str">
        <x:v>R01-R20; ilgili satırdaki bölgesel fiyat ve maliyet varsayımları</x:v>
      </x:c>
      <x:c r="AP238" s="28" t="str">
        <x:v>Girdi miktarları, alım fiyatı değişimi, fason bedeli ve parti sonucu simüle edilmiştir; işletme kaydı değildir.</x:v>
      </x:c>
    </x:row>
    <x:row r="239" ht="22" customHeight="1">
      <x:c r="A239" t="str">
        <x:v>SUC-0238</x:v>
      </x:c>
      <x:c r="B239" s="36" t="n">
        <x:v>46295</x:v>
      </x:c>
      <x:c r="C239" t="str">
        <x:v>Akdeniz</x:v>
      </x:c>
      <x:c r="D239" t="str">
        <x:v>MEB_STANDART</x:v>
      </x:c>
      <x:c r="E239" t="str">
        <x:v>Kurum içi</x:v>
      </x:c>
      <x:c r="F239" s="42" t="str">
        <x:v>SENTETİK/SİMÜLE — gerçek parti kaydı değildir</x:v>
      </x:c>
      <x:c r="G239" s="38" t="n">
        <x:v>146.543</x:v>
      </x:c>
      <x:c r="H239" s="38" t="n">
        <x:v>44.813</x:v>
      </x:c>
      <x:c r="I239" s="38" t="n">
        <x:v>9.047</x:v>
      </x:c>
      <x:c r="J239" s="38" t="n">
        <x:v>4.955</x:v>
      </x:c>
      <x:c r="K239" s="38" t="n">
        <x:v>2.218</x:v>
      </x:c>
      <x:c r="L239" s="38" t="n">
        <x:f>SUM(G239:K239)</x:f>
        <x:v>207.576</x:v>
      </x:c>
      <x:c r="M239" s="38" t="n">
        <x:v>274.554</x:v>
      </x:c>
      <x:c r="N239" s="38" t="n">
        <x:v>597.83</x:v>
      </x:c>
      <x:c r="O239" s="38" t="n">
        <x:v>433.13</x:v>
      </x:c>
      <x:c r="P239" s="38" t="n">
        <x:v>400</x:v>
      </x:c>
      <x:c r="Q239" s="38" t="n">
        <x:v>19.88</x:v>
      </x:c>
      <x:c r="R239" s="38" t="n">
        <x:v>43.7475</x:v>
      </x:c>
      <x:c r="S239" s="38" t="n">
        <x:v>82.24</x:v>
      </x:c>
      <x:c r="T239" s="40" t="n">
        <x:v>15.91</x:v>
      </x:c>
      <x:c r="U239" s="40" t="n">
        <x:v>0.59</x:v>
      </x:c>
      <x:c r="V239" s="38" t="n">
        <x:f>L239*(1-T239/100)*(1-U239/100)</x:f>
        <x:v>173.52080951544</x:v>
      </x:c>
      <x:c r="W239" s="38" t="n">
        <x:f>G239*N239</x:f>
        <x:v>87607.80169000001</x:v>
      </x:c>
      <x:c r="X239" s="38" t="n">
        <x:f>H239*O239</x:f>
        <x:v>19409.85469</x:v>
      </x:c>
      <x:c r="Y239" s="38" t="n">
        <x:f>I239*P239</x:f>
        <x:v>3618.8</x:v>
      </x:c>
      <x:c r="Z239" s="38" t="n">
        <x:f>J239*Q239+K239*P239</x:f>
        <x:v>985.7054</x:v>
      </x:c>
      <x:c r="AA239" s="38" t="n">
        <x:f>M239*R239</x:f>
        <x:v>12011.051115</x:v>
      </x:c>
      <x:c r="AB239" s="38" t="n">
        <x:f>SUM(W239:AA239)</x:f>
        <x:v>123633.212895</x:v>
      </x:c>
      <x:c r="AC239" s="38" t="n">
        <x:v>7.41</x:v>
      </x:c>
      <x:c r="AD239" s="38" t="n">
        <x:v>174.33</x:v>
      </x:c>
      <x:c r="AE239" s="38" t="n">
        <x:v>67.36</x:v>
      </x:c>
      <x:c r="AF239" s="38" t="n">
        <x:v>4.8148</x:v>
      </x:c>
      <x:c r="AG239" s="38" t="n">
        <x:v>5.5</x:v>
      </x:c>
      <x:c r="AH239" s="38" t="n">
        <x:f>IF(E239="Fason",L239*S239,0)</x:f>
        <x:v>0</x:v>
      </x:c>
      <x:c r="AI239" s="38" t="n">
        <x:f>IF(E239="Kurum içi",AC239*AD239+AE239*AF239+AB239*12%,0)</x:f>
        <x:v>16452.0957754</x:v>
      </x:c>
      <x:c r="AJ239" s="38" t="n">
        <x:f>V239*AG239</x:f>
        <x:v>954.36445233492</x:v>
      </x:c>
      <x:c r="AK239" s="38" t="n">
        <x:f>AB239*2%</x:f>
        <x:v>2472.6642579</x:v>
      </x:c>
      <x:c r="AL239" s="38" t="n">
        <x:f>AB239+AH239+AI239+AJ239+AK239</x:f>
        <x:v>143512.3373806349</x:v>
      </x:c>
      <x:c r="AM239" s="38" t="n">
        <x:f>AL239/V239</x:f>
        <x:v>827.0612486271573</x:v>
      </x:c>
      <x:c r="AN239" s="40" t="n">
        <x:f>(W239+X239)/AL239*100</x:f>
        <x:v>74.57035285834638</x:v>
      </x:c>
      <x:c r="AO239" s="28" t="str">
        <x:v>R01-R20; ilgili satırdaki bölgesel fiyat ve maliyet varsayımları</x:v>
      </x:c>
      <x:c r="AP239" s="28" t="str">
        <x:v>Girdi miktarları, alım fiyatı değişimi, fason bedeli ve parti sonucu simüle edilmiştir; işletme kaydı değildir.</x:v>
      </x:c>
    </x:row>
    <x:row r="240" ht="22" customHeight="1">
      <x:c r="A240" t="str">
        <x:v>SUC-0239</x:v>
      </x:c>
      <x:c r="B240" s="36" t="n">
        <x:v>46310</x:v>
      </x:c>
      <x:c r="C240" t="str">
        <x:v>Ege</x:v>
      </x:c>
      <x:c r="D240" t="str">
        <x:v>ERZURUM_CI</x:v>
      </x:c>
      <x:c r="E240" t="str">
        <x:v>Kurum içi</x:v>
      </x:c>
      <x:c r="F240" s="42" t="str">
        <x:v>SENTETİK/SİMÜLE — gerçek parti kaydı değildir</x:v>
      </x:c>
      <x:c r="G240" s="38" t="n">
        <x:v>375.422</x:v>
      </x:c>
      <x:c r="H240" s="38" t="n">
        <x:v>69.911</x:v>
      </x:c>
      <x:c r="I240" s="38" t="n">
        <x:v>20.881</x:v>
      </x:c>
      <x:c r="J240" s="38" t="n">
        <x:v>7.786</x:v>
      </x:c>
      <x:c r="K240" s="38" t="n">
        <x:v>0.047</x:v>
      </x:c>
      <x:c r="L240" s="38" t="n">
        <x:f>SUM(G240:K240)</x:f>
        <x:v>474.0470000000001</x:v>
      </x:c>
      <x:c r="M240" s="38" t="n">
        <x:v>634.611</x:v>
      </x:c>
      <x:c r="N240" s="38" t="n">
        <x:v>592.11</x:v>
      </x:c>
      <x:c r="O240" s="38" t="n">
        <x:v>446.27</x:v>
      </x:c>
      <x:c r="P240" s="38" t="n">
        <x:v>669.9</x:v>
      </x:c>
      <x:c r="Q240" s="38" t="n">
        <x:v>19.88</x:v>
      </x:c>
      <x:c r="R240" s="38" t="n">
        <x:v>43.7475</x:v>
      </x:c>
      <x:c r="S240" s="38" t="n">
        <x:v>81.39</x:v>
      </x:c>
      <x:c r="T240" s="40" t="n">
        <x:v>25.17</x:v>
      </x:c>
      <x:c r="U240" s="40" t="n">
        <x:v>0.51</x:v>
      </x:c>
      <x:c r="V240" s="38" t="n">
        <x:f>L240*(1-T240/100)*(1-U240/100)</x:f>
        <x:v>352.92025031249005</x:v>
      </x:c>
      <x:c r="W240" s="38" t="n">
        <x:f>G240*N240</x:f>
        <x:v>222291.12042000002</x:v>
      </x:c>
      <x:c r="X240" s="38" t="n">
        <x:f>H240*O240</x:f>
        <x:v>31199.181969999998</x:v>
      </x:c>
      <x:c r="Y240" s="38" t="n">
        <x:f>I240*P240</x:f>
        <x:v>13988.1819</x:v>
      </x:c>
      <x:c r="Z240" s="38" t="n">
        <x:f>J240*Q240+K240*P240</x:f>
        <x:v>186.27097999999998</x:v>
      </x:c>
      <x:c r="AA240" s="38" t="n">
        <x:f>M240*R240</x:f>
        <x:v>27762.6447225</x:v>
      </x:c>
      <x:c r="AB240" s="38" t="n">
        <x:f>SUM(W240:AA240)</x:f>
        <x:v>295427.3999925</x:v>
      </x:c>
      <x:c r="AC240" s="38" t="n">
        <x:v>20.52</x:v>
      </x:c>
      <x:c r="AD240" s="38" t="n">
        <x:v>174.33</x:v>
      </x:c>
      <x:c r="AE240" s="38" t="n">
        <x:v>205.8</x:v>
      </x:c>
      <x:c r="AF240" s="38" t="n">
        <x:v>4.8148</x:v>
      </x:c>
      <x:c r="AG240" s="38" t="n">
        <x:v>5.44</x:v>
      </x:c>
      <x:c r="AH240" s="38" t="n">
        <x:f>IF(E240="Fason",L240*S240,0)</x:f>
        <x:v>0</x:v>
      </x:c>
      <x:c r="AI240" s="38" t="n">
        <x:f>IF(E240="Kurum içi",AC240*AD240+AE240*AF240+AB240*12%,0)</x:f>
        <x:v>40019.4254391</x:v>
      </x:c>
      <x:c r="AJ240" s="38" t="n">
        <x:f>V240*AG240</x:f>
        <x:v>1919.8861616999461</x:v>
      </x:c>
      <x:c r="AK240" s="38" t="n">
        <x:f>AB240*2%</x:f>
        <x:v>5908.54799985</x:v>
      </x:c>
      <x:c r="AL240" s="38" t="n">
        <x:f>AB240+AH240+AI240+AJ240+AK240</x:f>
        <x:v>343275.25959315</x:v>
      </x:c>
      <x:c r="AM240" s="38" t="n">
        <x:f>AL240/V240</x:f>
        <x:v>972.6709059318642</x:v>
      </x:c>
      <x:c r="AN240" s="40" t="n">
        <x:f>(W240+X240)/AL240*100</x:f>
        <x:v>73.84461749164122</x:v>
      </x:c>
      <x:c r="AO240" s="28" t="str">
        <x:v>R01-R20; ilgili satırdaki bölgesel fiyat ve maliyet varsayımları</x:v>
      </x:c>
      <x:c r="AP240" s="28" t="str">
        <x:v>Girdi miktarları, alım fiyatı değişimi, fason bedeli ve parti sonucu simüle edilmiştir; işletme kaydı değildir.</x:v>
      </x:c>
    </x:row>
    <x:row r="241" ht="22" customHeight="1">
      <x:c r="A241" t="str">
        <x:v>SUC-0240</x:v>
      </x:c>
      <x:c r="B241" s="36" t="n">
        <x:v>46312</x:v>
      </x:c>
      <x:c r="C241" t="str">
        <x:v>Güneydoğu Anadolu</x:v>
      </x:c>
      <x:c r="D241" t="str">
        <x:v>MEB_STANDART</x:v>
      </x:c>
      <x:c r="E241" t="str">
        <x:v>Fason</x:v>
      </x:c>
      <x:c r="F241" s="42" t="str">
        <x:v>SENTETİK/SİMÜLE — gerçek parti kaydı değildir</x:v>
      </x:c>
      <x:c r="G241" s="38" t="n">
        <x:v>134.499</x:v>
      </x:c>
      <x:c r="H241" s="38" t="n">
        <x:v>41.813</x:v>
      </x:c>
      <x:c r="I241" s="38" t="n">
        <x:v>8.199</x:v>
      </x:c>
      <x:c r="J241" s="38" t="n">
        <x:v>4.59</x:v>
      </x:c>
      <x:c r="K241" s="38" t="n">
        <x:v>2.107</x:v>
      </x:c>
      <x:c r="L241" s="38" t="n">
        <x:f>SUM(G241:K241)</x:f>
        <x:v>191.20800000000003</x:v>
      </x:c>
      <x:c r="M241" s="38" t="n">
        <x:v>241.513</x:v>
      </x:c>
      <x:c r="N241" s="38" t="n">
        <x:v>588.77</x:v>
      </x:c>
      <x:c r="O241" s="38" t="n">
        <x:v>456.73</x:v>
      </x:c>
      <x:c r="P241" s="38" t="n">
        <x:v>400</x:v>
      </x:c>
      <x:c r="Q241" s="38" t="n">
        <x:v>19.88</x:v>
      </x:c>
      <x:c r="R241" s="38" t="n">
        <x:v>43.7475</x:v>
      </x:c>
      <x:c r="S241" s="38" t="n">
        <x:v>100.56</x:v>
      </x:c>
      <x:c r="T241" s="40" t="n">
        <x:v>30.6</x:v>
      </x:c>
      <x:c r="U241" s="40" t="n">
        <x:v>0.99</x:v>
      </x:c>
      <x:c r="V241" s="38" t="n">
        <x:f>L241*(1-T241/100)*(1-U241/100)</x:f>
        <x:v>131.3846383152</x:v>
      </x:c>
      <x:c r="W241" s="38" t="n">
        <x:f>G241*N241</x:f>
        <x:v>79188.97623</x:v>
      </x:c>
      <x:c r="X241" s="38" t="n">
        <x:f>H241*O241</x:f>
        <x:v>19097.251490000002</x:v>
      </x:c>
      <x:c r="Y241" s="38" t="n">
        <x:f>I241*P241</x:f>
        <x:v>3279.6</x:v>
      </x:c>
      <x:c r="Z241" s="38" t="n">
        <x:f>J241*Q241+K241*P241</x:f>
        <x:v>934.0492</x:v>
      </x:c>
      <x:c r="AA241" s="38" t="n">
        <x:f>M241*R241</x:f>
        <x:v>10565.5899675</x:v>
      </x:c>
      <x:c r="AB241" s="38" t="n">
        <x:f>SUM(W241:AA241)</x:f>
        <x:v>113065.46688749999</x:v>
      </x:c>
      <x:c r="AC241" s="38" t="n">
        <x:v>8.88</x:v>
      </x:c>
      <x:c r="AD241" s="38" t="n">
        <x:v>174.33</x:v>
      </x:c>
      <x:c r="AE241" s="38" t="n">
        <x:v>50.43</x:v>
      </x:c>
      <x:c r="AF241" s="38" t="n">
        <x:v>4.8148</x:v>
      </x:c>
      <x:c r="AG241" s="38" t="n">
        <x:v>5.85</x:v>
      </x:c>
      <x:c r="AH241" s="38" t="n">
        <x:f>IF(E241="Fason",L241*S241,0)</x:f>
        <x:v>19227.876480000003</x:v>
      </x:c>
      <x:c r="AI241" s="38" t="n">
        <x:f>IF(E241="Kurum içi",AC241*AD241+AE241*AF241+AB241*12%,0)</x:f>
        <x:v>0</x:v>
      </x:c>
      <x:c r="AJ241" s="38" t="n">
        <x:f>V241*AG241</x:f>
        <x:v>768.60013414392</x:v>
      </x:c>
      <x:c r="AK241" s="38" t="n">
        <x:f>AB241*2%</x:f>
        <x:v>2261.30933775</x:v>
      </x:c>
      <x:c r="AL241" s="38" t="n">
        <x:f>AB241+AH241+AI241+AJ241+AK241</x:f>
        <x:v>135323.2528393939</x:v>
      </x:c>
      <x:c r="AM241" s="38" t="n">
        <x:f>AL241/V241</x:f>
        <x:v>1029.9777399755437</x:v>
      </x:c>
      <x:c r="AN241" s="40" t="n">
        <x:f>(W241+X241)/AL241*100</x:f>
        <x:v>72.63070141880887</x:v>
      </x:c>
      <x:c r="AO241" s="28" t="str">
        <x:v>R01-R20; ilgili satırdaki bölgesel fiyat ve maliyet varsayımları</x:v>
      </x:c>
      <x:c r="AP241" s="28" t="str">
        <x:v>Girdi miktarları, alım fiyatı değişimi, fason bedeli ve parti sonucu simüle edilmiştir; işletme kaydı değildir.</x:v>
      </x:c>
    </x:row>
    <x:row r="242" ht="22" customHeight="1">
      <x:c r="A242" t="str">
        <x:v>SUC-0241</x:v>
      </x:c>
      <x:c r="B242" s="36" t="n">
        <x:v>46278</x:v>
      </x:c>
      <x:c r="C242" t="str">
        <x:v>Karadeniz</x:v>
      </x:c>
      <x:c r="D242" t="str">
        <x:v>MEB_STANDART</x:v>
      </x:c>
      <x:c r="E242" t="str">
        <x:v>Kurum içi</x:v>
      </x:c>
      <x:c r="F242" s="42" t="str">
        <x:v>SENTETİK/SİMÜLE — gerçek parti kaydı değildir</x:v>
      </x:c>
      <x:c r="G242" s="38" t="n">
        <x:v>320.116</x:v>
      </x:c>
      <x:c r="H242" s="38" t="n">
        <x:v>100.021</x:v>
      </x:c>
      <x:c r="I242" s="38" t="n">
        <x:v>20.427</x:v>
      </x:c>
      <x:c r="J242" s="38" t="n">
        <x:v>11.74</x:v>
      </x:c>
      <x:c r="K242" s="38" t="n">
        <x:v>4.609</x:v>
      </x:c>
      <x:c r="L242" s="38" t="n">
        <x:f>SUM(G242:K242)</x:f>
        <x:v>456.913</x:v>
      </x:c>
      <x:c r="M242" s="38" t="n">
        <x:v>582.686</x:v>
      </x:c>
      <x:c r="N242" s="38" t="n">
        <x:v>617.07</x:v>
      </x:c>
      <x:c r="O242" s="38" t="n">
        <x:v>467.38</x:v>
      </x:c>
      <x:c r="P242" s="38" t="n">
        <x:v>669.9</x:v>
      </x:c>
      <x:c r="Q242" s="38" t="n">
        <x:v>19.88</x:v>
      </x:c>
      <x:c r="R242" s="38" t="n">
        <x:v>43.7475</x:v>
      </x:c>
      <x:c r="S242" s="38" t="n">
        <x:v>124.69</x:v>
      </x:c>
      <x:c r="T242" s="40" t="n">
        <x:v>26.6</x:v>
      </x:c>
      <x:c r="U242" s="40" t="n">
        <x:v>0.31</x:v>
      </x:c>
      <x:c r="V242" s="38" t="n">
        <x:f>L242*(1-T242/100)*(1-U242/100)</x:f>
        <x:v>334.3344821598</x:v>
      </x:c>
      <x:c r="W242" s="38" t="n">
        <x:f>G242*N242</x:f>
        <x:v>197533.98012</x:v>
      </x:c>
      <x:c r="X242" s="38" t="n">
        <x:f>H242*O242</x:f>
        <x:v>46747.81498</x:v>
      </x:c>
      <x:c r="Y242" s="38" t="n">
        <x:f>I242*P242</x:f>
        <x:v>13684.0473</x:v>
      </x:c>
      <x:c r="Z242" s="38" t="n">
        <x:f>J242*Q242+K242*P242</x:f>
        <x:v>3320.9602999999997</x:v>
      </x:c>
      <x:c r="AA242" s="38" t="n">
        <x:f>M242*R242</x:f>
        <x:v>25491.055785000004</x:v>
      </x:c>
      <x:c r="AB242" s="38" t="n">
        <x:f>SUM(W242:AA242)</x:f>
        <x:v>286777.858485</x:v>
      </x:c>
      <x:c r="AC242" s="38" t="n">
        <x:v>17.5</x:v>
      </x:c>
      <x:c r="AD242" s="38" t="n">
        <x:v>174.33</x:v>
      </x:c>
      <x:c r="AE242" s="38" t="n">
        <x:v>156.03</x:v>
      </x:c>
      <x:c r="AF242" s="38" t="n">
        <x:v>4.8148</x:v>
      </x:c>
      <x:c r="AG242" s="38" t="n">
        <x:v>5.32</x:v>
      </x:c>
      <x:c r="AH242" s="38" t="n">
        <x:f>IF(E242="Fason",L242*S242,0)</x:f>
        <x:v>0</x:v>
      </x:c>
      <x:c r="AI242" s="38" t="n">
        <x:f>IF(E242="Kurum içi",AC242*AD242+AE242*AF242+AB242*12%,0)</x:f>
        <x:v>38215.371262199995</x:v>
      </x:c>
      <x:c r="AJ242" s="38" t="n">
        <x:f>V242*AG242</x:f>
        <x:v>1778.6594450901362</x:v>
      </x:c>
      <x:c r="AK242" s="38" t="n">
        <x:f>AB242*2%</x:f>
        <x:v>5735.5571697</x:v>
      </x:c>
      <x:c r="AL242" s="38" t="n">
        <x:f>AB242+AH242+AI242+AJ242+AK242</x:f>
        <x:v>332507.4463619901</x:v>
      </x:c>
      <x:c r="AM242" s="38" t="n">
        <x:f>AL242/V242</x:f>
        <x:v>994.5353055239553</x:v>
      </x:c>
      <x:c r="AN242" s="40" t="n">
        <x:f>(W242+X242)/AL242*100</x:f>
        <x:v>73.46656376352495</x:v>
      </x:c>
      <x:c r="AO242" s="28" t="str">
        <x:v>R01-R20; ilgili satırdaki bölgesel fiyat ve maliyet varsayımları</x:v>
      </x:c>
      <x:c r="AP242" s="28" t="str">
        <x:v>Girdi miktarları, alım fiyatı değişimi, fason bedeli ve parti sonucu simüle edilmiştir; işletme kaydı değildir.</x:v>
      </x:c>
    </x:row>
    <x:row r="243" ht="22" customHeight="1">
      <x:c r="A243" t="str">
        <x:v>SUC-0242</x:v>
      </x:c>
      <x:c r="B243" s="36" t="n">
        <x:v>46274</x:v>
      </x:c>
      <x:c r="C243" t="str">
        <x:v>Doğu Anadolu</x:v>
      </x:c>
      <x:c r="D243" t="str">
        <x:v>ERZURUM_CI</x:v>
      </x:c>
      <x:c r="E243" t="str">
        <x:v>Fason</x:v>
      </x:c>
      <x:c r="F243" s="42" t="str">
        <x:v>SENTETİK/SİMÜLE — gerçek parti kaydı değildir</x:v>
      </x:c>
      <x:c r="G243" s="38" t="n">
        <x:v>190.813</x:v>
      </x:c>
      <x:c r="H243" s="38" t="n">
        <x:v>34.897</x:v>
      </x:c>
      <x:c r="I243" s="38" t="n">
        <x:v>11.733</x:v>
      </x:c>
      <x:c r="J243" s="38" t="n">
        <x:v>3.965</x:v>
      </x:c>
      <x:c r="K243" s="38" t="n">
        <x:v>0.113</x:v>
      </x:c>
      <x:c r="L243" s="38" t="n">
        <x:f>SUM(G243:K243)</x:f>
        <x:v>241.521</x:v>
      </x:c>
      <x:c r="M243" s="38" t="n">
        <x:v>286.716</x:v>
      </x:c>
      <x:c r="N243" s="38" t="n">
        <x:v>581.28</x:v>
      </x:c>
      <x:c r="O243" s="38" t="n">
        <x:v>417.01</x:v>
      </x:c>
      <x:c r="P243" s="38" t="n">
        <x:v>669.9</x:v>
      </x:c>
      <x:c r="Q243" s="38" t="n">
        <x:v>19.88</x:v>
      </x:c>
      <x:c r="R243" s="38" t="n">
        <x:v>43.7475</x:v>
      </x:c>
      <x:c r="S243" s="38" t="n">
        <x:v>77.95</x:v>
      </x:c>
      <x:c r="T243" s="40" t="n">
        <x:v>18.4</x:v>
      </x:c>
      <x:c r="U243" s="40" t="n">
        <x:v>1.11</x:v>
      </x:c>
      <x:c r="V243" s="38" t="n">
        <x:f>L243*(1-T243/100)*(1-U243/100)</x:f>
        <x:v>194.89353539040002</x:v>
      </x:c>
      <x:c r="W243" s="38" t="n">
        <x:f>G243*N243</x:f>
        <x:v>110915.78063999998</x:v>
      </x:c>
      <x:c r="X243" s="38" t="n">
        <x:f>H243*O243</x:f>
        <x:v>14552.397969999998</x:v>
      </x:c>
      <x:c r="Y243" s="38" t="n">
        <x:f>I243*P243</x:f>
        <x:v>7859.9367</x:v>
      </x:c>
      <x:c r="Z243" s="38" t="n">
        <x:f>J243*Q243+K243*P243</x:f>
        <x:v>154.5229</x:v>
      </x:c>
      <x:c r="AA243" s="38" t="n">
        <x:f>M243*R243</x:f>
        <x:v>12543.10821</x:v>
      </x:c>
      <x:c r="AB243" s="38" t="n">
        <x:f>SUM(W243:AA243)</x:f>
        <x:v>146025.74641999998</x:v>
      </x:c>
      <x:c r="AC243" s="38" t="n">
        <x:v>13.31</x:v>
      </x:c>
      <x:c r="AD243" s="38" t="n">
        <x:v>174.33</x:v>
      </x:c>
      <x:c r="AE243" s="38" t="n">
        <x:v>80.41</x:v>
      </x:c>
      <x:c r="AF243" s="38" t="n">
        <x:v>4.8148</x:v>
      </x:c>
      <x:c r="AG243" s="38" t="n">
        <x:v>5.73</x:v>
      </x:c>
      <x:c r="AH243" s="38" t="n">
        <x:f>IF(E243="Fason",L243*S243,0)</x:f>
        <x:v>18826.56195</x:v>
      </x:c>
      <x:c r="AI243" s="38" t="n">
        <x:f>IF(E243="Kurum içi",AC243*AD243+AE243*AF243+AB243*12%,0)</x:f>
        <x:v>0</x:v>
      </x:c>
      <x:c r="AJ243" s="38" t="n">
        <x:f>V243*AG243</x:f>
        <x:v>1116.7399577869921</x:v>
      </x:c>
      <x:c r="AK243" s="38" t="n">
        <x:f>AB243*2%</x:f>
        <x:v>2920.5149283999995</x:v>
      </x:c>
      <x:c r="AL243" s="38" t="n">
        <x:f>AB243+AH243+AI243+AJ243+AK243</x:f>
        <x:v>168889.56325618696</x:v>
      </x:c>
      <x:c r="AM243" s="38" t="n">
        <x:f>AL243/V243</x:f>
        <x:v>866.5734495393942</x:v>
      </x:c>
      <x:c r="AN243" s="40" t="n">
        <x:f>(W243+X243)/AL243*100</x:f>
        <x:v>74.29007227621194</x:v>
      </x:c>
      <x:c r="AO243" s="28" t="str">
        <x:v>R01-R20; ilgili satırdaki bölgesel fiyat ve maliyet varsayımları</x:v>
      </x:c>
      <x:c r="AP243" s="28" t="str">
        <x:v>Girdi miktarları, alım fiyatı değişimi, fason bedeli ve parti sonucu simüle edilmiştir; işletme kaydı değildir.</x:v>
      </x:c>
    </x:row>
    <x:row r="244" ht="22" customHeight="1">
      <x:c r="A244" t="str">
        <x:v>SUC-0243</x:v>
      </x:c>
      <x:c r="B244" s="36" t="n">
        <x:v>46296</x:v>
      </x:c>
      <x:c r="C244" t="str">
        <x:v>Marmara</x:v>
      </x:c>
      <x:c r="D244" t="str">
        <x:v>MEB_STANDART</x:v>
      </x:c>
      <x:c r="E244" t="str">
        <x:v>Kurum içi</x:v>
      </x:c>
      <x:c r="F244" s="42" t="str">
        <x:v>SENTETİK/SİMÜLE — gerçek parti kaydı değildir</x:v>
      </x:c>
      <x:c r="G244" s="38" t="n">
        <x:v>141.835</x:v>
      </x:c>
      <x:c r="H244" s="38" t="n">
        <x:v>45.204</x:v>
      </x:c>
      <x:c r="I244" s="38" t="n">
        <x:v>9.698</x:v>
      </x:c>
      <x:c r="J244" s="38" t="n">
        <x:v>5.2</x:v>
      </x:c>
      <x:c r="K244" s="38" t="n">
        <x:v>1.886</x:v>
      </x:c>
      <x:c r="L244" s="38" t="n">
        <x:f>SUM(G244:K244)</x:f>
        <x:v>203.823</x:v>
      </x:c>
      <x:c r="M244" s="38" t="n">
        <x:v>253.728</x:v>
      </x:c>
      <x:c r="N244" s="38" t="n">
        <x:v>597.32</x:v>
      </x:c>
      <x:c r="O244" s="38" t="n">
        <x:v>436.74</x:v>
      </x:c>
      <x:c r="P244" s="38" t="n">
        <x:v>400</x:v>
      </x:c>
      <x:c r="Q244" s="38" t="n">
        <x:v>19.88</x:v>
      </x:c>
      <x:c r="R244" s="38" t="n">
        <x:v>43.7475</x:v>
      </x:c>
      <x:c r="S244" s="38" t="n">
        <x:v>73.53</x:v>
      </x:c>
      <x:c r="T244" s="40" t="n">
        <x:v>19.28</x:v>
      </x:c>
      <x:c r="U244" s="40" t="n">
        <x:v>0.81</x:v>
      </x:c>
      <x:c r="V244" s="38" t="n">
        <x:f>L244*(1-T244/100)*(1-U244/100)</x:f>
        <x:v>163.19326560264003</x:v>
      </x:c>
      <x:c r="W244" s="38" t="n">
        <x:f>G244*N244</x:f>
        <x:v>84720.88220000001</x:v>
      </x:c>
      <x:c r="X244" s="38" t="n">
        <x:f>H244*O244</x:f>
        <x:v>19742.39496</x:v>
      </x:c>
      <x:c r="Y244" s="38" t="n">
        <x:f>I244*P244</x:f>
        <x:v>3879.2000000000003</x:v>
      </x:c>
      <x:c r="Z244" s="38" t="n">
        <x:f>J244*Q244+K244*P244</x:f>
        <x:v>857.776</x:v>
      </x:c>
      <x:c r="AA244" s="38" t="n">
        <x:f>M244*R244</x:f>
        <x:v>11099.965680000001</x:v>
      </x:c>
      <x:c r="AB244" s="38" t="n">
        <x:f>SUM(W244:AA244)</x:f>
        <x:v>120300.21884000002</x:v>
      </x:c>
      <x:c r="AC244" s="38" t="n">
        <x:v>10.82</x:v>
      </x:c>
      <x:c r="AD244" s="38" t="n">
        <x:v>174.33</x:v>
      </x:c>
      <x:c r="AE244" s="38" t="n">
        <x:v>56.06</x:v>
      </x:c>
      <x:c r="AF244" s="38" t="n">
        <x:v>4.8148</x:v>
      </x:c>
      <x:c r="AG244" s="38" t="n">
        <x:v>5.51</x:v>
      </x:c>
      <x:c r="AH244" s="38" t="n">
        <x:f>IF(E244="Fason",L244*S244,0)</x:f>
        <x:v>0</x:v>
      </x:c>
      <x:c r="AI244" s="38" t="n">
        <x:f>IF(E244="Kurum içi",AC244*AD244+AE244*AF244+AB244*12%,0)</x:f>
        <x:v>16592.194548800002</x:v>
      </x:c>
      <x:c r="AJ244" s="38" t="n">
        <x:f>V244*AG244</x:f>
        <x:v>899.1948934705465</x:v>
      </x:c>
      <x:c r="AK244" s="38" t="n">
        <x:f>AB244*2%</x:f>
        <x:v>2406.0043768000005</x:v>
      </x:c>
      <x:c r="AL244" s="38" t="n">
        <x:f>AB244+AH244+AI244+AJ244+AK244</x:f>
        <x:v>140197.61265907058</x:v>
      </x:c>
      <x:c r="AM244" s="38" t="n">
        <x:f>AL244/V244</x:f>
        <x:v>859.0894491960124</x:v>
      </x:c>
      <x:c r="AN244" s="40" t="n">
        <x:f>(W244+X244)/AL244*100</x:f>
        <x:v>74.5114522128358</x:v>
      </x:c>
      <x:c r="AO244" s="28" t="str">
        <x:v>R01-R20; ilgili satırdaki bölgesel fiyat ve maliyet varsayımları</x:v>
      </x:c>
      <x:c r="AP244" s="28" t="str">
        <x:v>Girdi miktarları, alım fiyatı değişimi, fason bedeli ve parti sonucu simüle edilmiştir; işletme kaydı değildir.</x:v>
      </x:c>
    </x:row>
    <x:row r="245" ht="22" customHeight="1">
      <x:c r="A245" t="str">
        <x:v>SUC-0244</x:v>
      </x:c>
      <x:c r="B245" s="36" t="n">
        <x:v>46306</x:v>
      </x:c>
      <x:c r="C245" t="str">
        <x:v>Güneydoğu Anadolu</x:v>
      </x:c>
      <x:c r="D245" t="str">
        <x:v>MEB_STANDART</x:v>
      </x:c>
      <x:c r="E245" t="str">
        <x:v>Kurum içi</x:v>
      </x:c>
      <x:c r="F245" s="42" t="str">
        <x:v>SENTETİK/SİMÜLE — gerçek parti kaydı değildir</x:v>
      </x:c>
      <x:c r="G245" s="38" t="n">
        <x:v>223.488</x:v>
      </x:c>
      <x:c r="H245" s="38" t="n">
        <x:v>73.262</x:v>
      </x:c>
      <x:c r="I245" s="38" t="n">
        <x:v>14.566</x:v>
      </x:c>
      <x:c r="J245" s="38" t="n">
        <x:v>8.501</x:v>
      </x:c>
      <x:c r="K245" s="38" t="n">
        <x:v>2.8</x:v>
      </x:c>
      <x:c r="L245" s="38" t="n">
        <x:f>SUM(G245:K245)</x:f>
        <x:v>322.61699999999996</x:v>
      </x:c>
      <x:c r="M245" s="38" t="n">
        <x:v>425.796</x:v>
      </x:c>
      <x:c r="N245" s="38" t="n">
        <x:v>572</x:v>
      </x:c>
      <x:c r="O245" s="38" t="n">
        <x:v>414.1</x:v>
      </x:c>
      <x:c r="P245" s="38" t="n">
        <x:v>669.9</x:v>
      </x:c>
      <x:c r="Q245" s="38" t="n">
        <x:v>19.88</x:v>
      </x:c>
      <x:c r="R245" s="38" t="n">
        <x:v>43.7475</x:v>
      </x:c>
      <x:c r="S245" s="38" t="n">
        <x:v>80.72</x:v>
      </x:c>
      <x:c r="T245" s="40" t="n">
        <x:v>21.61</x:v>
      </x:c>
      <x:c r="U245" s="40" t="n">
        <x:v>0.35</x:v>
      </x:c>
      <x:c r="V245" s="38" t="n">
        <x:f>L245*(1-T245/100)*(1-U245/100)</x:f>
        <x:v>252.01431816795</x:v>
      </x:c>
      <x:c r="W245" s="38" t="n">
        <x:f>G245*N245</x:f>
        <x:v>127835.136</x:v>
      </x:c>
      <x:c r="X245" s="38" t="n">
        <x:f>H245*O245</x:f>
        <x:v>30337.7942</x:v>
      </x:c>
      <x:c r="Y245" s="38" t="n">
        <x:f>I245*P245</x:f>
        <x:v>9757.7634</x:v>
      </x:c>
      <x:c r="Z245" s="38" t="n">
        <x:f>J245*Q245+K245*P245</x:f>
        <x:v>2044.7198799999999</x:v>
      </x:c>
      <x:c r="AA245" s="38" t="n">
        <x:f>M245*R245</x:f>
        <x:v>18627.51051</x:v>
      </x:c>
      <x:c r="AB245" s="38" t="n">
        <x:f>SUM(W245:AA245)</x:f>
        <x:v>188602.92398999998</x:v>
      </x:c>
      <x:c r="AC245" s="38" t="n">
        <x:v>17.49</x:v>
      </x:c>
      <x:c r="AD245" s="38" t="n">
        <x:v>174.33</x:v>
      </x:c>
      <x:c r="AE245" s="38" t="n">
        <x:v>120.53</x:v>
      </x:c>
      <x:c r="AF245" s="38" t="n">
        <x:v>4.8148</x:v>
      </x:c>
      <x:c r="AG245" s="38" t="n">
        <x:v>5.37</x:v>
      </x:c>
      <x:c r="AH245" s="38" t="n">
        <x:f>IF(E245="Fason",L245*S245,0)</x:f>
        <x:v>0</x:v>
      </x:c>
      <x:c r="AI245" s="38" t="n">
        <x:f>IF(E245="Kurum içi",AC245*AD245+AE245*AF245+AB245*12%,0)</x:f>
        <x:v>26261.710422799995</x:v>
      </x:c>
      <x:c r="AJ245" s="38" t="n">
        <x:f>V245*AG245</x:f>
        <x:v>1353.3168885618916</x:v>
      </x:c>
      <x:c r="AK245" s="38" t="n">
        <x:f>AB245*2%</x:f>
        <x:v>3772.0584797999995</x:v>
      </x:c>
      <x:c r="AL245" s="38" t="n">
        <x:f>AB245+AH245+AI245+AJ245+AK245</x:f>
        <x:v>219990.00978116185</x:v>
      </x:c>
      <x:c r="AM245" s="38" t="n">
        <x:f>AL245/V245</x:f>
        <x:v>872.9266312343167</x:v>
      </x:c>
      <x:c r="AN245" s="40" t="n">
        <x:f>(W245+X245)/AL245*100</x:f>
        <x:v>71.90005144203809</x:v>
      </x:c>
      <x:c r="AO245" s="28" t="str">
        <x:v>R01-R20; ilgili satırdaki bölgesel fiyat ve maliyet varsayımları</x:v>
      </x:c>
      <x:c r="AP245" s="28" t="str">
        <x:v>Girdi miktarları, alım fiyatı değişimi, fason bedeli ve parti sonucu simüle edilmiştir; işletme kaydı değildir.</x:v>
      </x:c>
    </x:row>
    <x:row r="246" ht="22" customHeight="1">
      <x:c r="A246" t="str">
        <x:v>SUC-0245</x:v>
      </x:c>
      <x:c r="B246" s="36" t="n">
        <x:v>46305</x:v>
      </x:c>
      <x:c r="C246" t="str">
        <x:v>Karadeniz</x:v>
      </x:c>
      <x:c r="D246" t="str">
        <x:v>ERZURUM_CI</x:v>
      </x:c>
      <x:c r="E246" t="str">
        <x:v>Fason</x:v>
      </x:c>
      <x:c r="F246" s="42" t="str">
        <x:v>SENTETİK/SİMÜLE — gerçek parti kaydı değildir</x:v>
      </x:c>
      <x:c r="G246" s="38" t="n">
        <x:v>311.819</x:v>
      </x:c>
      <x:c r="H246" s="38" t="n">
        <x:v>57.758</x:v>
      </x:c>
      <x:c r="I246" s="38" t="n">
        <x:v>19.535</x:v>
      </x:c>
      <x:c r="J246" s="38" t="n">
        <x:v>5.838</x:v>
      </x:c>
      <x:c r="K246" s="38" t="n">
        <x:v>0.855</x:v>
      </x:c>
      <x:c r="L246" s="38" t="n">
        <x:f>SUM(G246:K246)</x:f>
        <x:v>395.80500000000006</x:v>
      </x:c>
      <x:c r="M246" s="38" t="n">
        <x:v>471.837</x:v>
      </x:c>
      <x:c r="N246" s="38" t="n">
        <x:v>602.17</x:v>
      </x:c>
      <x:c r="O246" s="38" t="n">
        <x:v>452.52</x:v>
      </x:c>
      <x:c r="P246" s="38" t="n">
        <x:v>550</x:v>
      </x:c>
      <x:c r="Q246" s="38" t="n">
        <x:v>19.88</x:v>
      </x:c>
      <x:c r="R246" s="38" t="n">
        <x:v>43.7475</x:v>
      </x:c>
      <x:c r="S246" s="38" t="n">
        <x:v>72.22</x:v>
      </x:c>
      <x:c r="T246" s="40" t="n">
        <x:v>23.44</x:v>
      </x:c>
      <x:c r="U246" s="40" t="n">
        <x:v>0.54</x:v>
      </x:c>
      <x:c r="V246" s="38" t="n">
        <x:f>L246*(1-T246/100)*(1-U246/100)</x:f>
        <x:v>301.39195513680005</x:v>
      </x:c>
      <x:c r="W246" s="38" t="n">
        <x:f>G246*N246</x:f>
        <x:v>187768.04723</x:v>
      </x:c>
      <x:c r="X246" s="38" t="n">
        <x:f>H246*O246</x:f>
        <x:v>26136.65016</x:v>
      </x:c>
      <x:c r="Y246" s="38" t="n">
        <x:f>I246*P246</x:f>
        <x:v>10744.25</x:v>
      </x:c>
      <x:c r="Z246" s="38" t="n">
        <x:f>J246*Q246+K246*P246</x:f>
        <x:v>586.30944</x:v>
      </x:c>
      <x:c r="AA246" s="38" t="n">
        <x:f>M246*R246</x:f>
        <x:v>20641.6891575</x:v>
      </x:c>
      <x:c r="AB246" s="38" t="n">
        <x:f>SUM(W246:AA246)</x:f>
        <x:v>245876.9459875</x:v>
      </x:c>
      <x:c r="AC246" s="38" t="n">
        <x:v>18.26</x:v>
      </x:c>
      <x:c r="AD246" s="38" t="n">
        <x:v>174.33</x:v>
      </x:c>
      <x:c r="AE246" s="38" t="n">
        <x:v>169.86</x:v>
      </x:c>
      <x:c r="AF246" s="38" t="n">
        <x:v>4.8148</x:v>
      </x:c>
      <x:c r="AG246" s="38" t="n">
        <x:v>5.22</x:v>
      </x:c>
      <x:c r="AH246" s="38" t="n">
        <x:f>IF(E246="Fason",L246*S246,0)</x:f>
        <x:v>28585.037100000005</x:v>
      </x:c>
      <x:c r="AI246" s="38" t="n">
        <x:f>IF(E246="Kurum içi",AC246*AD246+AE246*AF246+AB246*12%,0)</x:f>
        <x:v>0</x:v>
      </x:c>
      <x:c r="AJ246" s="38" t="n">
        <x:f>V246*AG246</x:f>
        <x:v>1573.2660058140962</x:v>
      </x:c>
      <x:c r="AK246" s="38" t="n">
        <x:f>AB246*2%</x:f>
        <x:v>4917.53891975</x:v>
      </x:c>
      <x:c r="AL246" s="38" t="n">
        <x:f>AB246+AH246+AI246+AJ246+AK246</x:f>
        <x:v>280952.78801306407</x:v>
      </x:c>
      <x:c r="AM246" s="38" t="n">
        <x:f>AL246/V246</x:f>
        <x:v>932.1840985620909</x:v>
      </x:c>
      <x:c r="AN246" s="40" t="n">
        <x:f>(W246+X246)/AL246*100</x:f>
        <x:v>76.13545994783067</x:v>
      </x:c>
      <x:c r="AO246" s="28" t="str">
        <x:v>R01-R20; ilgili satırdaki bölgesel fiyat ve maliyet varsayımları</x:v>
      </x:c>
      <x:c r="AP246" s="28" t="str">
        <x:v>Girdi miktarları, alım fiyatı değişimi, fason bedeli ve parti sonucu simüle edilmiştir; işletme kaydı değildir.</x:v>
      </x:c>
    </x:row>
    <x:row r="247" ht="22" customHeight="1">
      <x:c r="A247" t="str">
        <x:v>SUC-0246</x:v>
      </x:c>
      <x:c r="B247" s="36" t="n">
        <x:v>46299</x:v>
      </x:c>
      <x:c r="C247" t="str">
        <x:v>Marmara</x:v>
      </x:c>
      <x:c r="D247" t="str">
        <x:v>ERZURUM_CI</x:v>
      </x:c>
      <x:c r="E247" t="str">
        <x:v>Fason</x:v>
      </x:c>
      <x:c r="F247" s="42" t="str">
        <x:v>SENTETİK/SİMÜLE — gerçek parti kaydı değildir</x:v>
      </x:c>
      <x:c r="G247" s="38" t="n">
        <x:v>378.654</x:v>
      </x:c>
      <x:c r="H247" s="38" t="n">
        <x:v>64.966</x:v>
      </x:c>
      <x:c r="I247" s="38" t="n">
        <x:v>21.459</x:v>
      </x:c>
      <x:c r="J247" s="38" t="n">
        <x:v>7.26</x:v>
      </x:c>
      <x:c r="K247" s="38" t="n">
        <x:v>0.047</x:v>
      </x:c>
      <x:c r="L247" s="38" t="n">
        <x:f>SUM(G247:K247)</x:f>
        <x:v>472.386</x:v>
      </x:c>
      <x:c r="M247" s="38" t="n">
        <x:v>604.244</x:v>
      </x:c>
      <x:c r="N247" s="38" t="n">
        <x:v>616.69</x:v>
      </x:c>
      <x:c r="O247" s="38" t="n">
        <x:v>422.06</x:v>
      </x:c>
      <x:c r="P247" s="38" t="n">
        <x:v>550</x:v>
      </x:c>
      <x:c r="Q247" s="38" t="n">
        <x:v>19.88</x:v>
      </x:c>
      <x:c r="R247" s="38" t="n">
        <x:v>43.7475</x:v>
      </x:c>
      <x:c r="S247" s="38" t="n">
        <x:v>102.74</x:v>
      </x:c>
      <x:c r="T247" s="40" t="n">
        <x:v>22.07</x:v>
      </x:c>
      <x:c r="U247" s="40" t="n">
        <x:v>1.02</x:v>
      </x:c>
      <x:c r="V247" s="38" t="n">
        <x:f>L247*(1-T247/100)*(1-U247/100)</x:f>
        <x:v>364.37547962004</x:v>
      </x:c>
      <x:c r="W247" s="38" t="n">
        <x:f>G247*N247</x:f>
        <x:v>233512.13526</x:v>
      </x:c>
      <x:c r="X247" s="38" t="n">
        <x:f>H247*O247</x:f>
        <x:v>27419.549959999997</x:v>
      </x:c>
      <x:c r="Y247" s="38" t="n">
        <x:f>I247*P247</x:f>
        <x:v>11802.449999999999</x:v>
      </x:c>
      <x:c r="Z247" s="38" t="n">
        <x:f>J247*Q247+K247*P247</x:f>
        <x:v>170.1788</x:v>
      </x:c>
      <x:c r="AA247" s="38" t="n">
        <x:f>M247*R247</x:f>
        <x:v>26434.16439</x:v>
      </x:c>
      <x:c r="AB247" s="38" t="n">
        <x:f>SUM(W247:AA247)</x:f>
        <x:v>299338.47841</x:v>
      </x:c>
      <x:c r="AC247" s="38" t="n">
        <x:v>29.83</x:v>
      </x:c>
      <x:c r="AD247" s="38" t="n">
        <x:v>174.33</x:v>
      </x:c>
      <x:c r="AE247" s="38" t="n">
        <x:v>201.3</x:v>
      </x:c>
      <x:c r="AF247" s="38" t="n">
        <x:v>4.8148</x:v>
      </x:c>
      <x:c r="AG247" s="38" t="n">
        <x:v>5.46</x:v>
      </x:c>
      <x:c r="AH247" s="38" t="n">
        <x:f>IF(E247="Fason",L247*S247,0)</x:f>
        <x:v>48532.93764</x:v>
      </x:c>
      <x:c r="AI247" s="38" t="n">
        <x:f>IF(E247="Kurum içi",AC247*AD247+AE247*AF247+AB247*12%,0)</x:f>
        <x:v>0</x:v>
      </x:c>
      <x:c r="AJ247" s="38" t="n">
        <x:f>V247*AG247</x:f>
        <x:v>1989.4901187254184</x:v>
      </x:c>
      <x:c r="AK247" s="38" t="n">
        <x:f>AB247*2%</x:f>
        <x:v>5986.769568199999</x:v>
      </x:c>
      <x:c r="AL247" s="38" t="n">
        <x:f>AB247+AH247+AI247+AJ247+AK247</x:f>
        <x:v>355847.6757369254</x:v>
      </x:c>
      <x:c r="AM247" s="38" t="n">
        <x:f>AL247/V247</x:f>
        <x:v>976.596109343013</x:v>
      </x:c>
      <x:c r="AN247" s="40" t="n">
        <x:f>(W247+X247)/AL247*100</x:f>
        <x:v>73.32679205495336</x:v>
      </x:c>
      <x:c r="AO247" s="28" t="str">
        <x:v>R01-R20; ilgili satırdaki bölgesel fiyat ve maliyet varsayımları</x:v>
      </x:c>
      <x:c r="AP247" s="28" t="str">
        <x:v>Girdi miktarları, alım fiyatı değişimi, fason bedeli ve parti sonucu simüle edilmiştir; işletme kaydı değildir.</x:v>
      </x:c>
    </x:row>
    <x:row r="248" ht="22" customHeight="1">
      <x:c r="A248" t="str">
        <x:v>SUC-0247</x:v>
      </x:c>
      <x:c r="B248" s="36" t="n">
        <x:v>46266</x:v>
      </x:c>
      <x:c r="C248" t="str">
        <x:v>Karadeniz</x:v>
      </x:c>
      <x:c r="D248" t="str">
        <x:v>MEB_STANDART</x:v>
      </x:c>
      <x:c r="E248" t="str">
        <x:v>Kurum içi</x:v>
      </x:c>
      <x:c r="F248" s="42" t="str">
        <x:v>SENTETİK/SİMÜLE — gerçek parti kaydı değildir</x:v>
      </x:c>
      <x:c r="G248" s="38" t="n">
        <x:v>351.687</x:v>
      </x:c>
      <x:c r="H248" s="38" t="n">
        <x:v>107.262</x:v>
      </x:c>
      <x:c r="I248" s="38" t="n">
        <x:v>23.286</x:v>
      </x:c>
      <x:c r="J248" s="38" t="n">
        <x:v>12.67</x:v>
      </x:c>
      <x:c r="K248" s="38" t="n">
        <x:v>4.542</x:v>
      </x:c>
      <x:c r="L248" s="38" t="n">
        <x:f>SUM(G248:K248)</x:f>
        <x:v>499.447</x:v>
      </x:c>
      <x:c r="M248" s="38" t="n">
        <x:v>636.529</x:v>
      </x:c>
      <x:c r="N248" s="38" t="n">
        <x:v>605.56</x:v>
      </x:c>
      <x:c r="O248" s="38" t="n">
        <x:v>479.77</x:v>
      </x:c>
      <x:c r="P248" s="38" t="n">
        <x:v>550</x:v>
      </x:c>
      <x:c r="Q248" s="38" t="n">
        <x:v>19.88</x:v>
      </x:c>
      <x:c r="R248" s="38" t="n">
        <x:v>43.7475</x:v>
      </x:c>
      <x:c r="S248" s="38" t="n">
        <x:v>87.03</x:v>
      </x:c>
      <x:c r="T248" s="40" t="n">
        <x:v>22.9</x:v>
      </x:c>
      <x:c r="U248" s="40" t="n">
        <x:v>0.92</x:v>
      </x:c>
      <x:c r="V248" s="38" t="n">
        <x:f>L248*(1-T248/100)*(1-U248/100)</x:f>
        <x:v>381.5309595396</x:v>
      </x:c>
      <x:c r="W248" s="38" t="n">
        <x:f>G248*N248</x:f>
        <x:v>212967.57971999998</x:v>
      </x:c>
      <x:c r="X248" s="38" t="n">
        <x:f>H248*O248</x:f>
        <x:v>51461.089739999996</x:v>
      </x:c>
      <x:c r="Y248" s="38" t="n">
        <x:f>I248*P248</x:f>
        <x:v>12807.300000000001</x:v>
      </x:c>
      <x:c r="Z248" s="38" t="n">
        <x:f>J248*Q248+K248*P248</x:f>
        <x:v>2749.9795999999997</x:v>
      </x:c>
      <x:c r="AA248" s="38" t="n">
        <x:f>M248*R248</x:f>
        <x:v>27846.552427500003</x:v>
      </x:c>
      <x:c r="AB248" s="38" t="n">
        <x:f>SUM(W248:AA248)</x:f>
        <x:v>307832.50148750003</x:v>
      </x:c>
      <x:c r="AC248" s="38" t="n">
        <x:v>23.69</x:v>
      </x:c>
      <x:c r="AD248" s="38" t="n">
        <x:v>174.33</x:v>
      </x:c>
      <x:c r="AE248" s="38" t="n">
        <x:v>206.1</x:v>
      </x:c>
      <x:c r="AF248" s="38" t="n">
        <x:v>4.8148</x:v>
      </x:c>
      <x:c r="AG248" s="38" t="n">
        <x:v>5.37</x:v>
      </x:c>
      <x:c r="AH248" s="38" t="n">
        <x:f>IF(E248="Fason",L248*S248,0)</x:f>
        <x:v>0</x:v>
      </x:c>
      <x:c r="AI248" s="38" t="n">
        <x:f>IF(E248="Kurum içi",AC248*AD248+AE248*AF248+AB248*12%,0)</x:f>
        <x:v>42062.1081585</x:v>
      </x:c>
      <x:c r="AJ248" s="38" t="n">
        <x:f>V248*AG248</x:f>
        <x:v>2048.8212527276523</x:v>
      </x:c>
      <x:c r="AK248" s="38" t="n">
        <x:f>AB248*2%</x:f>
        <x:v>6156.650029750001</x:v>
      </x:c>
      <x:c r="AL248" s="38" t="n">
        <x:f>AB248+AH248+AI248+AJ248+AK248</x:f>
        <x:v>358100.0809284777</x:v>
      </x:c>
      <x:c r="AM248" s="38" t="n">
        <x:f>AL248/V248</x:f>
        <x:v>938.5872154663497</x:v>
      </x:c>
      <x:c r="AN248" s="40" t="n">
        <x:f>(W248+X248)/AL248*100</x:f>
        <x:v>73.8421138510755</x:v>
      </x:c>
      <x:c r="AO248" s="28" t="str">
        <x:v>R01-R20; ilgili satırdaki bölgesel fiyat ve maliyet varsayımları</x:v>
      </x:c>
      <x:c r="AP248" s="28" t="str">
        <x:v>Girdi miktarları, alım fiyatı değişimi, fason bedeli ve parti sonucu simüle edilmiştir; işletme kaydı değildir.</x:v>
      </x:c>
    </x:row>
    <x:row r="249" ht="22" customHeight="1">
      <x:c r="A249" t="str">
        <x:v>SUC-0248</x:v>
      </x:c>
      <x:c r="B249" s="36" t="n">
        <x:v>46296</x:v>
      </x:c>
      <x:c r="C249" t="str">
        <x:v>Doğu Anadolu</x:v>
      </x:c>
      <x:c r="D249" t="str">
        <x:v>ERZURUM_CI</x:v>
      </x:c>
      <x:c r="E249" t="str">
        <x:v>Fason</x:v>
      </x:c>
      <x:c r="F249" s="42" t="str">
        <x:v>SENTETİK/SİMÜLE — gerçek parti kaydı değildir</x:v>
      </x:c>
      <x:c r="G249" s="38" t="n">
        <x:v>155.809</x:v>
      </x:c>
      <x:c r="H249" s="38" t="n">
        <x:v>27.529</x:v>
      </x:c>
      <x:c r="I249" s="38" t="n">
        <x:v>9.149</x:v>
      </x:c>
      <x:c r="J249" s="38" t="n">
        <x:v>2.975</x:v>
      </x:c>
      <x:c r="K249" s="38" t="n">
        <x:v>0.019</x:v>
      </x:c>
      <x:c r="L249" s="38" t="n">
        <x:f>SUM(G249:K249)</x:f>
        <x:v>195.481</x:v>
      </x:c>
      <x:c r="M249" s="38" t="n">
        <x:v>233.984</x:v>
      </x:c>
      <x:c r="N249" s="38" t="n">
        <x:v>602.43</x:v>
      </x:c>
      <x:c r="O249" s="38" t="n">
        <x:v>468.82</x:v>
      </x:c>
      <x:c r="P249" s="38" t="n">
        <x:v>669.9</x:v>
      </x:c>
      <x:c r="Q249" s="38" t="n">
        <x:v>19.88</x:v>
      </x:c>
      <x:c r="R249" s="38" t="n">
        <x:v>43.7475</x:v>
      </x:c>
      <x:c r="S249" s="38" t="n">
        <x:v>88.82</x:v>
      </x:c>
      <x:c r="T249" s="40" t="n">
        <x:v>17.22</x:v>
      </x:c>
      <x:c r="U249" s="40" t="n">
        <x:v>0.98</x:v>
      </x:c>
      <x:c r="V249" s="38" t="n">
        <x:f>L249*(1-T249/100)*(1-U249/100)</x:f>
        <x:v>160.23334391635998</x:v>
      </x:c>
      <x:c r="W249" s="38" t="n">
        <x:f>G249*N249</x:f>
        <x:v>93864.01586999999</x:v>
      </x:c>
      <x:c r="X249" s="38" t="n">
        <x:f>H249*O249</x:f>
        <x:v>12906.145779999999</x:v>
      </x:c>
      <x:c r="Y249" s="38" t="n">
        <x:f>I249*P249</x:f>
        <x:v>6128.915099999999</x:v>
      </x:c>
      <x:c r="Z249" s="38" t="n">
        <x:f>J249*Q249+K249*P249</x:f>
        <x:v>71.8711</x:v>
      </x:c>
      <x:c r="AA249" s="38" t="n">
        <x:f>M249*R249</x:f>
        <x:v>10236.215040000001</x:v>
      </x:c>
      <x:c r="AB249" s="38" t="n">
        <x:f>SUM(W249:AA249)</x:f>
        <x:v>123207.16288999999</x:v>
      </x:c>
      <x:c r="AC249" s="38" t="n">
        <x:v>12.04</x:v>
      </x:c>
      <x:c r="AD249" s="38" t="n">
        <x:v>174.33</x:v>
      </x:c>
      <x:c r="AE249" s="38" t="n">
        <x:v>48.68</x:v>
      </x:c>
      <x:c r="AF249" s="38" t="n">
        <x:v>4.8148</x:v>
      </x:c>
      <x:c r="AG249" s="38" t="n">
        <x:v>5.47</x:v>
      </x:c>
      <x:c r="AH249" s="38" t="n">
        <x:f>IF(E249="Fason",L249*S249,0)</x:f>
        <x:v>17362.62242</x:v>
      </x:c>
      <x:c r="AI249" s="38" t="n">
        <x:f>IF(E249="Kurum içi",AC249*AD249+AE249*AF249+AB249*12%,0)</x:f>
        <x:v>0</x:v>
      </x:c>
      <x:c r="AJ249" s="38" t="n">
        <x:f>V249*AG249</x:f>
        <x:v>876.476391222489</x:v>
      </x:c>
      <x:c r="AK249" s="38" t="n">
        <x:f>AB249*2%</x:f>
        <x:v>2464.1432578</x:v>
      </x:c>
      <x:c r="AL249" s="38" t="n">
        <x:f>AB249+AH249+AI249+AJ249+AK249</x:f>
        <x:v>143910.4049590225</x:v>
      </x:c>
      <x:c r="AM249" s="38" t="n">
        <x:f>AL249/V249</x:f>
        <x:v>898.1301983820679</x:v>
      </x:c>
      <x:c r="AN249" s="40" t="n">
        <x:f>(W249+X249)/AL249*100</x:f>
        <x:v>74.19210701297246</x:v>
      </x:c>
      <x:c r="AO249" s="28" t="str">
        <x:v>R01-R20; ilgili satırdaki bölgesel fiyat ve maliyet varsayımları</x:v>
      </x:c>
      <x:c r="AP249" s="28" t="str">
        <x:v>Girdi miktarları, alım fiyatı değişimi, fason bedeli ve parti sonucu simüle edilmiştir; işletme kaydı değildir.</x:v>
      </x:c>
    </x:row>
    <x:row r="250" ht="22" customHeight="1">
      <x:c r="A250" t="str">
        <x:v>SUC-0249</x:v>
      </x:c>
      <x:c r="B250" s="36" t="n">
        <x:v>46312</x:v>
      </x:c>
      <x:c r="C250" t="str">
        <x:v>Marmara</x:v>
      </x:c>
      <x:c r="D250" t="str">
        <x:v>ERZURUM_CI</x:v>
      </x:c>
      <x:c r="E250" t="str">
        <x:v>Kurum içi</x:v>
      </x:c>
      <x:c r="F250" s="42" t="str">
        <x:v>SENTETİK/SİMÜLE — gerçek parti kaydı değildir</x:v>
      </x:c>
      <x:c r="G250" s="38" t="n">
        <x:v>189.971</x:v>
      </x:c>
      <x:c r="H250" s="38" t="n">
        <x:v>34.065</x:v>
      </x:c>
      <x:c r="I250" s="38" t="n">
        <x:v>11.061</x:v>
      </x:c>
      <x:c r="J250" s="38" t="n">
        <x:v>4.176</x:v>
      </x:c>
      <x:c r="K250" s="38" t="n">
        <x:v>0.474</x:v>
      </x:c>
      <x:c r="L250" s="38" t="n">
        <x:f>SUM(G250:K250)</x:f>
        <x:v>239.74699999999999</x:v>
      </x:c>
      <x:c r="M250" s="38" t="n">
        <x:v>289.758</x:v>
      </x:c>
      <x:c r="N250" s="38" t="n">
        <x:v>603.18</x:v>
      </x:c>
      <x:c r="O250" s="38" t="n">
        <x:v>447.69</x:v>
      </x:c>
      <x:c r="P250" s="38" t="n">
        <x:v>550</x:v>
      </x:c>
      <x:c r="Q250" s="38" t="n">
        <x:v>19.88</x:v>
      </x:c>
      <x:c r="R250" s="38" t="n">
        <x:v>43.7475</x:v>
      </x:c>
      <x:c r="S250" s="38" t="n">
        <x:v>106.81</x:v>
      </x:c>
      <x:c r="T250" s="40" t="n">
        <x:v>19.14</x:v>
      </x:c>
      <x:c r="U250" s="40" t="n">
        <x:v>0.81</x:v>
      </x:c>
      <x:c r="V250" s="38" t="n">
        <x:f>L250*(1-T250/100)*(1-U250/100)</x:f>
        <x:v>192.28916286397998</x:v>
      </x:c>
      <x:c r="W250" s="38" t="n">
        <x:f>G250*N250</x:f>
        <x:v>114586.70778</x:v>
      </x:c>
      <x:c r="X250" s="38" t="n">
        <x:f>H250*O250</x:f>
        <x:v>15250.55985</x:v>
      </x:c>
      <x:c r="Y250" s="38" t="n">
        <x:f>I250*P250</x:f>
        <x:v>6083.55</x:v>
      </x:c>
      <x:c r="Z250" s="38" t="n">
        <x:f>J250*Q250+K250*P250</x:f>
        <x:v>343.71888</x:v>
      </x:c>
      <x:c r="AA250" s="38" t="n">
        <x:f>M250*R250</x:f>
        <x:v>12676.188105</x:v>
      </x:c>
      <x:c r="AB250" s="38" t="n">
        <x:f>SUM(W250:AA250)</x:f>
        <x:v>148940.724615</x:v>
      </x:c>
      <x:c r="AC250" s="38" t="n">
        <x:v>11.89</x:v>
      </x:c>
      <x:c r="AD250" s="38" t="n">
        <x:v>174.33</x:v>
      </x:c>
      <x:c r="AE250" s="38" t="n">
        <x:v>108.12</x:v>
      </x:c>
      <x:c r="AF250" s="38" t="n">
        <x:v>4.8148</x:v>
      </x:c>
      <x:c r="AG250" s="38" t="n">
        <x:v>5.26</x:v>
      </x:c>
      <x:c r="AH250" s="38" t="n">
        <x:f>IF(E250="Fason",L250*S250,0)</x:f>
        <x:v>0</x:v>
      </x:c>
      <x:c r="AI250" s="38" t="n">
        <x:f>IF(E250="Kurum içi",AC250*AD250+AE250*AF250+AB250*12%,0)</x:f>
        <x:v>20466.246829800002</x:v>
      </x:c>
      <x:c r="AJ250" s="38" t="n">
        <x:f>V250*AG250</x:f>
        <x:v>1011.4409966645346</x:v>
      </x:c>
      <x:c r="AK250" s="38" t="n">
        <x:f>AB250*2%</x:f>
        <x:v>2978.8144923000004</x:v>
      </x:c>
      <x:c r="AL250" s="38" t="n">
        <x:f>AB250+AH250+AI250+AJ250+AK250</x:f>
        <x:v>173397.22693376458</x:v>
      </x:c>
      <x:c r="AM250" s="38" t="n">
        <x:f>AL250/V250</x:f>
        <x:v>901.7524667077622</x:v>
      </x:c>
      <x:c r="AN250" s="40" t="n">
        <x:f>(W250+X250)/AL250*100</x:f>
        <x:v>74.87851445259624</x:v>
      </x:c>
      <x:c r="AO250" s="28" t="str">
        <x:v>R01-R20; ilgili satırdaki bölgesel fiyat ve maliyet varsayımları</x:v>
      </x:c>
      <x:c r="AP250" s="28" t="str">
        <x:v>Girdi miktarları, alım fiyatı değişimi, fason bedeli ve parti sonucu simüle edilmiştir; işletme kaydı değildir.</x:v>
      </x:c>
    </x:row>
    <x:row r="251" ht="22" customHeight="1">
      <x:c r="A251" t="str">
        <x:v>SUC-0250</x:v>
      </x:c>
      <x:c r="B251" s="36" t="n">
        <x:v>46283</x:v>
      </x:c>
      <x:c r="C251" t="str">
        <x:v>Karadeniz</x:v>
      </x:c>
      <x:c r="D251" t="str">
        <x:v>MEB_STANDART</x:v>
      </x:c>
      <x:c r="E251" t="str">
        <x:v>Fason</x:v>
      </x:c>
      <x:c r="F251" s="42" t="str">
        <x:v>SENTETİK/SİMÜLE — gerçek parti kaydı değildir</x:v>
      </x:c>
      <x:c r="G251" s="38" t="n">
        <x:v>121.079</x:v>
      </x:c>
      <x:c r="H251" s="38" t="n">
        <x:v>37.497</x:v>
      </x:c>
      <x:c r="I251" s="38" t="n">
        <x:v>7.952</x:v>
      </x:c>
      <x:c r="J251" s="38" t="n">
        <x:v>4.663</x:v>
      </x:c>
      <x:c r="K251" s="38" t="n">
        <x:v>1.651</x:v>
      </x:c>
      <x:c r="L251" s="38" t="n">
        <x:f>SUM(G251:K251)</x:f>
        <x:v>172.842</x:v>
      </x:c>
      <x:c r="M251" s="38" t="n">
        <x:v>212.41</x:v>
      </x:c>
      <x:c r="N251" s="38" t="n">
        <x:v>611.1</x:v>
      </x:c>
      <x:c r="O251" s="38" t="n">
        <x:v>463.17</x:v>
      </x:c>
      <x:c r="P251" s="38" t="n">
        <x:v>669.9</x:v>
      </x:c>
      <x:c r="Q251" s="38" t="n">
        <x:v>19.88</x:v>
      </x:c>
      <x:c r="R251" s="38" t="n">
        <x:v>43.7475</x:v>
      </x:c>
      <x:c r="S251" s="38" t="n">
        <x:v>71.28</x:v>
      </x:c>
      <x:c r="T251" s="40" t="n">
        <x:v>19.22</x:v>
      </x:c>
      <x:c r="U251" s="40" t="n">
        <x:v>1.62</x:v>
      </x:c>
      <x:c r="V251" s="38" t="n">
        <x:f>L251*(1-T251/100)*(1-U251/100)</x:f>
        <x:v>137.35989496488003</x:v>
      </x:c>
      <x:c r="W251" s="38" t="n">
        <x:f>G251*N251</x:f>
        <x:v>73991.3769</x:v>
      </x:c>
      <x:c r="X251" s="38" t="n">
        <x:f>H251*O251</x:f>
        <x:v>17367.48549</x:v>
      </x:c>
      <x:c r="Y251" s="38" t="n">
        <x:f>I251*P251</x:f>
        <x:v>5327.0448</x:v>
      </x:c>
      <x:c r="Z251" s="38" t="n">
        <x:f>J251*Q251+K251*P251</x:f>
        <x:v>1198.70534</x:v>
      </x:c>
      <x:c r="AA251" s="38" t="n">
        <x:f>M251*R251</x:f>
        <x:v>9292.406475</x:v>
      </x:c>
      <x:c r="AB251" s="38" t="n">
        <x:f>SUM(W251:AA251)</x:f>
        <x:v>107177.019005</x:v>
      </x:c>
      <x:c r="AC251" s="38" t="n">
        <x:v>11.56</x:v>
      </x:c>
      <x:c r="AD251" s="38" t="n">
        <x:v>174.33</x:v>
      </x:c>
      <x:c r="AE251" s="38" t="n">
        <x:v>41.15</x:v>
      </x:c>
      <x:c r="AF251" s="38" t="n">
        <x:v>4.8148</x:v>
      </x:c>
      <x:c r="AG251" s="38" t="n">
        <x:v>5.58</x:v>
      </x:c>
      <x:c r="AH251" s="38" t="n">
        <x:f>IF(E251="Fason",L251*S251,0)</x:f>
        <x:v>12320.17776</x:v>
      </x:c>
      <x:c r="AI251" s="38" t="n">
        <x:f>IF(E251="Kurum içi",AC251*AD251+AE251*AF251+AB251*12%,0)</x:f>
        <x:v>0</x:v>
      </x:c>
      <x:c r="AJ251" s="38" t="n">
        <x:f>V251*AG251</x:f>
        <x:v>766.4682139040306</x:v>
      </x:c>
      <x:c r="AK251" s="38" t="n">
        <x:f>AB251*2%</x:f>
        <x:v>2143.5403800999998</x:v>
      </x:c>
      <x:c r="AL251" s="38" t="n">
        <x:f>AB251+AH251+AI251+AJ251+AK251</x:f>
        <x:v>122407.20535900405</x:v>
      </x:c>
      <x:c r="AM251" s="38" t="n">
        <x:f>AL251/V251</x:f>
        <x:v>891.1422463616541</x:v>
      </x:c>
      <x:c r="AN251" s="40" t="n">
        <x:f>(W251+X251)/AL251*100</x:f>
        <x:v>74.6351998822754</x:v>
      </x:c>
      <x:c r="AO251" s="28" t="str">
        <x:v>R01-R20; ilgili satırdaki bölgesel fiyat ve maliyet varsayımları</x:v>
      </x:c>
      <x:c r="AP251" s="28" t="str">
        <x:v>Girdi miktarları, alım fiyatı değişimi, fason bedeli ve parti sonucu simüle edilmiştir; işletme kaydı değildir.</x:v>
      </x:c>
    </x:row>
    <x:row r="252" ht="22" customHeight="1">
      <x:c r="A252" t="str">
        <x:v>SUC-0251</x:v>
      </x:c>
      <x:c r="B252" s="36" t="n">
        <x:v>46278</x:v>
      </x:c>
      <x:c r="C252" t="str">
        <x:v>Doğu Anadolu</x:v>
      </x:c>
      <x:c r="D252" t="str">
        <x:v>ERZURUM_CI</x:v>
      </x:c>
      <x:c r="E252" t="str">
        <x:v>Kurum içi</x:v>
      </x:c>
      <x:c r="F252" s="42" t="str">
        <x:v>SENTETİK/SİMÜLE — gerçek parti kaydı değildir</x:v>
      </x:c>
      <x:c r="G252" s="38" t="n">
        <x:v>84.577</x:v>
      </x:c>
      <x:c r="H252" s="38" t="n">
        <x:v>15.813</x:v>
      </x:c>
      <x:c r="I252" s="38" t="n">
        <x:v>5.239</x:v>
      </x:c>
      <x:c r="J252" s="38" t="n">
        <x:v>1.643</x:v>
      </x:c>
      <x:c r="K252" s="38" t="n">
        <x:v>0.076</x:v>
      </x:c>
      <x:c r="L252" s="38" t="n">
        <x:f>SUM(G252:K252)</x:f>
        <x:v>107.348</x:v>
      </x:c>
      <x:c r="M252" s="38" t="n">
        <x:v>136.082</x:v>
      </x:c>
      <x:c r="N252" s="38" t="n">
        <x:v>576.25</x:v>
      </x:c>
      <x:c r="O252" s="38" t="n">
        <x:v>438.5</x:v>
      </x:c>
      <x:c r="P252" s="38" t="n">
        <x:v>400</x:v>
      </x:c>
      <x:c r="Q252" s="38" t="n">
        <x:v>19.88</x:v>
      </x:c>
      <x:c r="R252" s="38" t="n">
        <x:v>43.7475</x:v>
      </x:c>
      <x:c r="S252" s="38" t="n">
        <x:v>82.57</x:v>
      </x:c>
      <x:c r="T252" s="40" t="n">
        <x:v>29.06</x:v>
      </x:c>
      <x:c r="U252" s="40" t="n">
        <x:v>0.7</x:v>
      </x:c>
      <x:c r="V252" s="38" t="n">
        <x:f>L252*(1-T252/100)*(1-U252/100)</x:f>
        <x:v>75.6196025016</x:v>
      </x:c>
      <x:c r="W252" s="38" t="n">
        <x:f>G252*N252</x:f>
        <x:v>48737.49625</x:v>
      </x:c>
      <x:c r="X252" s="38" t="n">
        <x:f>H252*O252</x:f>
        <x:v>6934.0005</x:v>
      </x:c>
      <x:c r="Y252" s="38" t="n">
        <x:f>I252*P252</x:f>
        <x:v>2095.6</x:v>
      </x:c>
      <x:c r="Z252" s="38" t="n">
        <x:f>J252*Q252+K252*P252</x:f>
        <x:v>63.062839999999994</x:v>
      </x:c>
      <x:c r="AA252" s="38" t="n">
        <x:f>M252*R252</x:f>
        <x:v>5953.247295</x:v>
      </x:c>
      <x:c r="AB252" s="38" t="n">
        <x:f>SUM(W252:AA252)</x:f>
        <x:v>63783.406885</x:v>
      </x:c>
      <x:c r="AC252" s="38" t="n">
        <x:v>3.94</x:v>
      </x:c>
      <x:c r="AD252" s="38" t="n">
        <x:v>174.33</x:v>
      </x:c>
      <x:c r="AE252" s="38" t="n">
        <x:v>25.07</x:v>
      </x:c>
      <x:c r="AF252" s="38" t="n">
        <x:v>4.8148</x:v>
      </x:c>
      <x:c r="AG252" s="38" t="n">
        <x:v>5.77</x:v>
      </x:c>
      <x:c r="AH252" s="38" t="n">
        <x:f>IF(E252="Fason",L252*S252,0)</x:f>
        <x:v>0</x:v>
      </x:c>
      <x:c r="AI252" s="38" t="n">
        <x:f>IF(E252="Kurum içi",AC252*AD252+AE252*AF252+AB252*12%,0)</x:f>
        <x:v>8461.5760622</x:v>
      </x:c>
      <x:c r="AJ252" s="38" t="n">
        <x:f>V252*AG252</x:f>
        <x:v>436.32510643423194</x:v>
      </x:c>
      <x:c r="AK252" s="38" t="n">
        <x:f>AB252*2%</x:f>
        <x:v>1275.6681377</x:v>
      </x:c>
      <x:c r="AL252" s="38" t="n">
        <x:f>AB252+AH252+AI252+AJ252+AK252</x:f>
        <x:v>73956.97619133424</x:v>
      </x:c>
      <x:c r="AM252" s="38" t="n">
        <x:f>AL252/V252</x:f>
        <x:v>978.0132894743716</x:v>
      </x:c>
      <x:c r="AN252" s="40" t="n">
        <x:f>(W252+X252)/AL252*100</x:f>
        <x:v>75.27551776315484</x:v>
      </x:c>
      <x:c r="AO252" s="28" t="str">
        <x:v>R01-R20; ilgili satırdaki bölgesel fiyat ve maliyet varsayımları</x:v>
      </x:c>
      <x:c r="AP252" s="28" t="str">
        <x:v>Girdi miktarları, alım fiyatı değişimi, fason bedeli ve parti sonucu simüle edilmiştir; işletme kaydı değildir.</x:v>
      </x:c>
    </x:row>
    <x:row r="253" ht="22" customHeight="1">
      <x:c r="A253" t="str">
        <x:v>SUC-0252</x:v>
      </x:c>
      <x:c r="B253" s="36" t="n">
        <x:v>46292</x:v>
      </x:c>
      <x:c r="C253" t="str">
        <x:v>Akdeniz</x:v>
      </x:c>
      <x:c r="D253" t="str">
        <x:v>MEB_STANDART</x:v>
      </x:c>
      <x:c r="E253" t="str">
        <x:v>Kurum içi</x:v>
      </x:c>
      <x:c r="F253" s="42" t="str">
        <x:v>SENTETİK/SİMÜLE — gerçek parti kaydı değildir</x:v>
      </x:c>
      <x:c r="G253" s="38" t="n">
        <x:v>324.038</x:v>
      </x:c>
      <x:c r="H253" s="38" t="n">
        <x:v>101.462</x:v>
      </x:c>
      <x:c r="I253" s="38" t="n">
        <x:v>20.868</x:v>
      </x:c>
      <x:c r="J253" s="38" t="n">
        <x:v>12.41</x:v>
      </x:c>
      <x:c r="K253" s="38" t="n">
        <x:v>4.314</x:v>
      </x:c>
      <x:c r="L253" s="38" t="n">
        <x:f>SUM(G253:K253)</x:f>
        <x:v>463.09200000000004</x:v>
      </x:c>
      <x:c r="M253" s="38" t="n">
        <x:v>595.677</x:v>
      </x:c>
      <x:c r="N253" s="38" t="n">
        <x:v>602.64</x:v>
      </x:c>
      <x:c r="O253" s="38" t="n">
        <x:v>476.58</x:v>
      </x:c>
      <x:c r="P253" s="38" t="n">
        <x:v>669.9</x:v>
      </x:c>
      <x:c r="Q253" s="38" t="n">
        <x:v>19.88</x:v>
      </x:c>
      <x:c r="R253" s="38" t="n">
        <x:v>43.7475</x:v>
      </x:c>
      <x:c r="S253" s="38" t="n">
        <x:v>104.1</x:v>
      </x:c>
      <x:c r="T253" s="40" t="n">
        <x:v>25.52</x:v>
      </x:c>
      <x:c r="U253" s="40" t="n">
        <x:v>1.48</x:v>
      </x:c>
      <x:c r="V253" s="38" t="n">
        <x:f>L253*(1-T253/100)*(1-U253/100)</x:f>
        <x:v>339.80623996032006</x:v>
      </x:c>
      <x:c r="W253" s="38" t="n">
        <x:f>G253*N253</x:f>
        <x:v>195278.26032</x:v>
      </x:c>
      <x:c r="X253" s="38" t="n">
        <x:f>H253*O253</x:f>
        <x:v>48354.75996</x:v>
      </x:c>
      <x:c r="Y253" s="38" t="n">
        <x:f>I253*P253</x:f>
        <x:v>13979.473199999999</x:v>
      </x:c>
      <x:c r="Z253" s="38" t="n">
        <x:f>J253*Q253+K253*P253</x:f>
        <x:v>3136.6593999999996</x:v>
      </x:c>
      <x:c r="AA253" s="38" t="n">
        <x:f>M253*R253</x:f>
        <x:v>26059.379557500004</x:v>
      </x:c>
      <x:c r="AB253" s="38" t="n">
        <x:f>SUM(W253:AA253)</x:f>
        <x:v>286808.5324375</x:v>
      </x:c>
      <x:c r="AC253" s="38" t="n">
        <x:v>29.06</x:v>
      </x:c>
      <x:c r="AD253" s="38" t="n">
        <x:v>174.33</x:v>
      </x:c>
      <x:c r="AE253" s="38" t="n">
        <x:v>125.52</x:v>
      </x:c>
      <x:c r="AF253" s="38" t="n">
        <x:v>4.8148</x:v>
      </x:c>
      <x:c r="AG253" s="38" t="n">
        <x:v>5.5</x:v>
      </x:c>
      <x:c r="AH253" s="38" t="n">
        <x:f>IF(E253="Fason",L253*S253,0)</x:f>
        <x:v>0</x:v>
      </x:c>
      <x:c r="AI253" s="38" t="n">
        <x:f>IF(E253="Kurum içi",AC253*AD253+AE253*AF253+AB253*12%,0)</x:f>
        <x:v>40087.4073885</x:v>
      </x:c>
      <x:c r="AJ253" s="38" t="n">
        <x:f>V253*AG253</x:f>
        <x:v>1868.9343197817602</x:v>
      </x:c>
      <x:c r="AK253" s="38" t="n">
        <x:f>AB253*2%</x:f>
        <x:v>5736.1706487500005</x:v>
      </x:c>
      <x:c r="AL253" s="38" t="n">
        <x:f>AB253+AH253+AI253+AJ253+AK253</x:f>
        <x:v>334501.0447945318</x:v>
      </x:c>
      <x:c r="AM253" s="38" t="n">
        <x:f>AL253/V253</x:f>
        <x:v>984.3875875663502</x:v>
      </x:c>
      <x:c r="AN253" s="40" t="n">
        <x:f>(W253+X253)/AL253*100</x:f>
        <x:v>72.83475614542617</x:v>
      </x:c>
      <x:c r="AO253" s="28" t="str">
        <x:v>R01-R20; ilgili satırdaki bölgesel fiyat ve maliyet varsayımları</x:v>
      </x:c>
      <x:c r="AP253" s="28" t="str">
        <x:v>Girdi miktarları, alım fiyatı değişimi, fason bedeli ve parti sonucu simüle edilmiştir; işletme kaydı değildir.</x:v>
      </x:c>
    </x:row>
    <x:row r="254" ht="22" customHeight="1">
      <x:c r="A254" t="str">
        <x:v>SUC-0253</x:v>
      </x:c>
      <x:c r="B254" s="36" t="n">
        <x:v>46280</x:v>
      </x:c>
      <x:c r="C254" t="str">
        <x:v>Marmara</x:v>
      </x:c>
      <x:c r="D254" t="str">
        <x:v>MEB_STANDART</x:v>
      </x:c>
      <x:c r="E254" t="str">
        <x:v>Kurum içi</x:v>
      </x:c>
      <x:c r="F254" s="42" t="str">
        <x:v>SENTETİK/SİMÜLE — gerçek parti kaydı değildir</x:v>
      </x:c>
      <x:c r="G254" s="38" t="n">
        <x:v>74.689</x:v>
      </x:c>
      <x:c r="H254" s="38" t="n">
        <x:v>24.307</x:v>
      </x:c>
      <x:c r="I254" s="38" t="n">
        <x:v>5.122</x:v>
      </x:c>
      <x:c r="J254" s="38" t="n">
        <x:v>2.533</x:v>
      </x:c>
      <x:c r="K254" s="38" t="n">
        <x:v>0.965</x:v>
      </x:c>
      <x:c r="L254" s="38" t="n">
        <x:f>SUM(G254:K254)</x:f>
        <x:v>107.616</x:v>
      </x:c>
      <x:c r="M254" s="38" t="n">
        <x:v>137.26</x:v>
      </x:c>
      <x:c r="N254" s="38" t="n">
        <x:v>598.26</x:v>
      </x:c>
      <x:c r="O254" s="38" t="n">
        <x:v>442.51</x:v>
      </x:c>
      <x:c r="P254" s="38" t="n">
        <x:v>669.9</x:v>
      </x:c>
      <x:c r="Q254" s="38" t="n">
        <x:v>19.88</x:v>
      </x:c>
      <x:c r="R254" s="38" t="n">
        <x:v>43.7475</x:v>
      </x:c>
      <x:c r="S254" s="38" t="n">
        <x:v>109.6</x:v>
      </x:c>
      <x:c r="T254" s="40" t="n">
        <x:v>19.95</x:v>
      </x:c>
      <x:c r="U254" s="40" t="n">
        <x:v>1.73</x:v>
      </x:c>
      <x:c r="V254" s="38" t="n">
        <x:f>L254*(1-T254/100)*(1-U254/100)</x:f>
        <x:v>84.6562716816</x:v>
      </x:c>
      <x:c r="W254" s="38" t="n">
        <x:f>G254*N254</x:f>
        <x:v>44683.441139999995</x:v>
      </x:c>
      <x:c r="X254" s="38" t="n">
        <x:f>H254*O254</x:f>
        <x:v>10756.090569999998</x:v>
      </x:c>
      <x:c r="Y254" s="38" t="n">
        <x:f>I254*P254</x:f>
        <x:v>3431.2277999999997</x:v>
      </x:c>
      <x:c r="Z254" s="38" t="n">
        <x:f>J254*Q254+K254*P254</x:f>
        <x:v>696.80954</x:v>
      </x:c>
      <x:c r="AA254" s="38" t="n">
        <x:f>M254*R254</x:f>
        <x:v>6004.78185</x:v>
      </x:c>
      <x:c r="AB254" s="38" t="n">
        <x:f>SUM(W254:AA254)</x:f>
        <x:v>65572.3509</x:v>
      </x:c>
      <x:c r="AC254" s="38" t="n">
        <x:v>3.99</x:v>
      </x:c>
      <x:c r="AD254" s="38" t="n">
        <x:v>174.33</x:v>
      </x:c>
      <x:c r="AE254" s="38" t="n">
        <x:v>47.11</x:v>
      </x:c>
      <x:c r="AF254" s="38" t="n">
        <x:v>4.8148</x:v>
      </x:c>
      <x:c r="AG254" s="38" t="n">
        <x:v>5.2</x:v>
      </x:c>
      <x:c r="AH254" s="38" t="n">
        <x:f>IF(E254="Fason",L254*S254,0)</x:f>
        <x:v>0</x:v>
      </x:c>
      <x:c r="AI254" s="38" t="n">
        <x:f>IF(E254="Kurum içi",AC254*AD254+AE254*AF254+AB254*12%,0)</x:f>
        <x:v>8791.084036</x:v>
      </x:c>
      <x:c r="AJ254" s="38" t="n">
        <x:f>V254*AG254</x:f>
        <x:v>440.21261274432004</x:v>
      </x:c>
      <x:c r="AK254" s="38" t="n">
        <x:f>AB254*2%</x:f>
        <x:v>1311.447018</x:v>
      </x:c>
      <x:c r="AL254" s="38" t="n">
        <x:f>AB254+AH254+AI254+AJ254+AK254</x:f>
        <x:v>76115.09456674433</x:v>
      </x:c>
      <x:c r="AM254" s="38" t="n">
        <x:f>AL254/V254</x:f>
        <x:v>899.1075682262524</x:v>
      </x:c>
      <x:c r="AN254" s="40" t="n">
        <x:f>(W254+X254)/AL254*100</x:f>
        <x:v>72.83644857247835</x:v>
      </x:c>
      <x:c r="AO254" s="28" t="str">
        <x:v>R01-R20; ilgili satırdaki bölgesel fiyat ve maliyet varsayımları</x:v>
      </x:c>
      <x:c r="AP254" s="28" t="str">
        <x:v>Girdi miktarları, alım fiyatı değişimi, fason bedeli ve parti sonucu simüle edilmiştir; işletme kaydı değildir.</x:v>
      </x:c>
    </x:row>
    <x:row r="255" ht="22" customHeight="1">
      <x:c r="A255" t="str">
        <x:v>SUC-0254</x:v>
      </x:c>
      <x:c r="B255" s="36" t="n">
        <x:v>46309</x:v>
      </x:c>
      <x:c r="C255" t="str">
        <x:v>Güneydoğu Anadolu</x:v>
      </x:c>
      <x:c r="D255" t="str">
        <x:v>MEB_STANDART</x:v>
      </x:c>
      <x:c r="E255" t="str">
        <x:v>Kurum içi</x:v>
      </x:c>
      <x:c r="F255" s="42" t="str">
        <x:v>SENTETİK/SİMÜLE — gerçek parti kaydı değildir</x:v>
      </x:c>
      <x:c r="G255" s="38" t="n">
        <x:v>167.165</x:v>
      </x:c>
      <x:c r="H255" s="38" t="n">
        <x:v>54.06</x:v>
      </x:c>
      <x:c r="I255" s="38" t="n">
        <x:v>10.568</x:v>
      </x:c>
      <x:c r="J255" s="38" t="n">
        <x:v>6.338</x:v>
      </x:c>
      <x:c r="K255" s="38" t="n">
        <x:v>2.394</x:v>
      </x:c>
      <x:c r="L255" s="38" t="n">
        <x:f>SUM(G255:K255)</x:f>
        <x:v>240.525</x:v>
      </x:c>
      <x:c r="M255" s="38" t="n">
        <x:v>313.916</x:v>
      </x:c>
      <x:c r="N255" s="38" t="n">
        <x:v>568.56</x:v>
      </x:c>
      <x:c r="O255" s="38" t="n">
        <x:v>461.52</x:v>
      </x:c>
      <x:c r="P255" s="38" t="n">
        <x:v>550</x:v>
      </x:c>
      <x:c r="Q255" s="38" t="n">
        <x:v>19.88</x:v>
      </x:c>
      <x:c r="R255" s="38" t="n">
        <x:v>43.7475</x:v>
      </x:c>
      <x:c r="S255" s="38" t="n">
        <x:v>107.38</x:v>
      </x:c>
      <x:c r="T255" s="40" t="n">
        <x:v>15.94</x:v>
      </x:c>
      <x:c r="U255" s="40" t="n">
        <x:v>0.73</x:v>
      </x:c>
      <x:c r="V255" s="38" t="n">
        <x:f>L255*(1-T255/100)*(1-U255/100)</x:f>
        <x:v>200.7093622005</x:v>
      </x:c>
      <x:c r="W255" s="38" t="n">
        <x:f>G255*N255</x:f>
        <x:v>95043.33239999998</x:v>
      </x:c>
      <x:c r="X255" s="38" t="n">
        <x:f>H255*O255</x:f>
        <x:v>24949.7712</x:v>
      </x:c>
      <x:c r="Y255" s="38" t="n">
        <x:f>I255*P255</x:f>
        <x:v>5812.4</x:v>
      </x:c>
      <x:c r="Z255" s="38" t="n">
        <x:f>J255*Q255+K255*P255</x:f>
        <x:v>1442.69944</x:v>
      </x:c>
      <x:c r="AA255" s="38" t="n">
        <x:f>M255*R255</x:f>
        <x:v>13733.040210000001</x:v>
      </x:c>
      <x:c r="AB255" s="38" t="n">
        <x:f>SUM(W255:AA255)</x:f>
        <x:v>140981.24324999997</x:v>
      </x:c>
      <x:c r="AC255" s="38" t="n">
        <x:v>12.64</x:v>
      </x:c>
      <x:c r="AD255" s="38" t="n">
        <x:v>174.33</x:v>
      </x:c>
      <x:c r="AE255" s="38" t="n">
        <x:v>75.91</x:v>
      </x:c>
      <x:c r="AF255" s="38" t="n">
        <x:v>4.8148</x:v>
      </x:c>
      <x:c r="AG255" s="38" t="n">
        <x:v>5.48</x:v>
      </x:c>
      <x:c r="AH255" s="38" t="n">
        <x:f>IF(E255="Fason",L255*S255,0)</x:f>
        <x:v>0</x:v>
      </x:c>
      <x:c r="AI255" s="38" t="n">
        <x:f>IF(E255="Kurum içi",AC255*AD255+AE255*AF255+AB255*12%,0)</x:f>
        <x:v>19486.771857999996</x:v>
      </x:c>
      <x:c r="AJ255" s="38" t="n">
        <x:f>V255*AG255</x:f>
        <x:v>1099.8873048587402</x:v>
      </x:c>
      <x:c r="AK255" s="38" t="n">
        <x:f>AB255*2%</x:f>
        <x:v>2819.6248649999993</x:v>
      </x:c>
      <x:c r="AL255" s="38" t="n">
        <x:f>AB255+AH255+AI255+AJ255+AK255</x:f>
        <x:v>164387.5272778587</x:v>
      </x:c>
      <x:c r="AM255" s="38" t="n">
        <x:f>AL255/V255</x:f>
        <x:v>819.032682260445</x:v>
      </x:c>
      <x:c r="AN255" s="40" t="n">
        <x:f>(W255+X255)/AL255*100</x:f>
        <x:v>72.99404376171417</x:v>
      </x:c>
      <x:c r="AO255" s="28" t="str">
        <x:v>R01-R20; ilgili satırdaki bölgesel fiyat ve maliyet varsayımları</x:v>
      </x:c>
      <x:c r="AP255" s="28" t="str">
        <x:v>Girdi miktarları, alım fiyatı değişimi, fason bedeli ve parti sonucu simüle edilmiştir; işletme kaydı değildir.</x:v>
      </x:c>
    </x:row>
    <x:row r="256" ht="22" customHeight="1">
      <x:c r="A256" t="str">
        <x:v>SUC-0255</x:v>
      </x:c>
      <x:c r="B256" s="36" t="n">
        <x:v>46283</x:v>
      </x:c>
      <x:c r="C256" t="str">
        <x:v>İç Anadolu</x:v>
      </x:c>
      <x:c r="D256" t="str">
        <x:v>MEB_STANDART</x:v>
      </x:c>
      <x:c r="E256" t="str">
        <x:v>Fason</x:v>
      </x:c>
      <x:c r="F256" s="42" t="str">
        <x:v>SENTETİK/SİMÜLE — gerçek parti kaydı değildir</x:v>
      </x:c>
      <x:c r="G256" s="38" t="n">
        <x:v>275.912</x:v>
      </x:c>
      <x:c r="H256" s="38" t="n">
        <x:v>86.826</x:v>
      </x:c>
      <x:c r="I256" s="38" t="n">
        <x:v>18.772</x:v>
      </x:c>
      <x:c r="J256" s="38" t="n">
        <x:v>10.34</x:v>
      </x:c>
      <x:c r="K256" s="38" t="n">
        <x:v>4.364</x:v>
      </x:c>
      <x:c r="L256" s="38" t="n">
        <x:f>SUM(G256:K256)</x:f>
        <x:v>396.2139999999999</x:v>
      </x:c>
      <x:c r="M256" s="38" t="n">
        <x:v>524.604</x:v>
      </x:c>
      <x:c r="N256" s="38" t="n">
        <x:v>594.36</x:v>
      </x:c>
      <x:c r="O256" s="38" t="n">
        <x:v>475.87</x:v>
      </x:c>
      <x:c r="P256" s="38" t="n">
        <x:v>400</x:v>
      </x:c>
      <x:c r="Q256" s="38" t="n">
        <x:v>19.88</x:v>
      </x:c>
      <x:c r="R256" s="38" t="n">
        <x:v>43.7475</x:v>
      </x:c>
      <x:c r="S256" s="38" t="n">
        <x:v>117.25</x:v>
      </x:c>
      <x:c r="T256" s="40" t="n">
        <x:v>26.49</x:v>
      </x:c>
      <x:c r="U256" s="40" t="n">
        <x:v>1.57</x:v>
      </x:c>
      <x:c r="V256" s="38" t="n">
        <x:f>L256*(1-T256/100)*(1-U256/100)</x:f>
        <x:v>286.6841778910199</x:v>
      </x:c>
      <x:c r="W256" s="38" t="n">
        <x:f>G256*N256</x:f>
        <x:v>163991.05632</x:v>
      </x:c>
      <x:c r="X256" s="38" t="n">
        <x:f>H256*O256</x:f>
        <x:v>41317.88862</x:v>
      </x:c>
      <x:c r="Y256" s="38" t="n">
        <x:f>I256*P256</x:f>
        <x:v>7508.799999999999</x:v>
      </x:c>
      <x:c r="Z256" s="38" t="n">
        <x:f>J256*Q256+K256*P256</x:f>
        <x:v>1951.1591999999998</x:v>
      </x:c>
      <x:c r="AA256" s="38" t="n">
        <x:f>M256*R256</x:f>
        <x:v>22950.113490000003</x:v>
      </x:c>
      <x:c r="AB256" s="38" t="n">
        <x:f>SUM(W256:AA256)</x:f>
        <x:v>237719.01763000002</x:v>
      </x:c>
      <x:c r="AC256" s="38" t="n">
        <x:v>27.33</x:v>
      </x:c>
      <x:c r="AD256" s="38" t="n">
        <x:v>174.33</x:v>
      </x:c>
      <x:c r="AE256" s="38" t="n">
        <x:v>121.55</x:v>
      </x:c>
      <x:c r="AF256" s="38" t="n">
        <x:v>4.8148</x:v>
      </x:c>
      <x:c r="AG256" s="38" t="n">
        <x:v>5.36</x:v>
      </x:c>
      <x:c r="AH256" s="38" t="n">
        <x:f>IF(E256="Fason",L256*S256,0)</x:f>
        <x:v>46456.09149999999</x:v>
      </x:c>
      <x:c r="AI256" s="38" t="n">
        <x:f>IF(E256="Kurum içi",AC256*AD256+AE256*AF256+AB256*12%,0)</x:f>
        <x:v>0</x:v>
      </x:c>
      <x:c r="AJ256" s="38" t="n">
        <x:f>V256*AG256</x:f>
        <x:v>1536.6271934958668</x:v>
      </x:c>
      <x:c r="AK256" s="38" t="n">
        <x:f>AB256*2%</x:f>
        <x:v>4754.3803526</x:v>
      </x:c>
      <x:c r="AL256" s="38" t="n">
        <x:f>AB256+AH256+AI256+AJ256+AK256</x:f>
        <x:v>290466.1166760959</x:v>
      </x:c>
      <x:c r="AM256" s="38" t="n">
        <x:f>AL256/V256</x:f>
        <x:v>1013.1920038730343</x:v>
      </x:c>
      <x:c r="AN256" s="40" t="n">
        <x:f>(W256+X256)/AL256*100</x:f>
        <x:v>70.682579878652</x:v>
      </x:c>
      <x:c r="AO256" s="28" t="str">
        <x:v>R01-R20; ilgili satırdaki bölgesel fiyat ve maliyet varsayımları</x:v>
      </x:c>
      <x:c r="AP256" s="28" t="str">
        <x:v>Girdi miktarları, alım fiyatı değişimi, fason bedeli ve parti sonucu simüle edilmiştir; işletme kaydı değildir.</x:v>
      </x:c>
    </x:row>
    <x:row r="257" ht="22" customHeight="1">
      <x:c r="A257" t="str">
        <x:v>SUC-0256</x:v>
      </x:c>
      <x:c r="B257" s="36" t="n">
        <x:v>46311</x:v>
      </x:c>
      <x:c r="C257" t="str">
        <x:v>İç Anadolu</x:v>
      </x:c>
      <x:c r="D257" t="str">
        <x:v>ERZURUM_CI</x:v>
      </x:c>
      <x:c r="E257" t="str">
        <x:v>Kurum içi</x:v>
      </x:c>
      <x:c r="F257" s="42" t="str">
        <x:v>SENTETİK/SİMÜLE — gerçek parti kaydı değildir</x:v>
      </x:c>
      <x:c r="G257" s="38" t="n">
        <x:v>84.019</x:v>
      </x:c>
      <x:c r="H257" s="38" t="n">
        <x:v>15.585</x:v>
      </x:c>
      <x:c r="I257" s="38" t="n">
        <x:v>4.728</x:v>
      </x:c>
      <x:c r="J257" s="38" t="n">
        <x:v>1.557</x:v>
      </x:c>
      <x:c r="K257" s="38" t="n">
        <x:v>0.17</x:v>
      </x:c>
      <x:c r="L257" s="38" t="n">
        <x:f>SUM(G257:K257)</x:f>
        <x:v>106.05900000000001</x:v>
      </x:c>
      <x:c r="M257" s="38" t="n">
        <x:v>126.06</x:v>
      </x:c>
      <x:c r="N257" s="38" t="n">
        <x:v>573.1</x:v>
      </x:c>
      <x:c r="O257" s="38" t="n">
        <x:v>444.51</x:v>
      </x:c>
      <x:c r="P257" s="38" t="n">
        <x:v>550</x:v>
      </x:c>
      <x:c r="Q257" s="38" t="n">
        <x:v>19.88</x:v>
      </x:c>
      <x:c r="R257" s="38" t="n">
        <x:v>43.7475</x:v>
      </x:c>
      <x:c r="S257" s="38" t="n">
        <x:v>117.88</x:v>
      </x:c>
      <x:c r="T257" s="40" t="n">
        <x:v>20.57</x:v>
      </x:c>
      <x:c r="U257" s="40" t="n">
        <x:v>0.96</x:v>
      </x:c>
      <x:c r="V257" s="38" t="n">
        <x:f>L257*(1-T257/100)*(1-U257/100)</x:f>
        <x:v>83.43393412848</x:v>
      </x:c>
      <x:c r="W257" s="38" t="n">
        <x:f>G257*N257</x:f>
        <x:v>48151.28890000001</x:v>
      </x:c>
      <x:c r="X257" s="38" t="n">
        <x:f>H257*O257</x:f>
        <x:v>6927.68835</x:v>
      </x:c>
      <x:c r="Y257" s="38" t="n">
        <x:f>I257*P257</x:f>
        <x:v>2600.4</x:v>
      </x:c>
      <x:c r="Z257" s="38" t="n">
        <x:f>J257*Q257+K257*P257</x:f>
        <x:v>124.45316</x:v>
      </x:c>
      <x:c r="AA257" s="38" t="n">
        <x:f>M257*R257</x:f>
        <x:v>5514.809850000001</x:v>
      </x:c>
      <x:c r="AB257" s="38" t="n">
        <x:f>SUM(W257:AA257)</x:f>
        <x:v>63318.64026000001</x:v>
      </x:c>
      <x:c r="AC257" s="38" t="n">
        <x:v>5.21</x:v>
      </x:c>
      <x:c r="AD257" s="38" t="n">
        <x:v>174.33</x:v>
      </x:c>
      <x:c r="AE257" s="38" t="n">
        <x:v>38.51</x:v>
      </x:c>
      <x:c r="AF257" s="38" t="n">
        <x:v>4.8148</x:v>
      </x:c>
      <x:c r="AG257" s="38" t="n">
        <x:v>5.85</x:v>
      </x:c>
      <x:c r="AH257" s="38" t="n">
        <x:f>IF(E257="Fason",L257*S257,0)</x:f>
        <x:v>0</x:v>
      </x:c>
      <x:c r="AI257" s="38" t="n">
        <x:f>IF(E257="Kurum içi",AC257*AD257+AE257*AF257+AB257*12%,0)</x:f>
        <x:v>8691.9140792</x:v>
      </x:c>
      <x:c r="AJ257" s="38" t="n">
        <x:f>V257*AG257</x:f>
        <x:v>488.088514651608</x:v>
      </x:c>
      <x:c r="AK257" s="38" t="n">
        <x:f>AB257*2%</x:f>
        <x:v>1266.3728052000001</x:v>
      </x:c>
      <x:c r="AL257" s="38" t="n">
        <x:f>AB257+AH257+AI257+AJ257+AK257</x:f>
        <x:v>73765.01565905161</x:v>
      </x:c>
      <x:c r="AM257" s="38" t="n">
        <x:f>AL257/V257</x:f>
        <x:v>884.1128784058149</x:v>
      </x:c>
      <x:c r="AN257" s="40" t="n">
        <x:f>(W257+X257)/AL257*100</x:f>
        <x:v>74.66815638537906</x:v>
      </x:c>
      <x:c r="AO257" s="28" t="str">
        <x:v>R01-R20; ilgili satırdaki bölgesel fiyat ve maliyet varsayımları</x:v>
      </x:c>
      <x:c r="AP257" s="28" t="str">
        <x:v>Girdi miktarları, alım fiyatı değişimi, fason bedeli ve parti sonucu simüle edilmiştir; işletme kaydı değildir.</x:v>
      </x:c>
    </x:row>
    <x:row r="258" ht="22" customHeight="1">
      <x:c r="A258" t="str">
        <x:v>SUC-0257</x:v>
      </x:c>
      <x:c r="B258" s="36" t="n">
        <x:v>46308</x:v>
      </x:c>
      <x:c r="C258" t="str">
        <x:v>Güneydoğu Anadolu</x:v>
      </x:c>
      <x:c r="D258" t="str">
        <x:v>MEB_STANDART</x:v>
      </x:c>
      <x:c r="E258" t="str">
        <x:v>Kurum içi</x:v>
      </x:c>
      <x:c r="F258" s="42" t="str">
        <x:v>SENTETİK/SİMÜLE — gerçek parti kaydı değildir</x:v>
      </x:c>
      <x:c r="G258" s="38" t="n">
        <x:v>298.767</x:v>
      </x:c>
      <x:c r="H258" s="38" t="n">
        <x:v>91.11</x:v>
      </x:c>
      <x:c r="I258" s="38" t="n">
        <x:v>18.529</x:v>
      </x:c>
      <x:c r="J258" s="38" t="n">
        <x:v>10.058</x:v>
      </x:c>
      <x:c r="K258" s="38" t="n">
        <x:v>4.299</x:v>
      </x:c>
      <x:c r="L258" s="38" t="n">
        <x:f>SUM(G258:K258)</x:f>
        <x:v>422.763</x:v>
      </x:c>
      <x:c r="M258" s="38" t="n">
        <x:v>543.735</x:v>
      </x:c>
      <x:c r="N258" s="38" t="n">
        <x:v>589.38</x:v>
      </x:c>
      <x:c r="O258" s="38" t="n">
        <x:v>428.36</x:v>
      </x:c>
      <x:c r="P258" s="38" t="n">
        <x:v>400</x:v>
      </x:c>
      <x:c r="Q258" s="38" t="n">
        <x:v>19.88</x:v>
      </x:c>
      <x:c r="R258" s="38" t="n">
        <x:v>43.7475</x:v>
      </x:c>
      <x:c r="S258" s="38" t="n">
        <x:v>73.93</x:v>
      </x:c>
      <x:c r="T258" s="40" t="n">
        <x:v>16.94</x:v>
      </x:c>
      <x:c r="U258" s="40" t="n">
        <x:v>1.48</x:v>
      </x:c>
      <x:c r="V258" s="38" t="n">
        <x:f>L258*(1-T258/100)*(1-U258/100)</x:f>
        <x:v>345.94997297256</x:v>
      </x:c>
      <x:c r="W258" s="38" t="n">
        <x:f>G258*N258</x:f>
        <x:v>176087.29446</x:v>
      </x:c>
      <x:c r="X258" s="38" t="n">
        <x:f>H258*O258</x:f>
        <x:v>39027.8796</x:v>
      </x:c>
      <x:c r="Y258" s="38" t="n">
        <x:f>I258*P258</x:f>
        <x:v>7411.6</x:v>
      </x:c>
      <x:c r="Z258" s="38" t="n">
        <x:f>J258*Q258+K258*P258</x:f>
        <x:v>1919.5530400000002</x:v>
      </x:c>
      <x:c r="AA258" s="38" t="n">
        <x:f>M258*R258</x:f>
        <x:v>23787.0469125</x:v>
      </x:c>
      <x:c r="AB258" s="38" t="n">
        <x:f>SUM(W258:AA258)</x:f>
        <x:v>248233.3740125</x:v>
      </x:c>
      <x:c r="AC258" s="38" t="n">
        <x:v>21.63</x:v>
      </x:c>
      <x:c r="AD258" s="38" t="n">
        <x:v>174.33</x:v>
      </x:c>
      <x:c r="AE258" s="38" t="n">
        <x:v>109.37</x:v>
      </x:c>
      <x:c r="AF258" s="38" t="n">
        <x:v>4.8148</x:v>
      </x:c>
      <x:c r="AG258" s="38" t="n">
        <x:v>5.4</x:v>
      </x:c>
      <x:c r="AH258" s="38" t="n">
        <x:f>IF(E258="Fason",L258*S258,0)</x:f>
        <x:v>0</x:v>
      </x:c>
      <x:c r="AI258" s="38" t="n">
        <x:f>IF(E258="Kurum içi",AC258*AD258+AE258*AF258+AB258*12%,0)</x:f>
        <x:v>34085.357457499995</x:v>
      </x:c>
      <x:c r="AJ258" s="38" t="n">
        <x:f>V258*AG258</x:f>
        <x:v>1868.129854051824</x:v>
      </x:c>
      <x:c r="AK258" s="38" t="n">
        <x:f>AB258*2%</x:f>
        <x:v>4964.66748025</x:v>
      </x:c>
      <x:c r="AL258" s="38" t="n">
        <x:f>AB258+AH258+AI258+AJ258+AK258</x:f>
        <x:v>289151.5288043018</x:v>
      </x:c>
      <x:c r="AM258" s="38" t="n">
        <x:f>AL258/V258</x:f>
        <x:v>835.8189084964511</x:v>
      </x:c>
      <x:c r="AN258" s="40" t="n">
        <x:f>(W258+X258)/AL258*100</x:f>
        <x:v>74.39530925170736</x:v>
      </x:c>
      <x:c r="AO258" s="28" t="str">
        <x:v>R01-R20; ilgili satırdaki bölgesel fiyat ve maliyet varsayımları</x:v>
      </x:c>
      <x:c r="AP258" s="28" t="str">
        <x:v>Girdi miktarları, alım fiyatı değişimi, fason bedeli ve parti sonucu simüle edilmiştir; işletme kaydı değildir.</x:v>
      </x:c>
    </x:row>
    <x:row r="259" ht="22" customHeight="1">
      <x:c r="A259" t="str">
        <x:v>SUC-0258</x:v>
      </x:c>
      <x:c r="B259" s="36" t="n">
        <x:v>46269</x:v>
      </x:c>
      <x:c r="C259" t="str">
        <x:v>Akdeniz</x:v>
      </x:c>
      <x:c r="D259" t="str">
        <x:v>MEB_STANDART</x:v>
      </x:c>
      <x:c r="E259" t="str">
        <x:v>Fason</x:v>
      </x:c>
      <x:c r="F259" s="42" t="str">
        <x:v>SENTETİK/SİMÜLE — gerçek parti kaydı değildir</x:v>
      </x:c>
      <x:c r="G259" s="38" t="n">
        <x:v>256.412</x:v>
      </x:c>
      <x:c r="H259" s="38" t="n">
        <x:v>79.615</x:v>
      </x:c>
      <x:c r="I259" s="38" t="n">
        <x:v>16.952</x:v>
      </x:c>
      <x:c r="J259" s="38" t="n">
        <x:v>8.696</x:v>
      </x:c>
      <x:c r="K259" s="38" t="n">
        <x:v>3.209</x:v>
      </x:c>
      <x:c r="L259" s="38" t="n">
        <x:f>SUM(G259:K259)</x:f>
        <x:v>364.884</x:v>
      </x:c>
      <x:c r="M259" s="38" t="n">
        <x:v>492.494</x:v>
      </x:c>
      <x:c r="N259" s="38" t="n">
        <x:v>604.58</x:v>
      </x:c>
      <x:c r="O259" s="38" t="n">
        <x:v>444.5</x:v>
      </x:c>
      <x:c r="P259" s="38" t="n">
        <x:v>669.9</x:v>
      </x:c>
      <x:c r="Q259" s="38" t="n">
        <x:v>19.88</x:v>
      </x:c>
      <x:c r="R259" s="38" t="n">
        <x:v>43.7475</x:v>
      </x:c>
      <x:c r="S259" s="38" t="n">
        <x:v>120.3</x:v>
      </x:c>
      <x:c r="T259" s="40" t="n">
        <x:v>20.76</x:v>
      </x:c>
      <x:c r="U259" s="40" t="n">
        <x:v>0.47</x:v>
      </x:c>
      <x:c r="V259" s="38" t="n">
        <x:f>L259*(1-T259/100)*(1-U259/100)</x:f>
        <x:v>287.77515141648</x:v>
      </x:c>
      <x:c r="W259" s="38" t="n">
        <x:f>G259*N259</x:f>
        <x:v>155021.56696</x:v>
      </x:c>
      <x:c r="X259" s="38" t="n">
        <x:f>H259*O259</x:f>
        <x:v>35388.8675</x:v>
      </x:c>
      <x:c r="Y259" s="38" t="n">
        <x:f>I259*P259</x:f>
        <x:v>11356.1448</x:v>
      </x:c>
      <x:c r="Z259" s="38" t="n">
        <x:f>J259*Q259+K259*P259</x:f>
        <x:v>2322.58558</x:v>
      </x:c>
      <x:c r="AA259" s="38" t="n">
        <x:f>M259*R259</x:f>
        <x:v>21545.381265000004</x:v>
      </x:c>
      <x:c r="AB259" s="38" t="n">
        <x:f>SUM(W259:AA259)</x:f>
        <x:v>225634.54610500002</x:v>
      </x:c>
      <x:c r="AC259" s="38" t="n">
        <x:v>13.88</x:v>
      </x:c>
      <x:c r="AD259" s="38" t="n">
        <x:v>174.33</x:v>
      </x:c>
      <x:c r="AE259" s="38" t="n">
        <x:v>97.5</x:v>
      </x:c>
      <x:c r="AF259" s="38" t="n">
        <x:v>4.8148</x:v>
      </x:c>
      <x:c r="AG259" s="38" t="n">
        <x:v>5.63</x:v>
      </x:c>
      <x:c r="AH259" s="38" t="n">
        <x:f>IF(E259="Fason",L259*S259,0)</x:f>
        <x:v>43895.5452</x:v>
      </x:c>
      <x:c r="AI259" s="38" t="n">
        <x:f>IF(E259="Kurum içi",AC259*AD259+AE259*AF259+AB259*12%,0)</x:f>
        <x:v>0</x:v>
      </x:c>
      <x:c r="AJ259" s="38" t="n">
        <x:f>V259*AG259</x:f>
        <x:v>1620.1741024747826</x:v>
      </x:c>
      <x:c r="AK259" s="38" t="n">
        <x:f>AB259*2%</x:f>
        <x:v>4512.6909221000005</x:v>
      </x:c>
      <x:c r="AL259" s="38" t="n">
        <x:f>AB259+AH259+AI259+AJ259+AK259</x:f>
        <x:v>275662.95632957475</x:v>
      </x:c>
      <x:c r="AM259" s="38" t="n">
        <x:f>AL259/V259</x:f>
        <x:v>957.9109070839268</x:v>
      </x:c>
      <x:c r="AN259" s="40" t="n">
        <x:f>(W259+X259)/AL259*100</x:f>
        <x:v>69.0736386909929</x:v>
      </x:c>
      <x:c r="AO259" s="28" t="str">
        <x:v>R01-R20; ilgili satırdaki bölgesel fiyat ve maliyet varsayımları</x:v>
      </x:c>
      <x:c r="AP259" s="28" t="str">
        <x:v>Girdi miktarları, alım fiyatı değişimi, fason bedeli ve parti sonucu simüle edilmiştir; işletme kaydı değildir.</x:v>
      </x:c>
    </x:row>
    <x:row r="260" ht="22" customHeight="1">
      <x:c r="A260" t="str">
        <x:v>SUC-0259</x:v>
      </x:c>
      <x:c r="B260" s="36" t="n">
        <x:v>46312</x:v>
      </x:c>
      <x:c r="C260" t="str">
        <x:v>Doğu Anadolu</x:v>
      </x:c>
      <x:c r="D260" t="str">
        <x:v>ERZURUM_CI</x:v>
      </x:c>
      <x:c r="E260" t="str">
        <x:v>Fason</x:v>
      </x:c>
      <x:c r="F260" s="42" t="str">
        <x:v>SENTETİK/SİMÜLE — gerçek parti kaydı değildir</x:v>
      </x:c>
      <x:c r="G260" s="38" t="n">
        <x:v>308.192</x:v>
      </x:c>
      <x:c r="H260" s="38" t="n">
        <x:v>55.933</x:v>
      </x:c>
      <x:c r="I260" s="38" t="n">
        <x:v>17.157</x:v>
      </x:c>
      <x:c r="J260" s="38" t="n">
        <x:v>6.805</x:v>
      </x:c>
      <x:c r="K260" s="38" t="n">
        <x:v>0.418</x:v>
      </x:c>
      <x:c r="L260" s="38" t="n">
        <x:f>SUM(G260:K260)</x:f>
        <x:v>388.505</x:v>
      </x:c>
      <x:c r="M260" s="38" t="n">
        <x:v>497.711</x:v>
      </x:c>
      <x:c r="N260" s="38" t="n">
        <x:v>587.8</x:v>
      </x:c>
      <x:c r="O260" s="38" t="n">
        <x:v>425.27</x:v>
      </x:c>
      <x:c r="P260" s="38" t="n">
        <x:v>400</x:v>
      </x:c>
      <x:c r="Q260" s="38" t="n">
        <x:v>19.88</x:v>
      </x:c>
      <x:c r="R260" s="38" t="n">
        <x:v>43.7475</x:v>
      </x:c>
      <x:c r="S260" s="38" t="n">
        <x:v>118.09</x:v>
      </x:c>
      <x:c r="T260" s="40" t="n">
        <x:v>17.24</x:v>
      </x:c>
      <x:c r="U260" s="40" t="n">
        <x:v>0.66</x:v>
      </x:c>
      <x:c r="V260" s="38" t="n">
        <x:f>L260*(1-T260/100)*(1-U260/100)</x:f>
        <x:v>319.4046615292</x:v>
      </x:c>
      <x:c r="W260" s="38" t="n">
        <x:f>G260*N260</x:f>
        <x:v>181155.25759999998</x:v>
      </x:c>
      <x:c r="X260" s="38" t="n">
        <x:f>H260*O260</x:f>
        <x:v>23786.62691</x:v>
      </x:c>
      <x:c r="Y260" s="38" t="n">
        <x:f>I260*P260</x:f>
        <x:v>6862.8</x:v>
      </x:c>
      <x:c r="Z260" s="38" t="n">
        <x:f>J260*Q260+K260*P260</x:f>
        <x:v>302.48339999999996</x:v>
      </x:c>
      <x:c r="AA260" s="38" t="n">
        <x:f>M260*R260</x:f>
        <x:v>21773.611972500003</x:v>
      </x:c>
      <x:c r="AB260" s="38" t="n">
        <x:f>SUM(W260:AA260)</x:f>
        <x:v>233880.77988249995</x:v>
      </x:c>
      <x:c r="AC260" s="38" t="n">
        <x:v>24.31</x:v>
      </x:c>
      <x:c r="AD260" s="38" t="n">
        <x:v>174.33</x:v>
      </x:c>
      <x:c r="AE260" s="38" t="n">
        <x:v>129.59</x:v>
      </x:c>
      <x:c r="AF260" s="38" t="n">
        <x:v>4.8148</x:v>
      </x:c>
      <x:c r="AG260" s="38" t="n">
        <x:v>5.8</x:v>
      </x:c>
      <x:c r="AH260" s="38" t="n">
        <x:f>IF(E260="Fason",L260*S260,0)</x:f>
        <x:v>45878.55545</x:v>
      </x:c>
      <x:c r="AI260" s="38" t="n">
        <x:f>IF(E260="Kurum içi",AC260*AD260+AE260*AF260+AB260*12%,0)</x:f>
        <x:v>0</x:v>
      </x:c>
      <x:c r="AJ260" s="38" t="n">
        <x:f>V260*AG260</x:f>
        <x:v>1852.5470368693598</x:v>
      </x:c>
      <x:c r="AK260" s="38" t="n">
        <x:f>AB260*2%</x:f>
        <x:v>4677.6155976499995</x:v>
      </x:c>
      <x:c r="AL260" s="38" t="n">
        <x:f>AB260+AH260+AI260+AJ260+AK260</x:f>
        <x:v>286289.49796701927</x:v>
      </x:c>
      <x:c r="AM260" s="38" t="n">
        <x:f>AL260/V260</x:f>
        <x:v>896.3222283493401</x:v>
      </x:c>
      <x:c r="AN260" s="40" t="n">
        <x:f>(W260+X260)/AL260*100</x:f>
        <x:v>71.58554049845355</x:v>
      </x:c>
      <x:c r="AO260" s="28" t="str">
        <x:v>R01-R20; ilgili satırdaki bölgesel fiyat ve maliyet varsayımları</x:v>
      </x:c>
      <x:c r="AP260" s="28" t="str">
        <x:v>Girdi miktarları, alım fiyatı değişimi, fason bedeli ve parti sonucu simüle edilmiştir; işletme kaydı değildir.</x:v>
      </x:c>
    </x:row>
    <x:row r="261" ht="22" customHeight="1">
      <x:c r="A261" t="str">
        <x:v>SUC-0260</x:v>
      </x:c>
      <x:c r="B261" s="36" t="n">
        <x:v>46316</x:v>
      </x:c>
      <x:c r="C261" t="str">
        <x:v>Ege</x:v>
      </x:c>
      <x:c r="D261" t="str">
        <x:v>ERZURUM_CI</x:v>
      </x:c>
      <x:c r="E261" t="str">
        <x:v>Fason</x:v>
      </x:c>
      <x:c r="F261" s="42" t="str">
        <x:v>SENTETİK/SİMÜLE — gerçek parti kaydı değildir</x:v>
      </x:c>
      <x:c r="G261" s="38" t="n">
        <x:v>365.645</x:v>
      </x:c>
      <x:c r="H261" s="38" t="n">
        <x:v>62.831</x:v>
      </x:c>
      <x:c r="I261" s="38" t="n">
        <x:v>21.203</x:v>
      </x:c>
      <x:c r="J261" s="38" t="n">
        <x:v>6.899</x:v>
      </x:c>
      <x:c r="K261" s="38" t="n">
        <x:v>0.924</x:v>
      </x:c>
      <x:c r="L261" s="38" t="n">
        <x:f>SUM(G261:K261)</x:f>
        <x:v>457.50199999999995</x:v>
      </x:c>
      <x:c r="M261" s="38" t="n">
        <x:v>607.631</x:v>
      </x:c>
      <x:c r="N261" s="38" t="n">
        <x:v>595.11</x:v>
      </x:c>
      <x:c r="O261" s="38" t="n">
        <x:v>442.76</x:v>
      </x:c>
      <x:c r="P261" s="38" t="n">
        <x:v>550</x:v>
      </x:c>
      <x:c r="Q261" s="38" t="n">
        <x:v>19.88</x:v>
      </x:c>
      <x:c r="R261" s="38" t="n">
        <x:v>43.7475</x:v>
      </x:c>
      <x:c r="S261" s="38" t="n">
        <x:v>108.06</x:v>
      </x:c>
      <x:c r="T261" s="40" t="n">
        <x:v>27.04</x:v>
      </x:c>
      <x:c r="U261" s="40" t="n">
        <x:v>0.31</x:v>
      </x:c>
      <x:c r="V261" s="38" t="n">
        <x:f>L261*(1-T261/100)*(1-U261/100)</x:f>
        <x:v>332.75869947648</x:v>
      </x:c>
      <x:c r="W261" s="38" t="n">
        <x:f>G261*N261</x:f>
        <x:v>217598.99594999998</x:v>
      </x:c>
      <x:c r="X261" s="38" t="n">
        <x:f>H261*O261</x:f>
        <x:v>27819.05356</x:v>
      </x:c>
      <x:c r="Y261" s="38" t="n">
        <x:f>I261*P261</x:f>
        <x:v>11661.65</x:v>
      </x:c>
      <x:c r="Z261" s="38" t="n">
        <x:f>J261*Q261+K261*P261</x:f>
        <x:v>645.35212</x:v>
      </x:c>
      <x:c r="AA261" s="38" t="n">
        <x:f>M261*R261</x:f>
        <x:v>26582.3371725</x:v>
      </x:c>
      <x:c r="AB261" s="38" t="n">
        <x:f>SUM(W261:AA261)</x:f>
        <x:v>284307.3888025</x:v>
      </x:c>
      <x:c r="AC261" s="38" t="n">
        <x:v>19.8</x:v>
      </x:c>
      <x:c r="AD261" s="38" t="n">
        <x:v>174.33</x:v>
      </x:c>
      <x:c r="AE261" s="38" t="n">
        <x:v>148.41</x:v>
      </x:c>
      <x:c r="AF261" s="38" t="n">
        <x:v>4.8148</x:v>
      </x:c>
      <x:c r="AG261" s="38" t="n">
        <x:v>5.85</x:v>
      </x:c>
      <x:c r="AH261" s="38" t="n">
        <x:f>IF(E261="Fason",L261*S261,0)</x:f>
        <x:v>49437.666119999994</x:v>
      </x:c>
      <x:c r="AI261" s="38" t="n">
        <x:f>IF(E261="Kurum içi",AC261*AD261+AE261*AF261+AB261*12%,0)</x:f>
        <x:v>0</x:v>
      </x:c>
      <x:c r="AJ261" s="38" t="n">
        <x:f>V261*AG261</x:f>
        <x:v>1946.6383919374077</x:v>
      </x:c>
      <x:c r="AK261" s="38" t="n">
        <x:f>AB261*2%</x:f>
        <x:v>5686.147776049999</x:v>
      </x:c>
      <x:c r="AL261" s="38" t="n">
        <x:f>AB261+AH261+AI261+AJ261+AK261</x:f>
        <x:v>341377.84109048743</x:v>
      </x:c>
      <x:c r="AM261" s="38" t="n">
        <x:f>AL261/V261</x:f>
        <x:v>1025.9020774740607</x:v>
      </x:c>
      <x:c r="AN261" s="40" t="n">
        <x:f>(W261+X261)/AL261*100</x:f>
        <x:v>71.89044512263705</x:v>
      </x:c>
      <x:c r="AO261" s="28" t="str">
        <x:v>R01-R20; ilgili satırdaki bölgesel fiyat ve maliyet varsayımları</x:v>
      </x:c>
      <x:c r="AP261" s="28" t="str">
        <x:v>Girdi miktarları, alım fiyatı değişimi, fason bedeli ve parti sonucu simüle edilmiştir; işletme kaydı değildir.</x:v>
      </x:c>
    </x:row>
    <x:row r="262" ht="22" customHeight="1">
      <x:c r="A262" t="str">
        <x:v>SUC-0261</x:v>
      </x:c>
      <x:c r="B262" s="36" t="n">
        <x:v>46306</x:v>
      </x:c>
      <x:c r="C262" t="str">
        <x:v>Marmara</x:v>
      </x:c>
      <x:c r="D262" t="str">
        <x:v>MEB_STANDART</x:v>
      </x:c>
      <x:c r="E262" t="str">
        <x:v>Kurum içi</x:v>
      </x:c>
      <x:c r="F262" s="42" t="str">
        <x:v>SENTETİK/SİMÜLE — gerçek parti kaydı değildir</x:v>
      </x:c>
      <x:c r="G262" s="38" t="n">
        <x:v>68.359</x:v>
      </x:c>
      <x:c r="H262" s="38" t="n">
        <x:v>22.174</x:v>
      </x:c>
      <x:c r="I262" s="38" t="n">
        <x:v>4.327</x:v>
      </x:c>
      <x:c r="J262" s="38" t="n">
        <x:v>2.538</x:v>
      </x:c>
      <x:c r="K262" s="38" t="n">
        <x:v>0.999</x:v>
      </x:c>
      <x:c r="L262" s="38" t="n">
        <x:f>SUM(G262:K262)</x:f>
        <x:v>98.39699999999998</x:v>
      </x:c>
      <x:c r="M262" s="38" t="n">
        <x:v>123.391</x:v>
      </x:c>
      <x:c r="N262" s="38" t="n">
        <x:v>621.25</x:v>
      </x:c>
      <x:c r="O262" s="38" t="n">
        <x:v>433.68</x:v>
      </x:c>
      <x:c r="P262" s="38" t="n">
        <x:v>550</x:v>
      </x:c>
      <x:c r="Q262" s="38" t="n">
        <x:v>19.88</x:v>
      </x:c>
      <x:c r="R262" s="38" t="n">
        <x:v>43.7475</x:v>
      </x:c>
      <x:c r="S262" s="38" t="n">
        <x:v>117.33</x:v>
      </x:c>
      <x:c r="T262" s="40" t="n">
        <x:v>25.39</x:v>
      </x:c>
      <x:c r="U262" s="40" t="n">
        <x:v>0.44</x:v>
      </x:c>
      <x:c r="V262" s="38" t="n">
        <x:f>L262*(1-T262/100)*(1-U262/100)</x:f>
        <x:v>73.09098009251998</x:v>
      </x:c>
      <x:c r="W262" s="38" t="n">
        <x:f>G262*N262</x:f>
        <x:v>42468.02875</x:v>
      </x:c>
      <x:c r="X262" s="38" t="n">
        <x:f>H262*O262</x:f>
        <x:v>9616.42032</x:v>
      </x:c>
      <x:c r="Y262" s="38" t="n">
        <x:f>I262*P262</x:f>
        <x:v>2379.85</x:v>
      </x:c>
      <x:c r="Z262" s="38" t="n">
        <x:f>J262*Q262+K262*P262</x:f>
        <x:v>599.90544</x:v>
      </x:c>
      <x:c r="AA262" s="38" t="n">
        <x:f>M262*R262</x:f>
        <x:v>5398.0477725</x:v>
      </x:c>
      <x:c r="AB262" s="38" t="n">
        <x:f>SUM(W262:AA262)</x:f>
        <x:v>60462.2522825</x:v>
      </x:c>
      <x:c r="AC262" s="38" t="n">
        <x:v>3.53</x:v>
      </x:c>
      <x:c r="AD262" s="38" t="n">
        <x:v>174.33</x:v>
      </x:c>
      <x:c r="AE262" s="38" t="n">
        <x:v>33.51</x:v>
      </x:c>
      <x:c r="AF262" s="38" t="n">
        <x:v>4.8148</x:v>
      </x:c>
      <x:c r="AG262" s="38" t="n">
        <x:v>5.52</x:v>
      </x:c>
      <x:c r="AH262" s="38" t="n">
        <x:f>IF(E262="Fason",L262*S262,0)</x:f>
        <x:v>0</x:v>
      </x:c>
      <x:c r="AI262" s="38" t="n">
        <x:f>IF(E262="Kurum içi",AC262*AD262+AE262*AF262+AB262*12%,0)</x:f>
        <x:v>8032.199121899999</x:v>
      </x:c>
      <x:c r="AJ262" s="38" t="n">
        <x:f>V262*AG262</x:f>
        <x:v>403.46221011071026</x:v>
      </x:c>
      <x:c r="AK262" s="38" t="n">
        <x:f>AB262*2%</x:f>
        <x:v>1209.24504565</x:v>
      </x:c>
      <x:c r="AL262" s="38" t="n">
        <x:f>AB262+AH262+AI262+AJ262+AK262</x:f>
        <x:v>70107.1586601607</x:v>
      </x:c>
      <x:c r="AM262" s="38" t="n">
        <x:f>AL262/V262</x:f>
        <x:v>959.1766120993</x:v>
      </x:c>
      <x:c r="AN262" s="40" t="n">
        <x:f>(W262+X262)/AL262*100</x:f>
        <x:v>74.29262583936048</x:v>
      </x:c>
      <x:c r="AO262" s="28" t="str">
        <x:v>R01-R20; ilgili satırdaki bölgesel fiyat ve maliyet varsayımları</x:v>
      </x:c>
      <x:c r="AP262" s="28" t="str">
        <x:v>Girdi miktarları, alım fiyatı değişimi, fason bedeli ve parti sonucu simüle edilmiştir; işletme kaydı değildir.</x:v>
      </x:c>
    </x:row>
    <x:row r="263" ht="22" customHeight="1">
      <x:c r="A263" t="str">
        <x:v>SUC-0262</x:v>
      </x:c>
      <x:c r="B263" s="36" t="n">
        <x:v>46293</x:v>
      </x:c>
      <x:c r="C263" t="str">
        <x:v>Ege</x:v>
      </x:c>
      <x:c r="D263" t="str">
        <x:v>MEB_STANDART</x:v>
      </x:c>
      <x:c r="E263" t="str">
        <x:v>Kurum içi</x:v>
      </x:c>
      <x:c r="F263" s="42" t="str">
        <x:v>SENTETİK/SİMÜLE — gerçek parti kaydı değildir</x:v>
      </x:c>
      <x:c r="G263" s="38" t="n">
        <x:v>142.652</x:v>
      </x:c>
      <x:c r="H263" s="38" t="n">
        <x:v>46.448</x:v>
      </x:c>
      <x:c r="I263" s="38" t="n">
        <x:v>8.778</x:v>
      </x:c>
      <x:c r="J263" s="38" t="n">
        <x:v>5.454</x:v>
      </x:c>
      <x:c r="K263" s="38" t="n">
        <x:v>1.972</x:v>
      </x:c>
      <x:c r="L263" s="38" t="n">
        <x:f>SUM(G263:K263)</x:f>
        <x:v>205.304</x:v>
      </x:c>
      <x:c r="M263" s="38" t="n">
        <x:v>260.078</x:v>
      </x:c>
      <x:c r="N263" s="38" t="n">
        <x:v>606.25</x:v>
      </x:c>
      <x:c r="O263" s="38" t="n">
        <x:v>420.52</x:v>
      </x:c>
      <x:c r="P263" s="38" t="n">
        <x:v>550</x:v>
      </x:c>
      <x:c r="Q263" s="38" t="n">
        <x:v>19.88</x:v>
      </x:c>
      <x:c r="R263" s="38" t="n">
        <x:v>43.7475</x:v>
      </x:c>
      <x:c r="S263" s="38" t="n">
        <x:v>95.36</x:v>
      </x:c>
      <x:c r="T263" s="40" t="n">
        <x:v>16.56</x:v>
      </x:c>
      <x:c r="U263" s="40" t="n">
        <x:v>1.24</x:v>
      </x:c>
      <x:c r="V263" s="38" t="n">
        <x:f>L263*(1-T263/100)*(1-U263/100)</x:f>
        <x:v>169.18146744576003</x:v>
      </x:c>
      <x:c r="W263" s="38" t="n">
        <x:f>G263*N263</x:f>
        <x:v>86482.775</x:v>
      </x:c>
      <x:c r="X263" s="38" t="n">
        <x:f>H263*O263</x:f>
        <x:v>19532.31296</x:v>
      </x:c>
      <x:c r="Y263" s="38" t="n">
        <x:f>I263*P263</x:f>
        <x:v>4827.900000000001</x:v>
      </x:c>
      <x:c r="Z263" s="38" t="n">
        <x:f>J263*Q263+K263*P263</x:f>
        <x:v>1193.02552</x:v>
      </x:c>
      <x:c r="AA263" s="38" t="n">
        <x:f>M263*R263</x:f>
        <x:v>11377.762305</x:v>
      </x:c>
      <x:c r="AB263" s="38" t="n">
        <x:f>SUM(W263:AA263)</x:f>
        <x:v>123413.77578499998</x:v>
      </x:c>
      <x:c r="AC263" s="38" t="n">
        <x:v>11.18</x:v>
      </x:c>
      <x:c r="AD263" s="38" t="n">
        <x:v>174.33</x:v>
      </x:c>
      <x:c r="AE263" s="38" t="n">
        <x:v>72.43</x:v>
      </x:c>
      <x:c r="AF263" s="38" t="n">
        <x:v>4.8148</x:v>
      </x:c>
      <x:c r="AG263" s="38" t="n">
        <x:v>5.58</x:v>
      </x:c>
      <x:c r="AH263" s="38" t="n">
        <x:f>IF(E263="Fason",L263*S263,0)</x:f>
        <x:v>0</x:v>
      </x:c>
      <x:c r="AI263" s="38" t="n">
        <x:f>IF(E263="Kurum içi",AC263*AD263+AE263*AF263+AB263*12%,0)</x:f>
        <x:v>17107.398458199998</x:v>
      </x:c>
      <x:c r="AJ263" s="38" t="n">
        <x:f>V263*AG263</x:f>
        <x:v>944.0325883473411</x:v>
      </x:c>
      <x:c r="AK263" s="38" t="n">
        <x:f>AB263*2%</x:f>
        <x:v>2468.2755156999997</x:v>
      </x:c>
      <x:c r="AL263" s="38" t="n">
        <x:f>AB263+AH263+AI263+AJ263+AK263</x:f>
        <x:v>143933.4823472473</x:v>
      </x:c>
      <x:c r="AM263" s="38" t="n">
        <x:f>AL263/V263</x:f>
        <x:v>850.7638840134349</x:v>
      </x:c>
      <x:c r="AN263" s="40" t="n">
        <x:f>(W263+X263)/AL263*100</x:f>
        <x:v>73.65561246147917</x:v>
      </x:c>
      <x:c r="AO263" s="28" t="str">
        <x:v>R01-R20; ilgili satırdaki bölgesel fiyat ve maliyet varsayımları</x:v>
      </x:c>
      <x:c r="AP263" s="28" t="str">
        <x:v>Girdi miktarları, alım fiyatı değişimi, fason bedeli ve parti sonucu simüle edilmiştir; işletme kaydı değildir.</x:v>
      </x:c>
    </x:row>
    <x:row r="264" ht="22" customHeight="1">
      <x:c r="A264" t="str">
        <x:v>SUC-0263</x:v>
      </x:c>
      <x:c r="B264" s="36" t="n">
        <x:v>46307</x:v>
      </x:c>
      <x:c r="C264" t="str">
        <x:v>Karadeniz</x:v>
      </x:c>
      <x:c r="D264" t="str">
        <x:v>ERZURUM_CI</x:v>
      </x:c>
      <x:c r="E264" t="str">
        <x:v>Kurum içi</x:v>
      </x:c>
      <x:c r="F264" s="42" t="str">
        <x:v>SENTETİK/SİMÜLE — gerçek parti kaydı değildir</x:v>
      </x:c>
      <x:c r="G264" s="38" t="n">
        <x:v>65.609</x:v>
      </x:c>
      <x:c r="H264" s="38" t="n">
        <x:v>11.822</x:v>
      </x:c>
      <x:c r="I264" s="38" t="n">
        <x:v>4.137</x:v>
      </x:c>
      <x:c r="J264" s="38" t="n">
        <x:v>1.462</x:v>
      </x:c>
      <x:c r="K264" s="38" t="n">
        <x:v>0.145</x:v>
      </x:c>
      <x:c r="L264" s="38" t="n">
        <x:f>SUM(G264:K264)</x:f>
        <x:v>83.175</x:v>
      </x:c>
      <x:c r="M264" s="38" t="n">
        <x:v>97.557</x:v>
      </x:c>
      <x:c r="N264" s="38" t="n">
        <x:v>600.18</x:v>
      </x:c>
      <x:c r="O264" s="38" t="n">
        <x:v>481.37</x:v>
      </x:c>
      <x:c r="P264" s="38" t="n">
        <x:v>400</x:v>
      </x:c>
      <x:c r="Q264" s="38" t="n">
        <x:v>19.88</x:v>
      </x:c>
      <x:c r="R264" s="38" t="n">
        <x:v>43.7475</x:v>
      </x:c>
      <x:c r="S264" s="38" t="n">
        <x:v>90.6</x:v>
      </x:c>
      <x:c r="T264" s="40" t="n">
        <x:v>19.66</x:v>
      </x:c>
      <x:c r="U264" s="40" t="n">
        <x:v>1.71</x:v>
      </x:c>
      <x:c r="V264" s="38" t="n">
        <x:f>L264*(1-T264/100)*(1-U264/100)</x:f>
        <x:v>65.6801252055</x:v>
      </x:c>
      <x:c r="W264" s="38" t="n">
        <x:f>G264*N264</x:f>
        <x:v>39377.209619999994</x:v>
      </x:c>
      <x:c r="X264" s="38" t="n">
        <x:f>H264*O264</x:f>
        <x:v>5690.7561399999995</x:v>
      </x:c>
      <x:c r="Y264" s="38" t="n">
        <x:f>I264*P264</x:f>
        <x:v>1654.7999999999997</x:v>
      </x:c>
      <x:c r="Z264" s="38" t="n">
        <x:f>J264*Q264+K264*P264</x:f>
        <x:v>87.06455999999999</x:v>
      </x:c>
      <x:c r="AA264" s="38" t="n">
        <x:f>M264*R264</x:f>
        <x:v>4267.8748575</x:v>
      </x:c>
      <x:c r="AB264" s="38" t="n">
        <x:f>SUM(W264:AA264)</x:f>
        <x:v>51077.70517749999</x:v>
      </x:c>
      <x:c r="AC264" s="38" t="n">
        <x:v>5.82</x:v>
      </x:c>
      <x:c r="AD264" s="38" t="n">
        <x:v>174.33</x:v>
      </x:c>
      <x:c r="AE264" s="38" t="n">
        <x:v>33.48</x:v>
      </x:c>
      <x:c r="AF264" s="38" t="n">
        <x:v>4.8148</x:v>
      </x:c>
      <x:c r="AG264" s="38" t="n">
        <x:v>5.55</x:v>
      </x:c>
      <x:c r="AH264" s="38" t="n">
        <x:f>IF(E264="Fason",L264*S264,0)</x:f>
        <x:v>0</x:v>
      </x:c>
      <x:c r="AI264" s="38" t="n">
        <x:f>IF(E264="Kurum içi",AC264*AD264+AE264*AF264+AB264*12%,0)</x:f>
        <x:v>7305.124725299999</x:v>
      </x:c>
      <x:c r="AJ264" s="38" t="n">
        <x:f>V264*AG264</x:f>
        <x:v>364.52469489052504</x:v>
      </x:c>
      <x:c r="AK264" s="38" t="n">
        <x:f>AB264*2%</x:f>
        <x:v>1021.5541035499999</x:v>
      </x:c>
      <x:c r="AL264" s="38" t="n">
        <x:f>AB264+AH264+AI264+AJ264+AK264</x:f>
        <x:v>59768.908701240514</x:v>
      </x:c>
      <x:c r="AM264" s="38" t="n">
        <x:f>AL264/V264</x:f>
        <x:v>909.9999202838839</x:v>
      </x:c>
      <x:c r="AN264" s="40" t="n">
        <x:f>(W264+X264)/AL264*100</x:f>
        <x:v>75.40369523103672</x:v>
      </x:c>
      <x:c r="AO264" s="28" t="str">
        <x:v>R01-R20; ilgili satırdaki bölgesel fiyat ve maliyet varsayımları</x:v>
      </x:c>
      <x:c r="AP264" s="28" t="str">
        <x:v>Girdi miktarları, alım fiyatı değişimi, fason bedeli ve parti sonucu simüle edilmiştir; işletme kaydı değildir.</x:v>
      </x:c>
    </x:row>
    <x:row r="265" ht="22" customHeight="1">
      <x:c r="A265" t="str">
        <x:v>SUC-0264</x:v>
      </x:c>
      <x:c r="B265" s="36" t="n">
        <x:v>46272</x:v>
      </x:c>
      <x:c r="C265" t="str">
        <x:v>Güneydoğu Anadolu</x:v>
      </x:c>
      <x:c r="D265" t="str">
        <x:v>ERZURUM_CI</x:v>
      </x:c>
      <x:c r="E265" t="str">
        <x:v>Kurum içi</x:v>
      </x:c>
      <x:c r="F265" s="42" t="str">
        <x:v>SENTETİK/SİMÜLE — gerçek parti kaydı değildir</x:v>
      </x:c>
      <x:c r="G265" s="38" t="n">
        <x:v>200.054</x:v>
      </x:c>
      <x:c r="H265" s="38" t="n">
        <x:v>33.031</x:v>
      </x:c>
      <x:c r="I265" s="38" t="n">
        <x:v>11.243</x:v>
      </x:c>
      <x:c r="J265" s="38" t="n">
        <x:v>4.461</x:v>
      </x:c>
      <x:c r="K265" s="38" t="n">
        <x:v>0.176</x:v>
      </x:c>
      <x:c r="L265" s="38" t="n">
        <x:f>SUM(G265:K265)</x:f>
        <x:v>248.965</x:v>
      </x:c>
      <x:c r="M265" s="38" t="n">
        <x:v>312.533</x:v>
      </x:c>
      <x:c r="N265" s="38" t="n">
        <x:v>586.63</x:v>
      </x:c>
      <x:c r="O265" s="38" t="n">
        <x:v>476.13</x:v>
      </x:c>
      <x:c r="P265" s="38" t="n">
        <x:v>400</x:v>
      </x:c>
      <x:c r="Q265" s="38" t="n">
        <x:v>19.88</x:v>
      </x:c>
      <x:c r="R265" s="38" t="n">
        <x:v>43.7475</x:v>
      </x:c>
      <x:c r="S265" s="38" t="n">
        <x:v>70.22</x:v>
      </x:c>
      <x:c r="T265" s="40" t="n">
        <x:v>26.36</x:v>
      </x:c>
      <x:c r="U265" s="40" t="n">
        <x:v>1.12</x:v>
      </x:c>
      <x:c r="V265" s="38" t="n">
        <x:f>L265*(1-T265/100)*(1-U265/100)</x:f>
        <x:v>181.28444234879998</x:v>
      </x:c>
      <x:c r="W265" s="38" t="n">
        <x:f>G265*N265</x:f>
        <x:v>117357.67802</x:v>
      </x:c>
      <x:c r="X265" s="38" t="n">
        <x:f>H265*O265</x:f>
        <x:v>15727.050029999999</x:v>
      </x:c>
      <x:c r="Y265" s="38" t="n">
        <x:f>I265*P265</x:f>
        <x:v>4497.2</x:v>
      </x:c>
      <x:c r="Z265" s="38" t="n">
        <x:f>J265*Q265+K265*P265</x:f>
        <x:v>159.08468</x:v>
      </x:c>
      <x:c r="AA265" s="38" t="n">
        <x:f>M265*R265</x:f>
        <x:v>13672.537417500002</x:v>
      </x:c>
      <x:c r="AB265" s="38" t="n">
        <x:f>SUM(W265:AA265)</x:f>
        <x:v>151413.5501475</x:v>
      </x:c>
      <x:c r="AC265" s="38" t="n">
        <x:v>16.72</x:v>
      </x:c>
      <x:c r="AD265" s="38" t="n">
        <x:v>174.33</x:v>
      </x:c>
      <x:c r="AE265" s="38" t="n">
        <x:v>73.74</x:v>
      </x:c>
      <x:c r="AF265" s="38" t="n">
        <x:v>4.8148</x:v>
      </x:c>
      <x:c r="AG265" s="38" t="n">
        <x:v>5.51</x:v>
      </x:c>
      <x:c r="AH265" s="38" t="n">
        <x:f>IF(E265="Fason",L265*S265,0)</x:f>
        <x:v>0</x:v>
      </x:c>
      <x:c r="AI265" s="38" t="n">
        <x:f>IF(E265="Kurum içi",AC265*AD265+AE265*AF265+AB265*12%,0)</x:f>
        <x:v>21439.4669697</x:v>
      </x:c>
      <x:c r="AJ265" s="38" t="n">
        <x:f>V265*AG265</x:f>
        <x:v>998.8772773418879</x:v>
      </x:c>
      <x:c r="AK265" s="38" t="n">
        <x:f>AB265*2%</x:f>
        <x:v>3028.2710029500004</x:v>
      </x:c>
      <x:c r="AL265" s="38" t="n">
        <x:f>AB265+AH265+AI265+AJ265+AK265</x:f>
        <x:v>176880.1653974919</x:v>
      </x:c>
      <x:c r="AM265" s="38" t="n">
        <x:f>AL265/V265</x:f>
        <x:v>975.7051576282864</x:v>
      </x:c>
      <x:c r="AN265" s="40" t="n">
        <x:f>(W265+X265)/AL265*100</x:f>
        <x:v>75.24005178925907</x:v>
      </x:c>
      <x:c r="AO265" s="28" t="str">
        <x:v>R01-R20; ilgili satırdaki bölgesel fiyat ve maliyet varsayımları</x:v>
      </x:c>
      <x:c r="AP265" s="28" t="str">
        <x:v>Girdi miktarları, alım fiyatı değişimi, fason bedeli ve parti sonucu simüle edilmiştir; işletme kaydı değildir.</x:v>
      </x:c>
    </x:row>
    <x:row r="266" ht="22" customHeight="1">
      <x:c r="A266" t="str">
        <x:v>SUC-0265</x:v>
      </x:c>
      <x:c r="B266" s="36" t="n">
        <x:v>46288</x:v>
      </x:c>
      <x:c r="C266" t="str">
        <x:v>İç Anadolu</x:v>
      </x:c>
      <x:c r="D266" t="str">
        <x:v>MEB_STANDART</x:v>
      </x:c>
      <x:c r="E266" t="str">
        <x:v>Kurum içi</x:v>
      </x:c>
      <x:c r="F266" s="42" t="str">
        <x:v>SENTETİK/SİMÜLE — gerçek parti kaydı değildir</x:v>
      </x:c>
      <x:c r="G266" s="38" t="n">
        <x:v>85.296</x:v>
      </x:c>
      <x:c r="H266" s="38" t="n">
        <x:v>26.248</x:v>
      </x:c>
      <x:c r="I266" s="38" t="n">
        <x:v>5.445</x:v>
      </x:c>
      <x:c r="J266" s="38" t="n">
        <x:v>3.056</x:v>
      </x:c>
      <x:c r="K266" s="38" t="n">
        <x:v>1.29</x:v>
      </x:c>
      <x:c r="L266" s="38" t="n">
        <x:f>SUM(G266:K266)</x:f>
        <x:v>121.33500000000001</x:v>
      </x:c>
      <x:c r="M266" s="38" t="n">
        <x:v>159.388</x:v>
      </x:c>
      <x:c r="N266" s="38" t="n">
        <x:v>593.61</x:v>
      </x:c>
      <x:c r="O266" s="38" t="n">
        <x:v>474.95</x:v>
      </x:c>
      <x:c r="P266" s="38" t="n">
        <x:v>400</x:v>
      </x:c>
      <x:c r="Q266" s="38" t="n">
        <x:v>19.88</x:v>
      </x:c>
      <x:c r="R266" s="38" t="n">
        <x:v>43.7475</x:v>
      </x:c>
      <x:c r="S266" s="38" t="n">
        <x:v>114.98</x:v>
      </x:c>
      <x:c r="T266" s="40" t="n">
        <x:v>24.92</x:v>
      </x:c>
      <x:c r="U266" s="40" t="n">
        <x:v>0.45</x:v>
      </x:c>
      <x:c r="V266" s="38" t="n">
        <x:f>L266*(1-T266/100)*(1-U266/100)</x:f>
        <x:v>90.68837556900002</x:v>
      </x:c>
      <x:c r="W266" s="38" t="n">
        <x:f>G266*N266</x:f>
        <x:v>50632.558560000005</x:v>
      </x:c>
      <x:c r="X266" s="38" t="n">
        <x:f>H266*O266</x:f>
        <x:v>12466.4876</x:v>
      </x:c>
      <x:c r="Y266" s="38" t="n">
        <x:f>I266*P266</x:f>
        <x:v>2178</x:v>
      </x:c>
      <x:c r="Z266" s="38" t="n">
        <x:f>J266*Q266+K266*P266</x:f>
        <x:v>576.75328</x:v>
      </x:c>
      <x:c r="AA266" s="38" t="n">
        <x:f>M266*R266</x:f>
        <x:v>6972.82653</x:v>
      </x:c>
      <x:c r="AB266" s="38" t="n">
        <x:f>SUM(W266:AA266)</x:f>
        <x:v>72826.62597000001</x:v>
      </x:c>
      <x:c r="AC266" s="38" t="n">
        <x:v>4.86</x:v>
      </x:c>
      <x:c r="AD266" s="38" t="n">
        <x:v>174.33</x:v>
      </x:c>
      <x:c r="AE266" s="38" t="n">
        <x:v>31.77</x:v>
      </x:c>
      <x:c r="AF266" s="38" t="n">
        <x:v>4.8148</x:v>
      </x:c>
      <x:c r="AG266" s="38" t="n">
        <x:v>5.16</x:v>
      </x:c>
      <x:c r="AH266" s="38" t="n">
        <x:f>IF(E266="Fason",L266*S266,0)</x:f>
        <x:v>0</x:v>
      </x:c>
      <x:c r="AI266" s="38" t="n">
        <x:f>IF(E266="Kurum içi",AC266*AD266+AE266*AF266+AB266*12%,0)</x:f>
        <x:v>9739.4051124</x:v>
      </x:c>
      <x:c r="AJ266" s="38" t="n">
        <x:f>V266*AG266</x:f>
        <x:v>467.9520179360401</x:v>
      </x:c>
      <x:c r="AK266" s="38" t="n">
        <x:f>AB266*2%</x:f>
        <x:v>1456.5325194000002</x:v>
      </x:c>
      <x:c r="AL266" s="38" t="n">
        <x:f>AB266+AH266+AI266+AJ266+AK266</x:f>
        <x:v>84490.51561973605</x:v>
      </x:c>
      <x:c r="AM266" s="38" t="n">
        <x:f>AL266/V266</x:f>
        <x:v>931.657614215966</x:v>
      </x:c>
      <x:c r="AN266" s="40" t="n">
        <x:f>(W266+X266)/AL266*100</x:f>
        <x:v>74.68180978322823</x:v>
      </x:c>
      <x:c r="AO266" s="28" t="str">
        <x:v>R01-R20; ilgili satırdaki bölgesel fiyat ve maliyet varsayımları</x:v>
      </x:c>
      <x:c r="AP266" s="28" t="str">
        <x:v>Girdi miktarları, alım fiyatı değişimi, fason bedeli ve parti sonucu simüle edilmiştir; işletme kaydı değildir.</x:v>
      </x:c>
    </x:row>
    <x:row r="267" ht="22" customHeight="1">
      <x:c r="A267" t="str">
        <x:v>SUC-0266</x:v>
      </x:c>
      <x:c r="B267" s="36" t="n">
        <x:v>46299</x:v>
      </x:c>
      <x:c r="C267" t="str">
        <x:v>Marmara</x:v>
      </x:c>
      <x:c r="D267" t="str">
        <x:v>ERZURUM_CI</x:v>
      </x:c>
      <x:c r="E267" t="str">
        <x:v>Kurum içi</x:v>
      </x:c>
      <x:c r="F267" s="42" t="str">
        <x:v>SENTETİK/SİMÜLE — gerçek parti kaydı değildir</x:v>
      </x:c>
      <x:c r="G267" s="38" t="n">
        <x:v>303.573</x:v>
      </x:c>
      <x:c r="H267" s="38" t="n">
        <x:v>53.513</x:v>
      </x:c>
      <x:c r="I267" s="38" t="n">
        <x:v>17.513</x:v>
      </x:c>
      <x:c r="J267" s="38" t="n">
        <x:v>6.626</x:v>
      </x:c>
      <x:c r="K267" s="38" t="n">
        <x:v>0.214</x:v>
      </x:c>
      <x:c r="L267" s="38" t="n">
        <x:f>SUM(G267:K267)</x:f>
        <x:v>381.4389999999999</x:v>
      </x:c>
      <x:c r="M267" s="38" t="n">
        <x:v>469.656</x:v>
      </x:c>
      <x:c r="N267" s="38" t="n">
        <x:v>593.1</x:v>
      </x:c>
      <x:c r="O267" s="38" t="n">
        <x:v>454.82</x:v>
      </x:c>
      <x:c r="P267" s="38" t="n">
        <x:v>669.9</x:v>
      </x:c>
      <x:c r="Q267" s="38" t="n">
        <x:v>19.88</x:v>
      </x:c>
      <x:c r="R267" s="38" t="n">
        <x:v>43.7475</x:v>
      </x:c>
      <x:c r="S267" s="38" t="n">
        <x:v>87.49</x:v>
      </x:c>
      <x:c r="T267" s="40" t="n">
        <x:v>24.48</x:v>
      </x:c>
      <x:c r="U267" s="40" t="n">
        <x:v>1.77</x:v>
      </x:c>
      <x:c r="V267" s="38" t="n">
        <x:f>L267*(1-T267/100)*(1-U267/100)</x:f>
        <x:v>282.9640224294399</x:v>
      </x:c>
      <x:c r="W267" s="38" t="n">
        <x:f>G267*N267</x:f>
        <x:v>180049.1463</x:v>
      </x:c>
      <x:c r="X267" s="38" t="n">
        <x:f>H267*O267</x:f>
        <x:v>24338.782659999997</x:v>
      </x:c>
      <x:c r="Y267" s="38" t="n">
        <x:f>I267*P267</x:f>
        <x:v>11731.958700000001</x:v>
      </x:c>
      <x:c r="Z267" s="38" t="n">
        <x:f>J267*Q267+K267*P267</x:f>
        <x:v>275.08348</x:v>
      </x:c>
      <x:c r="AA267" s="38" t="n">
        <x:f>M267*R267</x:f>
        <x:v>20546.27586</x:v>
      </x:c>
      <x:c r="AB267" s="38" t="n">
        <x:f>SUM(W267:AA267)</x:f>
        <x:v>236941.24699999997</x:v>
      </x:c>
      <x:c r="AC267" s="38" t="n">
        <x:v>25</x:v>
      </x:c>
      <x:c r="AD267" s="38" t="n">
        <x:v>174.33</x:v>
      </x:c>
      <x:c r="AE267" s="38" t="n">
        <x:v>106.41</x:v>
      </x:c>
      <x:c r="AF267" s="38" t="n">
        <x:v>4.8148</x:v>
      </x:c>
      <x:c r="AG267" s="38" t="n">
        <x:v>5.57</x:v>
      </x:c>
      <x:c r="AH267" s="38" t="n">
        <x:f>IF(E267="Fason",L267*S267,0)</x:f>
        <x:v>0</x:v>
      </x:c>
      <x:c r="AI267" s="38" t="n">
        <x:f>IF(E267="Kurum içi",AC267*AD267+AE267*AF267+AB267*12%,0)</x:f>
        <x:v>33303.542508</x:v>
      </x:c>
      <x:c r="AJ267" s="38" t="n">
        <x:f>V267*AG267</x:f>
        <x:v>1576.1096049319804</x:v>
      </x:c>
      <x:c r="AK267" s="38" t="n">
        <x:f>AB267*2%</x:f>
        <x:v>4738.8249399999995</x:v>
      </x:c>
      <x:c r="AL267" s="38" t="n">
        <x:f>AB267+AH267+AI267+AJ267+AK267</x:f>
        <x:v>276559.72405293194</x:v>
      </x:c>
      <x:c r="AM267" s="38" t="n">
        <x:f>AL267/V267</x:f>
        <x:v>977.3670930971269</x:v>
      </x:c>
      <x:c r="AN267" s="40" t="n">
        <x:f>(W267+X267)/AL267*100</x:f>
        <x:v>73.90372175844423</x:v>
      </x:c>
      <x:c r="AO267" s="28" t="str">
        <x:v>R01-R20; ilgili satırdaki bölgesel fiyat ve maliyet varsayımları</x:v>
      </x:c>
      <x:c r="AP267" s="28" t="str">
        <x:v>Girdi miktarları, alım fiyatı değişimi, fason bedeli ve parti sonucu simüle edilmiştir; işletme kaydı değildir.</x:v>
      </x:c>
    </x:row>
    <x:row r="268" ht="22" customHeight="1">
      <x:c r="A268" t="str">
        <x:v>SUC-0267</x:v>
      </x:c>
      <x:c r="B268" s="36" t="n">
        <x:v>46307</x:v>
      </x:c>
      <x:c r="C268" t="str">
        <x:v>Güneydoğu Anadolu</x:v>
      </x:c>
      <x:c r="D268" t="str">
        <x:v>MEB_STANDART</x:v>
      </x:c>
      <x:c r="E268" t="str">
        <x:v>Kurum içi</x:v>
      </x:c>
      <x:c r="F268" s="42" t="str">
        <x:v>SENTETİK/SİMÜLE — gerçek parti kaydı değildir</x:v>
      </x:c>
      <x:c r="G268" s="38" t="n">
        <x:v>346.465</x:v>
      </x:c>
      <x:c r="H268" s="38" t="n">
        <x:v>105.019</x:v>
      </x:c>
      <x:c r="I268" s="38" t="n">
        <x:v>21.794</x:v>
      </x:c>
      <x:c r="J268" s="38" t="n">
        <x:v>12.648</x:v>
      </x:c>
      <x:c r="K268" s="38" t="n">
        <x:v>4.594</x:v>
      </x:c>
      <x:c r="L268" s="38" t="n">
        <x:f>SUM(G268:K268)</x:f>
        <x:v>490.52</x:v>
      </x:c>
      <x:c r="M268" s="38" t="n">
        <x:v>576.526</x:v>
      </x:c>
      <x:c r="N268" s="38" t="n">
        <x:v>595.64</x:v>
      </x:c>
      <x:c r="O268" s="38" t="n">
        <x:v>465.35</x:v>
      </x:c>
      <x:c r="P268" s="38" t="n">
        <x:v>550</x:v>
      </x:c>
      <x:c r="Q268" s="38" t="n">
        <x:v>19.88</x:v>
      </x:c>
      <x:c r="R268" s="38" t="n">
        <x:v>43.7475</x:v>
      </x:c>
      <x:c r="S268" s="38" t="n">
        <x:v>96.27</x:v>
      </x:c>
      <x:c r="T268" s="40" t="n">
        <x:v>18.59</x:v>
      </x:c>
      <x:c r="U268" s="40" t="n">
        <x:v>0.3</x:v>
      </x:c>
      <x:c r="V268" s="38" t="n">
        <x:f>L268*(1-T268/100)*(1-U268/100)</x:f>
        <x:v>398.134335004</x:v>
      </x:c>
      <x:c r="W268" s="38" t="n">
        <x:f>G268*N268</x:f>
        <x:v>206368.41259999998</x:v>
      </x:c>
      <x:c r="X268" s="38" t="n">
        <x:f>H268*O268</x:f>
        <x:v>48870.59165</x:v>
      </x:c>
      <x:c r="Y268" s="38" t="n">
        <x:f>I268*P268</x:f>
        <x:v>11986.7</x:v>
      </x:c>
      <x:c r="Z268" s="38" t="n">
        <x:f>J268*Q268+K268*P268</x:f>
        <x:v>2778.14224</x:v>
      </x:c>
      <x:c r="AA268" s="38" t="n">
        <x:f>M268*R268</x:f>
        <x:v>25221.571185</x:v>
      </x:c>
      <x:c r="AB268" s="38" t="n">
        <x:f>SUM(W268:AA268)</x:f>
        <x:v>295225.41767500003</x:v>
      </x:c>
      <x:c r="AC268" s="38" t="n">
        <x:v>21.47</x:v>
      </x:c>
      <x:c r="AD268" s="38" t="n">
        <x:v>174.33</x:v>
      </x:c>
      <x:c r="AE268" s="38" t="n">
        <x:v>200.02</x:v>
      </x:c>
      <x:c r="AF268" s="38" t="n">
        <x:v>4.8148</x:v>
      </x:c>
      <x:c r="AG268" s="38" t="n">
        <x:v>5.31</x:v>
      </x:c>
      <x:c r="AH268" s="38" t="n">
        <x:f>IF(E268="Fason",L268*S268,0)</x:f>
        <x:v>0</x:v>
      </x:c>
      <x:c r="AI268" s="38" t="n">
        <x:f>IF(E268="Kurum içi",AC268*AD268+AE268*AF268+AB268*12%,0)</x:f>
        <x:v>40132.971517</x:v>
      </x:c>
      <x:c r="AJ268" s="38" t="n">
        <x:f>V268*AG268</x:f>
        <x:v>2114.0933188712397</x:v>
      </x:c>
      <x:c r="AK268" s="38" t="n">
        <x:f>AB268*2%</x:f>
        <x:v>5904.5083535</x:v>
      </x:c>
      <x:c r="AL268" s="38" t="n">
        <x:f>AB268+AH268+AI268+AJ268+AK268</x:f>
        <x:v>343376.99086437124</x:v>
      </x:c>
      <x:c r="AM268" s="38" t="n">
        <x:f>AL268/V268</x:f>
        <x:v>862.4651547848075</x:v>
      </x:c>
      <x:c r="AN268" s="40" t="n">
        <x:f>(W268+X268)/AL268*100</x:f>
        <x:v>74.33200564996959</x:v>
      </x:c>
      <x:c r="AO268" s="28" t="str">
        <x:v>R01-R20; ilgili satırdaki bölgesel fiyat ve maliyet varsayımları</x:v>
      </x:c>
      <x:c r="AP268" s="28" t="str">
        <x:v>Girdi miktarları, alım fiyatı değişimi, fason bedeli ve parti sonucu simüle edilmiştir; işletme kaydı değildir.</x:v>
      </x:c>
    </x:row>
    <x:row r="269" ht="22" customHeight="1">
      <x:c r="A269" t="str">
        <x:v>SUC-0268</x:v>
      </x:c>
      <x:c r="B269" s="36" t="n">
        <x:v>46282</x:v>
      </x:c>
      <x:c r="C269" t="str">
        <x:v>Karadeniz</x:v>
      </x:c>
      <x:c r="D269" t="str">
        <x:v>MEB_STANDART</x:v>
      </x:c>
      <x:c r="E269" t="str">
        <x:v>Kurum içi</x:v>
      </x:c>
      <x:c r="F269" s="42" t="str">
        <x:v>SENTETİK/SİMÜLE — gerçek parti kaydı değildir</x:v>
      </x:c>
      <x:c r="G269" s="38" t="n">
        <x:v>182.73</x:v>
      </x:c>
      <x:c r="H269" s="38" t="n">
        <x:v>56.166</x:v>
      </x:c>
      <x:c r="I269" s="38" t="n">
        <x:v>12.198</x:v>
      </x:c>
      <x:c r="J269" s="38" t="n">
        <x:v>6.481</x:v>
      </x:c>
      <x:c r="K269" s="38" t="n">
        <x:v>3.029</x:v>
      </x:c>
      <x:c r="L269" s="38" t="n">
        <x:f>SUM(G269:K269)</x:f>
        <x:v>260.604</x:v>
      </x:c>
      <x:c r="M269" s="38" t="n">
        <x:v>318.877</x:v>
      </x:c>
      <x:c r="N269" s="38" t="n">
        <x:v>598.76</x:v>
      </x:c>
      <x:c r="O269" s="38" t="n">
        <x:v>445.29</x:v>
      </x:c>
      <x:c r="P269" s="38" t="n">
        <x:v>400</x:v>
      </x:c>
      <x:c r="Q269" s="38" t="n">
        <x:v>19.88</x:v>
      </x:c>
      <x:c r="R269" s="38" t="n">
        <x:v>43.7475</x:v>
      </x:c>
      <x:c r="S269" s="38" t="n">
        <x:v>91.48</x:v>
      </x:c>
      <x:c r="T269" s="40" t="n">
        <x:v>16.66</x:v>
      </x:c>
      <x:c r="U269" s="40" t="n">
        <x:v>1.73</x:v>
      </x:c>
      <x:c r="V269" s="38" t="n">
        <x:f>L269*(1-T269/100)*(1-U269/100)</x:f>
        <x:v>213.43003203672</x:v>
      </x:c>
      <x:c r="W269" s="38" t="n">
        <x:f>G269*N269</x:f>
        <x:v>109411.4148</x:v>
      </x:c>
      <x:c r="X269" s="38" t="n">
        <x:f>H269*O269</x:f>
        <x:v>25010.15814</x:v>
      </x:c>
      <x:c r="Y269" s="38" t="n">
        <x:f>I269*P269</x:f>
        <x:v>4879.2</x:v>
      </x:c>
      <x:c r="Z269" s="38" t="n">
        <x:f>J269*Q269+K269*P269</x:f>
        <x:v>1340.44228</x:v>
      </x:c>
      <x:c r="AA269" s="38" t="n">
        <x:f>M269*R269</x:f>
        <x:v>13950.071557500001</x:v>
      </x:c>
      <x:c r="AB269" s="38" t="n">
        <x:f>SUM(W269:AA269)</x:f>
        <x:v>154591.28677749998</x:v>
      </x:c>
      <x:c r="AC269" s="38" t="n">
        <x:v>14.21</x:v>
      </x:c>
      <x:c r="AD269" s="38" t="n">
        <x:v>174.33</x:v>
      </x:c>
      <x:c r="AE269" s="38" t="n">
        <x:v>91.29</x:v>
      </x:c>
      <x:c r="AF269" s="38" t="n">
        <x:v>4.8148</x:v>
      </x:c>
      <x:c r="AG269" s="38" t="n">
        <x:v>5.2</x:v>
      </x:c>
      <x:c r="AH269" s="38" t="n">
        <x:f>IF(E269="Fason",L269*S269,0)</x:f>
        <x:v>0</x:v>
      </x:c>
      <x:c r="AI269" s="38" t="n">
        <x:f>IF(E269="Kurum içi",AC269*AD269+AE269*AF269+AB269*12%,0)</x:f>
        <x:v>21467.726805299997</x:v>
      </x:c>
      <x:c r="AJ269" s="38" t="n">
        <x:f>V269*AG269</x:f>
        <x:v>1109.836166590944</x:v>
      </x:c>
      <x:c r="AK269" s="38" t="n">
        <x:f>AB269*2%</x:f>
        <x:v>3091.8257355499995</x:v>
      </x:c>
      <x:c r="AL269" s="38" t="n">
        <x:f>AB269+AH269+AI269+AJ269+AK269</x:f>
        <x:v>180260.6754849409</x:v>
      </x:c>
      <x:c r="AM269" s="38" t="n">
        <x:f>AL269/V269</x:f>
        <x:v>844.5890850727492</x:v>
      </x:c>
      <x:c r="AN269" s="40" t="n">
        <x:f>(W269+X269)/AL269*100</x:f>
        <x:v>74.57065861890085</x:v>
      </x:c>
      <x:c r="AO269" s="28" t="str">
        <x:v>R01-R20; ilgili satırdaki bölgesel fiyat ve maliyet varsayımları</x:v>
      </x:c>
      <x:c r="AP269" s="28" t="str">
        <x:v>Girdi miktarları, alım fiyatı değişimi, fason bedeli ve parti sonucu simüle edilmiştir; işletme kaydı değildir.</x:v>
      </x:c>
    </x:row>
    <x:row r="270" ht="22" customHeight="1">
      <x:c r="A270" t="str">
        <x:v>SUC-0269</x:v>
      </x:c>
      <x:c r="B270" s="36" t="n">
        <x:v>46290</x:v>
      </x:c>
      <x:c r="C270" t="str">
        <x:v>İç Anadolu</x:v>
      </x:c>
      <x:c r="D270" t="str">
        <x:v>ERZURUM_CI</x:v>
      </x:c>
      <x:c r="E270" t="str">
        <x:v>Fason</x:v>
      </x:c>
      <x:c r="F270" s="42" t="str">
        <x:v>SENTETİK/SİMÜLE — gerçek parti kaydı değildir</x:v>
      </x:c>
      <x:c r="G270" s="38" t="n">
        <x:v>173.116</x:v>
      </x:c>
      <x:c r="H270" s="38" t="n">
        <x:v>30.661</x:v>
      </x:c>
      <x:c r="I270" s="38" t="n">
        <x:v>9.507</x:v>
      </x:c>
      <x:c r="J270" s="38" t="n">
        <x:v>3.719</x:v>
      </x:c>
      <x:c r="K270" s="38" t="n">
        <x:v>0.102</x:v>
      </x:c>
      <x:c r="L270" s="38" t="n">
        <x:f>SUM(G270:K270)</x:f>
        <x:v>217.10500000000002</x:v>
      </x:c>
      <x:c r="M270" s="38" t="n">
        <x:v>267.139</x:v>
      </x:c>
      <x:c r="N270" s="38" t="n">
        <x:v>579.44</x:v>
      </x:c>
      <x:c r="O270" s="38" t="n">
        <x:v>441.51</x:v>
      </x:c>
      <x:c r="P270" s="38" t="n">
        <x:v>550</x:v>
      </x:c>
      <x:c r="Q270" s="38" t="n">
        <x:v>19.88</x:v>
      </x:c>
      <x:c r="R270" s="38" t="n">
        <x:v>43.7475</x:v>
      </x:c>
      <x:c r="S270" s="38" t="n">
        <x:v>67.61</x:v>
      </x:c>
      <x:c r="T270" s="40" t="n">
        <x:v>23.8</x:v>
      </x:c>
      <x:c r="U270" s="40" t="n">
        <x:v>1.13</x:v>
      </x:c>
      <x:c r="V270" s="38" t="n">
        <x:f>L270*(1-T270/100)*(1-U270/100)</x:f>
        <x:v>163.56460568700004</x:v>
      </x:c>
      <x:c r="W270" s="38" t="n">
        <x:f>G270*N270</x:f>
        <x:v>100310.33504000002</x:v>
      </x:c>
      <x:c r="X270" s="38" t="n">
        <x:f>H270*O270</x:f>
        <x:v>13537.13811</x:v>
      </x:c>
      <x:c r="Y270" s="38" t="n">
        <x:f>I270*P270</x:f>
        <x:v>5228.849999999999</x:v>
      </x:c>
      <x:c r="Z270" s="38" t="n">
        <x:f>J270*Q270+K270*P270</x:f>
        <x:v>130.03372</x:v>
      </x:c>
      <x:c r="AA270" s="38" t="n">
        <x:f>M270*R270</x:f>
        <x:v>11686.6634025</x:v>
      </x:c>
      <x:c r="AB270" s="38" t="n">
        <x:f>SUM(W270:AA270)</x:f>
        <x:v>130893.02027250003</x:v>
      </x:c>
      <x:c r="AC270" s="38" t="n">
        <x:v>10.11</x:v>
      </x:c>
      <x:c r="AD270" s="38" t="n">
        <x:v>174.33</x:v>
      </x:c>
      <x:c r="AE270" s="38" t="n">
        <x:v>99.24</x:v>
      </x:c>
      <x:c r="AF270" s="38" t="n">
        <x:v>4.8148</x:v>
      </x:c>
      <x:c r="AG270" s="38" t="n">
        <x:v>5.77</x:v>
      </x:c>
      <x:c r="AH270" s="38" t="n">
        <x:f>IF(E270="Fason",L270*S270,0)</x:f>
        <x:v>14678.469050000002</x:v>
      </x:c>
      <x:c r="AI270" s="38" t="n">
        <x:f>IF(E270="Kurum içi",AC270*AD270+AE270*AF270+AB270*12%,0)</x:f>
        <x:v>0</x:v>
      </x:c>
      <x:c r="AJ270" s="38" t="n">
        <x:f>V270*AG270</x:f>
        <x:v>943.7677748139902</x:v>
      </x:c>
      <x:c r="AK270" s="38" t="n">
        <x:f>AB270*2%</x:f>
        <x:v>2617.8604054500006</x:v>
      </x:c>
      <x:c r="AL270" s="38" t="n">
        <x:f>AB270+AH270+AI270+AJ270+AK270</x:f>
        <x:v>149133.117502764</x:v>
      </x:c>
      <x:c r="AM270" s="38" t="n">
        <x:f>AL270/V270</x:f>
        <x:v>911.7688810264223</x:v>
      </x:c>
      <x:c r="AN270" s="40" t="n">
        <x:f>(W270+X270)/AL270*100</x:f>
        <x:v>76.33949793069267</x:v>
      </x:c>
      <x:c r="AO270" s="28" t="str">
        <x:v>R01-R20; ilgili satırdaki bölgesel fiyat ve maliyet varsayımları</x:v>
      </x:c>
      <x:c r="AP270" s="28" t="str">
        <x:v>Girdi miktarları, alım fiyatı değişimi, fason bedeli ve parti sonucu simüle edilmiştir; işletme kaydı değildir.</x:v>
      </x:c>
    </x:row>
    <x:row r="271" ht="22" customHeight="1">
      <x:c r="A271" t="str">
        <x:v>SUC-0270</x:v>
      </x:c>
      <x:c r="B271" s="36" t="n">
        <x:v>46297</x:v>
      </x:c>
      <x:c r="C271" t="str">
        <x:v>Akdeniz</x:v>
      </x:c>
      <x:c r="D271" t="str">
        <x:v>ERZURUM_CI</x:v>
      </x:c>
      <x:c r="E271" t="str">
        <x:v>Kurum içi</x:v>
      </x:c>
      <x:c r="F271" s="42" t="str">
        <x:v>SENTETİK/SİMÜLE — gerçek parti kaydı değildir</x:v>
      </x:c>
      <x:c r="G271" s="38" t="n">
        <x:v>269.336</x:v>
      </x:c>
      <x:c r="H271" s="38" t="n">
        <x:v>50.028</x:v>
      </x:c>
      <x:c r="I271" s="38" t="n">
        <x:v>16.62</x:v>
      </x:c>
      <x:c r="J271" s="38" t="n">
        <x:v>5.162</x:v>
      </x:c>
      <x:c r="K271" s="38" t="n">
        <x:v>0.758</x:v>
      </x:c>
      <x:c r="L271" s="38" t="n">
        <x:f>SUM(G271:K271)</x:f>
        <x:v>341.904</x:v>
      </x:c>
      <x:c r="M271" s="38" t="n">
        <x:v>419.399</x:v>
      </x:c>
      <x:c r="N271" s="38" t="n">
        <x:v>604.52</x:v>
      </x:c>
      <x:c r="O271" s="38" t="n">
        <x:v>432.48</x:v>
      </x:c>
      <x:c r="P271" s="38" t="n">
        <x:v>669.9</x:v>
      </x:c>
      <x:c r="Q271" s="38" t="n">
        <x:v>19.88</x:v>
      </x:c>
      <x:c r="R271" s="38" t="n">
        <x:v>43.7475</x:v>
      </x:c>
      <x:c r="S271" s="38" t="n">
        <x:v>65.43</x:v>
      </x:c>
      <x:c r="T271" s="40" t="n">
        <x:v>20.36</x:v>
      </x:c>
      <x:c r="U271" s="40" t="n">
        <x:v>1.18</x:v>
      </x:c>
      <x:c r="V271" s="38" t="n">
        <x:f>L271*(1-T271/100)*(1-U271/100)</x:f>
        <x:v>269.07929592192</x:v>
      </x:c>
      <x:c r="W271" s="38" t="n">
        <x:f>G271*N271</x:f>
        <x:v>162818.99872</x:v>
      </x:c>
      <x:c r="X271" s="38" t="n">
        <x:f>H271*O271</x:f>
        <x:v>21636.10944</x:v>
      </x:c>
      <x:c r="Y271" s="38" t="n">
        <x:f>I271*P271</x:f>
        <x:v>11133.738000000001</x:v>
      </x:c>
      <x:c r="Z271" s="38" t="n">
        <x:f>J271*Q271+K271*P271</x:f>
        <x:v>610.40476</x:v>
      </x:c>
      <x:c r="AA271" s="38" t="n">
        <x:f>M271*R271</x:f>
        <x:v>18347.6577525</x:v>
      </x:c>
      <x:c r="AB271" s="38" t="n">
        <x:f>SUM(W271:AA271)</x:f>
        <x:v>214546.90867250002</x:v>
      </x:c>
      <x:c r="AC271" s="38" t="n">
        <x:v>19.32</x:v>
      </x:c>
      <x:c r="AD271" s="38" t="n">
        <x:v>174.33</x:v>
      </x:c>
      <x:c r="AE271" s="38" t="n">
        <x:v>149.01</x:v>
      </x:c>
      <x:c r="AF271" s="38" t="n">
        <x:v>4.8148</x:v>
      </x:c>
      <x:c r="AG271" s="38" t="n">
        <x:v>5.1</x:v>
      </x:c>
      <x:c r="AH271" s="38" t="n">
        <x:f>IF(E271="Fason",L271*S271,0)</x:f>
        <x:v>0</x:v>
      </x:c>
      <x:c r="AI271" s="38" t="n">
        <x:f>IF(E271="Kurum içi",AC271*AD271+AE271*AF271+AB271*12%,0)</x:f>
        <x:v>29831.1379887</x:v>
      </x:c>
      <x:c r="AJ271" s="38" t="n">
        <x:f>V271*AG271</x:f>
        <x:v>1372.304409201792</x:v>
      </x:c>
      <x:c r="AK271" s="38" t="n">
        <x:f>AB271*2%</x:f>
        <x:v>4290.93817345</x:v>
      </x:c>
      <x:c r="AL271" s="38" t="n">
        <x:f>AB271+AH271+AI271+AJ271+AK271</x:f>
        <x:v>250041.28924385182</x:v>
      </x:c>
      <x:c r="AM271" s="38" t="n">
        <x:f>AL271/V271</x:f>
        <x:v>929.2475973937716</x:v>
      </x:c>
      <x:c r="AN271" s="40" t="n">
        <x:f>(W271+X271)/AL271*100</x:f>
        <x:v>73.76985965710283</x:v>
      </x:c>
      <x:c r="AO271" s="28" t="str">
        <x:v>R01-R20; ilgili satırdaki bölgesel fiyat ve maliyet varsayımları</x:v>
      </x:c>
      <x:c r="AP271" s="28" t="str">
        <x:v>Girdi miktarları, alım fiyatı değişimi, fason bedeli ve parti sonucu simüle edilmiştir; işletme kaydı değildir.</x:v>
      </x:c>
    </x:row>
    <x:row r="272" ht="22" customHeight="1">
      <x:c r="A272" t="str">
        <x:v>SUC-0271</x:v>
      </x:c>
      <x:c r="B272" s="36" t="n">
        <x:v>46280</x:v>
      </x:c>
      <x:c r="C272" t="str">
        <x:v>Marmara</x:v>
      </x:c>
      <x:c r="D272" t="str">
        <x:v>MEB_STANDART</x:v>
      </x:c>
      <x:c r="E272" t="str">
        <x:v>Kurum içi</x:v>
      </x:c>
      <x:c r="F272" s="42" t="str">
        <x:v>SENTETİK/SİMÜLE — gerçek parti kaydı değildir</x:v>
      </x:c>
      <x:c r="G272" s="38" t="n">
        <x:v>162.168</x:v>
      </x:c>
      <x:c r="H272" s="38" t="n">
        <x:v>49.529</x:v>
      </x:c>
      <x:c r="I272" s="38" t="n">
        <x:v>9.854</x:v>
      </x:c>
      <x:c r="J272" s="38" t="n">
        <x:v>6.162</x:v>
      </x:c>
      <x:c r="K272" s="38" t="n">
        <x:v>2.392</x:v>
      </x:c>
      <x:c r="L272" s="38" t="n">
        <x:f>SUM(G272:K272)</x:f>
        <x:v>230.105</x:v>
      </x:c>
      <x:c r="M272" s="38" t="n">
        <x:v>274.994</x:v>
      </x:c>
      <x:c r="N272" s="38" t="n">
        <x:v>600.37</x:v>
      </x:c>
      <x:c r="O272" s="38" t="n">
        <x:v>454.44</x:v>
      </x:c>
      <x:c r="P272" s="38" t="n">
        <x:v>550</x:v>
      </x:c>
      <x:c r="Q272" s="38" t="n">
        <x:v>19.88</x:v>
      </x:c>
      <x:c r="R272" s="38" t="n">
        <x:v>43.7475</x:v>
      </x:c>
      <x:c r="S272" s="38" t="n">
        <x:v>97.2</x:v>
      </x:c>
      <x:c r="T272" s="40" t="n">
        <x:v>31.06</x:v>
      </x:c>
      <x:c r="U272" s="40" t="n">
        <x:v>1.74</x:v>
      </x:c>
      <x:c r="V272" s="38" t="n">
        <x:f>L272*(1-T272/100)*(1-U272/100)</x:f>
        <x:v>155.8741486662</x:v>
      </x:c>
      <x:c r="W272" s="38" t="n">
        <x:f>G272*N272</x:f>
        <x:v>97360.80216</x:v>
      </x:c>
      <x:c r="X272" s="38" t="n">
        <x:f>H272*O272</x:f>
        <x:v>22507.95876</x:v>
      </x:c>
      <x:c r="Y272" s="38" t="n">
        <x:f>I272*P272</x:f>
        <x:v>5419.7</x:v>
      </x:c>
      <x:c r="Z272" s="38" t="n">
        <x:f>J272*Q272+K272*P272</x:f>
        <x:v>1438.1005599999999</x:v>
      </x:c>
      <x:c r="AA272" s="38" t="n">
        <x:f>M272*R272</x:f>
        <x:v>12030.300015000003</x:v>
      </x:c>
      <x:c r="AB272" s="38" t="n">
        <x:f>SUM(W272:AA272)</x:f>
        <x:v>138756.86149500002</x:v>
      </x:c>
      <x:c r="AC272" s="38" t="n">
        <x:v>11.18</x:v>
      </x:c>
      <x:c r="AD272" s="38" t="n">
        <x:v>174.33</x:v>
      </x:c>
      <x:c r="AE272" s="38" t="n">
        <x:v>78.36</x:v>
      </x:c>
      <x:c r="AF272" s="38" t="n">
        <x:v>4.8148</x:v>
      </x:c>
      <x:c r="AG272" s="38" t="n">
        <x:v>5.9</x:v>
      </x:c>
      <x:c r="AH272" s="38" t="n">
        <x:f>IF(E272="Fason",L272*S272,0)</x:f>
        <x:v>0</x:v>
      </x:c>
      <x:c r="AI272" s="38" t="n">
        <x:f>IF(E272="Kurum içi",AC272*AD272+AE272*AF272+AB272*12%,0)</x:f>
        <x:v>18977.120507400003</x:v>
      </x:c>
      <x:c r="AJ272" s="38" t="n">
        <x:f>V272*AG272</x:f>
        <x:v>919.6574771305801</x:v>
      </x:c>
      <x:c r="AK272" s="38" t="n">
        <x:f>AB272*2%</x:f>
        <x:v>2775.1372299000004</x:v>
      </x:c>
      <x:c r="AL272" s="38" t="n">
        <x:f>AB272+AH272+AI272+AJ272+AK272</x:f>
        <x:v>161428.77670943062</x:v>
      </x:c>
      <x:c r="AM272" s="38" t="n">
        <x:f>AL272/V272</x:f>
        <x:v>1035.6353384493902</x:v>
      </x:c>
      <x:c r="AN272" s="40" t="n">
        <x:f>(W272+X272)/AL272*100</x:f>
        <x:v>74.25489021437731</x:v>
      </x:c>
      <x:c r="AO272" s="28" t="str">
        <x:v>R01-R20; ilgili satırdaki bölgesel fiyat ve maliyet varsayımları</x:v>
      </x:c>
      <x:c r="AP272" s="28" t="str">
        <x:v>Girdi miktarları, alım fiyatı değişimi, fason bedeli ve parti sonucu simüle edilmiştir; işletme kaydı değildir.</x:v>
      </x:c>
    </x:row>
    <x:row r="273" ht="22" customHeight="1">
      <x:c r="A273" t="str">
        <x:v>SUC-0272</x:v>
      </x:c>
      <x:c r="B273" s="36" t="n">
        <x:v>46291</x:v>
      </x:c>
      <x:c r="C273" t="str">
        <x:v>Akdeniz</x:v>
      </x:c>
      <x:c r="D273" t="str">
        <x:v>ERZURUM_CI</x:v>
      </x:c>
      <x:c r="E273" t="str">
        <x:v>Kurum içi</x:v>
      </x:c>
      <x:c r="F273" s="42" t="str">
        <x:v>SENTETİK/SİMÜLE — gerçek parti kaydı değildir</x:v>
      </x:c>
      <x:c r="G273" s="38" t="n">
        <x:v>202.598</x:v>
      </x:c>
      <x:c r="H273" s="38" t="n">
        <x:v>33.931</x:v>
      </x:c>
      <x:c r="I273" s="38" t="n">
        <x:v>11.94</x:v>
      </x:c>
      <x:c r="J273" s="38" t="n">
        <x:v>3.623</x:v>
      </x:c>
      <x:c r="K273" s="38" t="n">
        <x:v>0.193</x:v>
      </x:c>
      <x:c r="L273" s="38" t="n">
        <x:f>SUM(G273:K273)</x:f>
        <x:v>252.285</x:v>
      </x:c>
      <x:c r="M273" s="38" t="n">
        <x:v>333.582</x:v>
      </x:c>
      <x:c r="N273" s="38" t="n">
        <x:v>581.43</x:v>
      </x:c>
      <x:c r="O273" s="38" t="n">
        <x:v>463.65</x:v>
      </x:c>
      <x:c r="P273" s="38" t="n">
        <x:v>400</x:v>
      </x:c>
      <x:c r="Q273" s="38" t="n">
        <x:v>19.88</x:v>
      </x:c>
      <x:c r="R273" s="38" t="n">
        <x:v>43.7475</x:v>
      </x:c>
      <x:c r="S273" s="38" t="n">
        <x:v>74.71</x:v>
      </x:c>
      <x:c r="T273" s="40" t="n">
        <x:v>21.74</x:v>
      </x:c>
      <x:c r="U273" s="40" t="n">
        <x:v>1.28</x:v>
      </x:c>
      <x:c r="V273" s="38" t="n">
        <x:f>L273*(1-T273/100)*(1-U273/100)</x:f>
        <x:v>194.91103151519997</x:v>
      </x:c>
      <x:c r="W273" s="38" t="n">
        <x:f>G273*N273</x:f>
        <x:v>117796.55514</x:v>
      </x:c>
      <x:c r="X273" s="38" t="n">
        <x:f>H273*O273</x:f>
        <x:v>15732.108149999998</x:v>
      </x:c>
      <x:c r="Y273" s="38" t="n">
        <x:f>I273*P273</x:f>
        <x:v>4776</x:v>
      </x:c>
      <x:c r="Z273" s="38" t="n">
        <x:f>J273*Q273+K273*P273</x:f>
        <x:v>149.22523999999999</x:v>
      </x:c>
      <x:c r="AA273" s="38" t="n">
        <x:f>M273*R273</x:f>
        <x:v>14593.378545</x:v>
      </x:c>
      <x:c r="AB273" s="38" t="n">
        <x:f>SUM(W273:AA273)</x:f>
        <x:v>153047.26707499998</x:v>
      </x:c>
      <x:c r="AC273" s="38" t="n">
        <x:v>12.26</x:v>
      </x:c>
      <x:c r="AD273" s="38" t="n">
        <x:v>174.33</x:v>
      </x:c>
      <x:c r="AE273" s="38" t="n">
        <x:v>119.5</x:v>
      </x:c>
      <x:c r="AF273" s="38" t="n">
        <x:v>4.8148</x:v>
      </x:c>
      <x:c r="AG273" s="38" t="n">
        <x:v>5.7</x:v>
      </x:c>
      <x:c r="AH273" s="38" t="n">
        <x:f>IF(E273="Fason",L273*S273,0)</x:f>
        <x:v>0</x:v>
      </x:c>
      <x:c r="AI273" s="38" t="n">
        <x:f>IF(E273="Kurum içi",AC273*AD273+AE273*AF273+AB273*12%,0)</x:f>
        <x:v>21078.326448999997</x:v>
      </x:c>
      <x:c r="AJ273" s="38" t="n">
        <x:f>V273*AG273</x:f>
        <x:v>1110.9928796366398</x:v>
      </x:c>
      <x:c r="AK273" s="38" t="n">
        <x:f>AB273*2%</x:f>
        <x:v>3060.9453415</x:v>
      </x:c>
      <x:c r="AL273" s="38" t="n">
        <x:f>AB273+AH273+AI273+AJ273+AK273</x:f>
        <x:v>178297.5317451366</x:v>
      </x:c>
      <x:c r="AM273" s="38" t="n">
        <x:f>AL273/V273</x:f>
        <x:v>914.763676324971</x:v>
      </x:c>
      <x:c r="AN273" s="40" t="n">
        <x:f>(W273+X273)/AL273*100</x:f>
        <x:v>74.8909208013432</x:v>
      </x:c>
      <x:c r="AO273" s="28" t="str">
        <x:v>R01-R20; ilgili satırdaki bölgesel fiyat ve maliyet varsayımları</x:v>
      </x:c>
      <x:c r="AP273" s="28" t="str">
        <x:v>Girdi miktarları, alım fiyatı değişimi, fason bedeli ve parti sonucu simüle edilmiştir; işletme kaydı değildir.</x:v>
      </x:c>
    </x:row>
    <x:row r="274" ht="22" customHeight="1">
      <x:c r="A274" t="str">
        <x:v>SUC-0273</x:v>
      </x:c>
      <x:c r="B274" s="36" t="n">
        <x:v>46304</x:v>
      </x:c>
      <x:c r="C274" t="str">
        <x:v>Ege</x:v>
      </x:c>
      <x:c r="D274" t="str">
        <x:v>ERZURUM_CI</x:v>
      </x:c>
      <x:c r="E274" t="str">
        <x:v>Fason</x:v>
      </x:c>
      <x:c r="F274" s="42" t="str">
        <x:v>SENTETİK/SİMÜLE — gerçek parti kaydı değildir</x:v>
      </x:c>
      <x:c r="G274" s="38" t="n">
        <x:v>352.067</x:v>
      </x:c>
      <x:c r="H274" s="38" t="n">
        <x:v>65.521</x:v>
      </x:c>
      <x:c r="I274" s="38" t="n">
        <x:v>19.741</x:v>
      </x:c>
      <x:c r="J274" s="38" t="n">
        <x:v>7.202</x:v>
      </x:c>
      <x:c r="K274" s="38" t="n">
        <x:v>0.081</x:v>
      </x:c>
      <x:c r="L274" s="38" t="n">
        <x:f>SUM(G274:K274)</x:f>
        <x:v>444.612</x:v>
      </x:c>
      <x:c r="M274" s="38" t="n">
        <x:v>580.182</x:v>
      </x:c>
      <x:c r="N274" s="38" t="n">
        <x:v>603.35</x:v>
      </x:c>
      <x:c r="O274" s="38" t="n">
        <x:v>425.04</x:v>
      </x:c>
      <x:c r="P274" s="38" t="n">
        <x:v>400</x:v>
      </x:c>
      <x:c r="Q274" s="38" t="n">
        <x:v>19.88</x:v>
      </x:c>
      <x:c r="R274" s="38" t="n">
        <x:v>43.7475</x:v>
      </x:c>
      <x:c r="S274" s="38" t="n">
        <x:v>68.92</x:v>
      </x:c>
      <x:c r="T274" s="40" t="n">
        <x:v>17.23</x:v>
      </x:c>
      <x:c r="U274" s="40" t="n">
        <x:v>0.89</x:v>
      </x:c>
      <x:c r="V274" s="38" t="n">
        <x:f>L274*(1-T274/100)*(1-U274/100)</x:f>
        <x:v>364.73010476364</x:v>
      </x:c>
      <x:c r="W274" s="38" t="n">
        <x:f>G274*N274</x:f>
        <x:v>212419.62445</x:v>
      </x:c>
      <x:c r="X274" s="38" t="n">
        <x:f>H274*O274</x:f>
        <x:v>27849.045840000002</x:v>
      </x:c>
      <x:c r="Y274" s="38" t="n">
        <x:f>I274*P274</x:f>
        <x:v>7896.4</x:v>
      </x:c>
      <x:c r="Z274" s="38" t="n">
        <x:f>J274*Q274+K274*P274</x:f>
        <x:v>175.57576</x:v>
      </x:c>
      <x:c r="AA274" s="38" t="n">
        <x:f>M274*R274</x:f>
        <x:v>25381.512045000003</x:v>
      </x:c>
      <x:c r="AB274" s="38" t="n">
        <x:f>SUM(W274:AA274)</x:f>
        <x:v>273722.158095</x:v>
      </x:c>
      <x:c r="AC274" s="38" t="n">
        <x:v>19.42</x:v>
      </x:c>
      <x:c r="AD274" s="38" t="n">
        <x:v>174.33</x:v>
      </x:c>
      <x:c r="AE274" s="38" t="n">
        <x:v>122.93</x:v>
      </x:c>
      <x:c r="AF274" s="38" t="n">
        <x:v>4.8148</x:v>
      </x:c>
      <x:c r="AG274" s="38" t="n">
        <x:v>5.87</x:v>
      </x:c>
      <x:c r="AH274" s="38" t="n">
        <x:f>IF(E274="Fason",L274*S274,0)</x:f>
        <x:v>30642.659040000002</x:v>
      </x:c>
      <x:c r="AI274" s="38" t="n">
        <x:f>IF(E274="Kurum içi",AC274*AD274+AE274*AF274+AB274*12%,0)</x:f>
        <x:v>0</x:v>
      </x:c>
      <x:c r="AJ274" s="38" t="n">
        <x:f>V274*AG274</x:f>
        <x:v>2140.965714962567</x:v>
      </x:c>
      <x:c r="AK274" s="38" t="n">
        <x:f>AB274*2%</x:f>
        <x:v>5474.443161900001</x:v>
      </x:c>
      <x:c r="AL274" s="38" t="n">
        <x:f>AB274+AH274+AI274+AJ274+AK274</x:f>
        <x:v>311980.22601186257</x:v>
      </x:c>
      <x:c r="AM274" s="38" t="n">
        <x:f>AL274/V274</x:f>
        <x:v>855.3728412795497</x:v>
      </x:c>
      <x:c r="AN274" s="40" t="n">
        <x:f>(W274+X274)/AL274*100</x:f>
        <x:v>77.01407020612395</x:v>
      </x:c>
      <x:c r="AO274" s="28" t="str">
        <x:v>R01-R20; ilgili satırdaki bölgesel fiyat ve maliyet varsayımları</x:v>
      </x:c>
      <x:c r="AP274" s="28" t="str">
        <x:v>Girdi miktarları, alım fiyatı değişimi, fason bedeli ve parti sonucu simüle edilmiştir; işletme kaydı değildir.</x:v>
      </x:c>
    </x:row>
    <x:row r="275" ht="22" customHeight="1">
      <x:c r="A275" t="str">
        <x:v>SUC-0274</x:v>
      </x:c>
      <x:c r="B275" s="36" t="n">
        <x:v>46302</x:v>
      </x:c>
      <x:c r="C275" t="str">
        <x:v>Marmara</x:v>
      </x:c>
      <x:c r="D275" t="str">
        <x:v>ERZURUM_CI</x:v>
      </x:c>
      <x:c r="E275" t="str">
        <x:v>Fason</x:v>
      </x:c>
      <x:c r="F275" s="42" t="str">
        <x:v>SENTETİK/SİMÜLE — gerçek parti kaydı değildir</x:v>
      </x:c>
      <x:c r="G275" s="38" t="n">
        <x:v>97.833</x:v>
      </x:c>
      <x:c r="H275" s="38" t="n">
        <x:v>18.635</x:v>
      </x:c>
      <x:c r="I275" s="38" t="n">
        <x:v>5.94</x:v>
      </x:c>
      <x:c r="J275" s="38" t="n">
        <x:v>1.965</x:v>
      </x:c>
      <x:c r="K275" s="38" t="n">
        <x:v>0.012</x:v>
      </x:c>
      <x:c r="L275" s="38" t="n">
        <x:f>SUM(G275:K275)</x:f>
        <x:v>124.385</x:v>
      </x:c>
      <x:c r="M275" s="38" t="n">
        <x:v>148.628</x:v>
      </x:c>
      <x:c r="N275" s="38" t="n">
        <x:v>618.88</x:v>
      </x:c>
      <x:c r="O275" s="38" t="n">
        <x:v>456.99</x:v>
      </x:c>
      <x:c r="P275" s="38" t="n">
        <x:v>669.9</x:v>
      </x:c>
      <x:c r="Q275" s="38" t="n">
        <x:v>19.88</x:v>
      </x:c>
      <x:c r="R275" s="38" t="n">
        <x:v>43.7475</x:v>
      </x:c>
      <x:c r="S275" s="38" t="n">
        <x:v>66.87</x:v>
      </x:c>
      <x:c r="T275" s="40" t="n">
        <x:v>26.81</x:v>
      </x:c>
      <x:c r="U275" s="40" t="n">
        <x:v>1.32</x:v>
      </x:c>
      <x:c r="V275" s="38" t="n">
        <x:f>L275*(1-T275/100)*(1-U275/100)</x:f>
        <x:v>89.83568806420001</x:v>
      </x:c>
      <x:c r="W275" s="38" t="n">
        <x:f>G275*N275</x:f>
        <x:v>60546.88704</x:v>
      </x:c>
      <x:c r="X275" s="38" t="n">
        <x:f>H275*O275</x:f>
        <x:v>8516.008650000002</x:v>
      </x:c>
      <x:c r="Y275" s="38" t="n">
        <x:f>I275*P275</x:f>
        <x:v>3979.206</x:v>
      </x:c>
      <x:c r="Z275" s="38" t="n">
        <x:f>J275*Q275+K275*P275</x:f>
        <x:v>47.103</x:v>
      </x:c>
      <x:c r="AA275" s="38" t="n">
        <x:f>M275*R275</x:f>
        <x:v>6502.10343</x:v>
      </x:c>
      <x:c r="AB275" s="38" t="n">
        <x:f>SUM(W275:AA275)</x:f>
        <x:v>79591.30812000002</x:v>
      </x:c>
      <x:c r="AC275" s="38" t="n">
        <x:v>6.87</x:v>
      </x:c>
      <x:c r="AD275" s="38" t="n">
        <x:v>174.33</x:v>
      </x:c>
      <x:c r="AE275" s="38" t="n">
        <x:v>31.24</x:v>
      </x:c>
      <x:c r="AF275" s="38" t="n">
        <x:v>4.8148</x:v>
      </x:c>
      <x:c r="AG275" s="38" t="n">
        <x:v>5.32</x:v>
      </x:c>
      <x:c r="AH275" s="38" t="n">
        <x:f>IF(E275="Fason",L275*S275,0)</x:f>
        <x:v>8317.624950000001</x:v>
      </x:c>
      <x:c r="AI275" s="38" t="n">
        <x:f>IF(E275="Kurum içi",AC275*AD275+AE275*AF275+AB275*12%,0)</x:f>
        <x:v>0</x:v>
      </x:c>
      <x:c r="AJ275" s="38" t="n">
        <x:f>V275*AG275</x:f>
        <x:v>477.9258605015441</x:v>
      </x:c>
      <x:c r="AK275" s="38" t="n">
        <x:f>AB275*2%</x:f>
        <x:v>1591.8261624000004</x:v>
      </x:c>
      <x:c r="AL275" s="38" t="n">
        <x:f>AB275+AH275+AI275+AJ275+AK275</x:f>
        <x:v>89978.68509290156</x:v>
      </x:c>
      <x:c r="AM275" s="38" t="n">
        <x:f>AL275/V275</x:f>
        <x:v>1001.5917619354054</x:v>
      </x:c>
      <x:c r="AN275" s="40" t="n">
        <x:f>(W275+X275)/AL275*100</x:f>
        <x:v>76.75472876570008</x:v>
      </x:c>
      <x:c r="AO275" s="28" t="str">
        <x:v>R01-R20; ilgili satırdaki bölgesel fiyat ve maliyet varsayımları</x:v>
      </x:c>
      <x:c r="AP275" s="28" t="str">
        <x:v>Girdi miktarları, alım fiyatı değişimi, fason bedeli ve parti sonucu simüle edilmiştir; işletme kaydı değildir.</x:v>
      </x:c>
    </x:row>
    <x:row r="276" ht="22" customHeight="1">
      <x:c r="A276" t="str">
        <x:v>SUC-0275</x:v>
      </x:c>
      <x:c r="B276" s="36" t="n">
        <x:v>46296</x:v>
      </x:c>
      <x:c r="C276" t="str">
        <x:v>Akdeniz</x:v>
      </x:c>
      <x:c r="D276" t="str">
        <x:v>MEB_STANDART</x:v>
      </x:c>
      <x:c r="E276" t="str">
        <x:v>Kurum içi</x:v>
      </x:c>
      <x:c r="F276" s="42" t="str">
        <x:v>SENTETİK/SİMÜLE — gerçek parti kaydı değildir</x:v>
      </x:c>
      <x:c r="G276" s="38" t="n">
        <x:v>297.868</x:v>
      </x:c>
      <x:c r="H276" s="38" t="n">
        <x:v>89.635</x:v>
      </x:c>
      <x:c r="I276" s="38" t="n">
        <x:v>19.602</x:v>
      </x:c>
      <x:c r="J276" s="38" t="n">
        <x:v>9.903</x:v>
      </x:c>
      <x:c r="K276" s="38" t="n">
        <x:v>4.627</x:v>
      </x:c>
      <x:c r="L276" s="38" t="n">
        <x:f>SUM(G276:K276)</x:f>
        <x:v>421.635</x:v>
      </x:c>
      <x:c r="M276" s="38" t="n">
        <x:v>511.48</x:v>
      </x:c>
      <x:c r="N276" s="38" t="n">
        <x:v>588.13</x:v>
      </x:c>
      <x:c r="O276" s="38" t="n">
        <x:v>438.31</x:v>
      </x:c>
      <x:c r="P276" s="38" t="n">
        <x:v>669.9</x:v>
      </x:c>
      <x:c r="Q276" s="38" t="n">
        <x:v>19.88</x:v>
      </x:c>
      <x:c r="R276" s="38" t="n">
        <x:v>43.7475</x:v>
      </x:c>
      <x:c r="S276" s="38" t="n">
        <x:v>76.71</x:v>
      </x:c>
      <x:c r="T276" s="40" t="n">
        <x:v>33.17</x:v>
      </x:c>
      <x:c r="U276" s="40" t="n">
        <x:v>0.77</x:v>
      </x:c>
      <x:c r="V276" s="38" t="n">
        <x:f>L276*(1-T276/100)*(1-U276/100)</x:f>
        <x:v>279.60897473715</x:v>
      </x:c>
      <x:c r="W276" s="38" t="n">
        <x:f>G276*N276</x:f>
        <x:v>175185.10684</x:v>
      </x:c>
      <x:c r="X276" s="38" t="n">
        <x:f>H276*O276</x:f>
        <x:v>39287.91685</x:v>
      </x:c>
      <x:c r="Y276" s="38" t="n">
        <x:f>I276*P276</x:f>
        <x:v>13131.3798</x:v>
      </x:c>
      <x:c r="Z276" s="38" t="n">
        <x:f>J276*Q276+K276*P276</x:f>
        <x:v>3296.4989399999995</x:v>
      </x:c>
      <x:c r="AA276" s="38" t="n">
        <x:f>M276*R276</x:f>
        <x:v>22375.9713</x:v>
      </x:c>
      <x:c r="AB276" s="38" t="n">
        <x:f>SUM(W276:AA276)</x:f>
        <x:v>253276.87373</x:v>
      </x:c>
      <x:c r="AC276" s="38" t="n">
        <x:v>20.44</x:v>
      </x:c>
      <x:c r="AD276" s="38" t="n">
        <x:v>174.33</x:v>
      </x:c>
      <x:c r="AE276" s="38" t="n">
        <x:v>155.05</x:v>
      </x:c>
      <x:c r="AF276" s="38" t="n">
        <x:v>4.8148</x:v>
      </x:c>
      <x:c r="AG276" s="38" t="n">
        <x:v>5.87</x:v>
      </x:c>
      <x:c r="AH276" s="38" t="n">
        <x:f>IF(E276="Fason",L276*S276,0)</x:f>
        <x:v>0</x:v>
      </x:c>
      <x:c r="AI276" s="38" t="n">
        <x:f>IF(E276="Kurum içi",AC276*AD276+AE276*AF276+AB276*12%,0)</x:f>
        <x:v>34703.0647876</x:v>
      </x:c>
      <x:c r="AJ276" s="38" t="n">
        <x:f>V276*AG276</x:f>
        <x:v>1641.3046817070706</x:v>
      </x:c>
      <x:c r="AK276" s="38" t="n">
        <x:f>AB276*2%</x:f>
        <x:v>5065.5374746</x:v>
      </x:c>
      <x:c r="AL276" s="38" t="n">
        <x:f>AB276+AH276+AI276+AJ276+AK276</x:f>
        <x:v>294686.7806739071</x:v>
      </x:c>
      <x:c r="AM276" s="38" t="n">
        <x:f>AL276/V276</x:f>
        <x:v>1053.924613653518</x:v>
      </x:c>
      <x:c r="AN276" s="40" t="n">
        <x:f>(W276+X276)/AL276*100</x:f>
        <x:v>72.77999481331686</x:v>
      </x:c>
      <x:c r="AO276" s="28" t="str">
        <x:v>R01-R20; ilgili satırdaki bölgesel fiyat ve maliyet varsayımları</x:v>
      </x:c>
      <x:c r="AP276" s="28" t="str">
        <x:v>Girdi miktarları, alım fiyatı değişimi, fason bedeli ve parti sonucu simüle edilmiştir; işletme kaydı değildir.</x:v>
      </x:c>
    </x:row>
    <x:row r="277" ht="22" customHeight="1">
      <x:c r="A277" t="str">
        <x:v>SUC-0276</x:v>
      </x:c>
      <x:c r="B277" s="36" t="n">
        <x:v>46289</x:v>
      </x:c>
      <x:c r="C277" t="str">
        <x:v>Doğu Anadolu</x:v>
      </x:c>
      <x:c r="D277" t="str">
        <x:v>MEB_STANDART</x:v>
      </x:c>
      <x:c r="E277" t="str">
        <x:v>Fason</x:v>
      </x:c>
      <x:c r="F277" s="42" t="str">
        <x:v>SENTETİK/SİMÜLE — gerçek parti kaydı değildir</x:v>
      </x:c>
      <x:c r="G277" s="38" t="n">
        <x:v>318.474</x:v>
      </x:c>
      <x:c r="H277" s="38" t="n">
        <x:v>96.574</x:v>
      </x:c>
      <x:c r="I277" s="38" t="n">
        <x:v>19.222</x:v>
      </x:c>
      <x:c r="J277" s="38" t="n">
        <x:v>11.161</x:v>
      </x:c>
      <x:c r="K277" s="38" t="n">
        <x:v>4.411</x:v>
      </x:c>
      <x:c r="L277" s="38" t="n">
        <x:f>SUM(G277:K277)</x:f>
        <x:v>449.842</x:v>
      </x:c>
      <x:c r="M277" s="38" t="n">
        <x:v>564.696</x:v>
      </x:c>
      <x:c r="N277" s="38" t="n">
        <x:v>590.79</x:v>
      </x:c>
      <x:c r="O277" s="38" t="n">
        <x:v>412.33</x:v>
      </x:c>
      <x:c r="P277" s="38" t="n">
        <x:v>550</x:v>
      </x:c>
      <x:c r="Q277" s="38" t="n">
        <x:v>19.88</x:v>
      </x:c>
      <x:c r="R277" s="38" t="n">
        <x:v>43.7475</x:v>
      </x:c>
      <x:c r="S277" s="38" t="n">
        <x:v>73.52</x:v>
      </x:c>
      <x:c r="T277" s="40" t="n">
        <x:v>25.69</x:v>
      </x:c>
      <x:c r="U277" s="40" t="n">
        <x:v>1.43</x:v>
      </x:c>
      <x:c r="V277" s="38" t="n">
        <x:f>L277*(1-T277/100)*(1-U277/100)</x:f>
        <x:v>329.49742066014</x:v>
      </x:c>
      <x:c r="W277" s="38" t="n">
        <x:f>G277*N277</x:f>
        <x:v>188151.25446</x:v>
      </x:c>
      <x:c r="X277" s="38" t="n">
        <x:f>H277*O277</x:f>
        <x:v>39820.35742</x:v>
      </x:c>
      <x:c r="Y277" s="38" t="n">
        <x:f>I277*P277</x:f>
        <x:v>10572.1</x:v>
      </x:c>
      <x:c r="Z277" s="38" t="n">
        <x:f>J277*Q277+K277*P277</x:f>
        <x:v>2647.9306799999995</x:v>
      </x:c>
      <x:c r="AA277" s="38" t="n">
        <x:f>M277*R277</x:f>
        <x:v>24704.03826</x:v>
      </x:c>
      <x:c r="AB277" s="38" t="n">
        <x:f>SUM(W277:AA277)</x:f>
        <x:v>265895.68082</x:v>
      </x:c>
      <x:c r="AC277" s="38" t="n">
        <x:v>29.48</x:v>
      </x:c>
      <x:c r="AD277" s="38" t="n">
        <x:v>174.33</x:v>
      </x:c>
      <x:c r="AE277" s="38" t="n">
        <x:v>207.28</x:v>
      </x:c>
      <x:c r="AF277" s="38" t="n">
        <x:v>4.8148</x:v>
      </x:c>
      <x:c r="AG277" s="38" t="n">
        <x:v>5.34</x:v>
      </x:c>
      <x:c r="AH277" s="38" t="n">
        <x:f>IF(E277="Fason",L277*S277,0)</x:f>
        <x:v>33072.383839999995</x:v>
      </x:c>
      <x:c r="AI277" s="38" t="n">
        <x:f>IF(E277="Kurum içi",AC277*AD277+AE277*AF277+AB277*12%,0)</x:f>
        <x:v>0</x:v>
      </x:c>
      <x:c r="AJ277" s="38" t="n">
        <x:f>V277*AG277</x:f>
        <x:v>1759.5162263251475</x:v>
      </x:c>
      <x:c r="AK277" s="38" t="n">
        <x:f>AB277*2%</x:f>
        <x:v>5317.9136164</x:v>
      </x:c>
      <x:c r="AL277" s="38" t="n">
        <x:f>AB277+AH277+AI277+AJ277+AK277</x:f>
        <x:v>306045.49450272514</x:v>
      </x:c>
      <x:c r="AM277" s="38" t="n">
        <x:f>AL277/V277</x:f>
        <x:v>928.825160116794</x:v>
      </x:c>
      <x:c r="AN277" s="40" t="n">
        <x:f>(W277+X277)/AL277*100</x:f>
        <x:v>74.48945205039443</x:v>
      </x:c>
      <x:c r="AO277" s="28" t="str">
        <x:v>R01-R20; ilgili satırdaki bölgesel fiyat ve maliyet varsayımları</x:v>
      </x:c>
      <x:c r="AP277" s="28" t="str">
        <x:v>Girdi miktarları, alım fiyatı değişimi, fason bedeli ve parti sonucu simüle edilmiştir; işletme kaydı değildir.</x:v>
      </x:c>
    </x:row>
    <x:row r="278" ht="22" customHeight="1">
      <x:c r="A278" t="str">
        <x:v>SUC-0277</x:v>
      </x:c>
      <x:c r="B278" s="36" t="n">
        <x:v>46266</x:v>
      </x:c>
      <x:c r="C278" t="str">
        <x:v>Marmara</x:v>
      </x:c>
      <x:c r="D278" t="str">
        <x:v>MEB_STANDART</x:v>
      </x:c>
      <x:c r="E278" t="str">
        <x:v>Kurum içi</x:v>
      </x:c>
      <x:c r="F278" s="42" t="str">
        <x:v>SENTETİK/SİMÜLE — gerçek parti kaydı değildir</x:v>
      </x:c>
      <x:c r="G278" s="38" t="n">
        <x:v>137.855</x:v>
      </x:c>
      <x:c r="H278" s="38" t="n">
        <x:v>43.736</x:v>
      </x:c>
      <x:c r="I278" s="38" t="n">
        <x:v>8.706</x:v>
      </x:c>
      <x:c r="J278" s="38" t="n">
        <x:v>4.67</x:v>
      </x:c>
      <x:c r="K278" s="38" t="n">
        <x:v>2.11</x:v>
      </x:c>
      <x:c r="L278" s="38" t="n">
        <x:f>SUM(G278:K278)</x:f>
        <x:v>197.07699999999997</x:v>
      </x:c>
      <x:c r="M278" s="38" t="n">
        <x:v>268.559</x:v>
      </x:c>
      <x:c r="N278" s="38" t="n">
        <x:v>591.94</x:v>
      </x:c>
      <x:c r="O278" s="38" t="n">
        <x:v>472.18</x:v>
      </x:c>
      <x:c r="P278" s="38" t="n">
        <x:v>669.9</x:v>
      </x:c>
      <x:c r="Q278" s="38" t="n">
        <x:v>19.88</x:v>
      </x:c>
      <x:c r="R278" s="38" t="n">
        <x:v>43.7475</x:v>
      </x:c>
      <x:c r="S278" s="38" t="n">
        <x:v>97.73</x:v>
      </x:c>
      <x:c r="T278" s="40" t="n">
        <x:v>19.87</x:v>
      </x:c>
      <x:c r="U278" s="40" t="n">
        <x:v>0.8</x:v>
      </x:c>
      <x:c r="V278" s="38" t="n">
        <x:f>L278*(1-T278/100)*(1-U278/100)</x:f>
        <x:v>156.65445769919995</x:v>
      </x:c>
      <x:c r="W278" s="38" t="n">
        <x:f>G278*N278</x:f>
        <x:v>81601.8887</x:v>
      </x:c>
      <x:c r="X278" s="38" t="n">
        <x:f>H278*O278</x:f>
        <x:v>20651.264479999998</x:v>
      </x:c>
      <x:c r="Y278" s="38" t="n">
        <x:f>I278*P278</x:f>
        <x:v>5832.149399999999</x:v>
      </x:c>
      <x:c r="Z278" s="38" t="n">
        <x:f>J278*Q278+K278*P278</x:f>
        <x:v>1506.3285999999998</x:v>
      </x:c>
      <x:c r="AA278" s="38" t="n">
        <x:f>M278*R278</x:f>
        <x:v>11748.7848525</x:v>
      </x:c>
      <x:c r="AB278" s="38" t="n">
        <x:f>SUM(W278:AA278)</x:f>
        <x:v>121340.41603249998</x:v>
      </x:c>
      <x:c r="AC278" s="38" t="n">
        <x:v>11.67</x:v>
      </x:c>
      <x:c r="AD278" s="38" t="n">
        <x:v>174.33</x:v>
      </x:c>
      <x:c r="AE278" s="38" t="n">
        <x:v>45.89</x:v>
      </x:c>
      <x:c r="AF278" s="38" t="n">
        <x:v>4.8148</x:v>
      </x:c>
      <x:c r="AG278" s="38" t="n">
        <x:v>5.5</x:v>
      </x:c>
      <x:c r="AH278" s="38" t="n">
        <x:f>IF(E278="Fason",L278*S278,0)</x:f>
        <x:v>0</x:v>
      </x:c>
      <x:c r="AI278" s="38" t="n">
        <x:f>IF(E278="Kurum içi",AC278*AD278+AE278*AF278+AB278*12%,0)</x:f>
        <x:v>16816.232195899996</x:v>
      </x:c>
      <x:c r="AJ278" s="38" t="n">
        <x:f>V278*AG278</x:f>
        <x:v>861.5995173455997</x:v>
      </x:c>
      <x:c r="AK278" s="38" t="n">
        <x:f>AB278*2%</x:f>
        <x:v>2426.8083206499996</x:v>
      </x:c>
      <x:c r="AL278" s="38" t="n">
        <x:f>AB278+AH278+AI278+AJ278+AK278</x:f>
        <x:v>141445.05606639557</x:v>
      </x:c>
      <x:c r="AM278" s="38" t="n">
        <x:f>AL278/V278</x:f>
        <x:v>902.9111468885953</x:v>
      </x:c>
      <x:c r="AN278" s="40" t="n">
        <x:f>(W278+X278)/AL278*100</x:f>
        <x:v>72.29178313026469</x:v>
      </x:c>
      <x:c r="AO278" s="28" t="str">
        <x:v>R01-R20; ilgili satırdaki bölgesel fiyat ve maliyet varsayımları</x:v>
      </x:c>
      <x:c r="AP278" s="28" t="str">
        <x:v>Girdi miktarları, alım fiyatı değişimi, fason bedeli ve parti sonucu simüle edilmiştir; işletme kaydı değildir.</x:v>
      </x:c>
    </x:row>
    <x:row r="279" ht="22" customHeight="1">
      <x:c r="A279" t="str">
        <x:v>SUC-0278</x:v>
      </x:c>
      <x:c r="B279" s="36" t="n">
        <x:v>46270</x:v>
      </x:c>
      <x:c r="C279" t="str">
        <x:v>İç Anadolu</x:v>
      </x:c>
      <x:c r="D279" t="str">
        <x:v>ERZURUM_CI</x:v>
      </x:c>
      <x:c r="E279" t="str">
        <x:v>Fason</x:v>
      </x:c>
      <x:c r="F279" s="42" t="str">
        <x:v>SENTETİK/SİMÜLE — gerçek parti kaydı değildir</x:v>
      </x:c>
      <x:c r="G279" s="38" t="n">
        <x:v>155.708</x:v>
      </x:c>
      <x:c r="H279" s="38" t="n">
        <x:v>27.733</x:v>
      </x:c>
      <x:c r="I279" s="38" t="n">
        <x:v>9.145</x:v>
      </x:c>
      <x:c r="J279" s="38" t="n">
        <x:v>2.828</x:v>
      </x:c>
      <x:c r="K279" s="38" t="n">
        <x:v>0.074</x:v>
      </x:c>
      <x:c r="L279" s="38" t="n">
        <x:f>SUM(G279:K279)</x:f>
        <x:v>195.48800000000003</x:v>
      </x:c>
      <x:c r="M279" s="38" t="n">
        <x:v>261.896</x:v>
      </x:c>
      <x:c r="N279" s="38" t="n">
        <x:v>589.6</x:v>
      </x:c>
      <x:c r="O279" s="38" t="n">
        <x:v>409.63</x:v>
      </x:c>
      <x:c r="P279" s="38" t="n">
        <x:v>400</x:v>
      </x:c>
      <x:c r="Q279" s="38" t="n">
        <x:v>19.88</x:v>
      </x:c>
      <x:c r="R279" s="38" t="n">
        <x:v>43.7475</x:v>
      </x:c>
      <x:c r="S279" s="38" t="n">
        <x:v>95.48</x:v>
      </x:c>
      <x:c r="T279" s="40" t="n">
        <x:v>19.46</x:v>
      </x:c>
      <x:c r="U279" s="40" t="n">
        <x:v>0.45</x:v>
      </x:c>
      <x:c r="V279" s="38" t="n">
        <x:f>L279*(1-T279/100)*(1-U279/100)</x:f>
        <x:v>156.73752804160003</x:v>
      </x:c>
      <x:c r="W279" s="38" t="n">
        <x:f>G279*N279</x:f>
        <x:v>91805.4368</x:v>
      </x:c>
      <x:c r="X279" s="38" t="n">
        <x:f>H279*O279</x:f>
        <x:v>11360.26879</x:v>
      </x:c>
      <x:c r="Y279" s="38" t="n">
        <x:f>I279*P279</x:f>
        <x:v>3658</x:v>
      </x:c>
      <x:c r="Z279" s="38" t="n">
        <x:f>J279*Q279+K279*P279</x:f>
        <x:v>85.82064</x:v>
      </x:c>
      <x:c r="AA279" s="38" t="n">
        <x:f>M279*R279</x:f>
        <x:v>11457.29526</x:v>
      </x:c>
      <x:c r="AB279" s="38" t="n">
        <x:f>SUM(W279:AA279)</x:f>
        <x:v>118366.82149</x:v>
      </x:c>
      <x:c r="AC279" s="38" t="n">
        <x:v>13.6</x:v>
      </x:c>
      <x:c r="AD279" s="38" t="n">
        <x:v>174.33</x:v>
      </x:c>
      <x:c r="AE279" s="38" t="n">
        <x:v>85.42</x:v>
      </x:c>
      <x:c r="AF279" s="38" t="n">
        <x:v>4.8148</x:v>
      </x:c>
      <x:c r="AG279" s="38" t="n">
        <x:v>5.91</x:v>
      </x:c>
      <x:c r="AH279" s="38" t="n">
        <x:f>IF(E279="Fason",L279*S279,0)</x:f>
        <x:v>18665.194240000004</x:v>
      </x:c>
      <x:c r="AI279" s="38" t="n">
        <x:f>IF(E279="Kurum içi",AC279*AD279+AE279*AF279+AB279*12%,0)</x:f>
        <x:v>0</x:v>
      </x:c>
      <x:c r="AJ279" s="38" t="n">
        <x:f>V279*AG279</x:f>
        <x:v>926.3187907258562</x:v>
      </x:c>
      <x:c r="AK279" s="38" t="n">
        <x:f>AB279*2%</x:f>
        <x:v>2367.3364298</x:v>
      </x:c>
      <x:c r="AL279" s="38" t="n">
        <x:f>AB279+AH279+AI279+AJ279+AK279</x:f>
        <x:v>140325.67095052588</x:v>
      </x:c>
      <x:c r="AM279" s="38" t="n">
        <x:f>AL279/V279</x:f>
        <x:v>895.2908260316684</x:v>
      </x:c>
      <x:c r="AN279" s="40" t="n">
        <x:f>(W279+X279)/AL279*100</x:f>
        <x:v>73.5187687977439</x:v>
      </x:c>
      <x:c r="AO279" s="28" t="str">
        <x:v>R01-R20; ilgili satırdaki bölgesel fiyat ve maliyet varsayımları</x:v>
      </x:c>
      <x:c r="AP279" s="28" t="str">
        <x:v>Girdi miktarları, alım fiyatı değişimi, fason bedeli ve parti sonucu simüle edilmiştir; işletme kaydı değildir.</x:v>
      </x:c>
    </x:row>
    <x:row r="280" ht="22" customHeight="1">
      <x:c r="A280" t="str">
        <x:v>SUC-0279</x:v>
      </x:c>
      <x:c r="B280" s="36" t="n">
        <x:v>46274</x:v>
      </x:c>
      <x:c r="C280" t="str">
        <x:v>İç Anadolu</x:v>
      </x:c>
      <x:c r="D280" t="str">
        <x:v>ERZURUM_CI</x:v>
      </x:c>
      <x:c r="E280" t="str">
        <x:v>Kurum içi</x:v>
      </x:c>
      <x:c r="F280" s="42" t="str">
        <x:v>SENTETİK/SİMÜLE — gerçek parti kaydı değildir</x:v>
      </x:c>
      <x:c r="G280" s="38" t="n">
        <x:v>202.603</x:v>
      </x:c>
      <x:c r="H280" s="38" t="n">
        <x:v>38.124</x:v>
      </x:c>
      <x:c r="I280" s="38" t="n">
        <x:v>11.893</x:v>
      </x:c>
      <x:c r="J280" s="38" t="n">
        <x:v>4.361</x:v>
      </x:c>
      <x:c r="K280" s="38" t="n">
        <x:v>0.44</x:v>
      </x:c>
      <x:c r="L280" s="38" t="n">
        <x:f>SUM(G280:K280)</x:f>
        <x:v>257.421</x:v>
      </x:c>
      <x:c r="M280" s="38" t="n">
        <x:v>328.01</x:v>
      </x:c>
      <x:c r="N280" s="38" t="n">
        <x:v>601.87</x:v>
      </x:c>
      <x:c r="O280" s="38" t="n">
        <x:v>458.32</x:v>
      </x:c>
      <x:c r="P280" s="38" t="n">
        <x:v>669.9</x:v>
      </x:c>
      <x:c r="Q280" s="38" t="n">
        <x:v>19.88</x:v>
      </x:c>
      <x:c r="R280" s="38" t="n">
        <x:v>43.7475</x:v>
      </x:c>
      <x:c r="S280" s="38" t="n">
        <x:v>76.36</x:v>
      </x:c>
      <x:c r="T280" s="40" t="n">
        <x:v>22.57</x:v>
      </x:c>
      <x:c r="U280" s="40" t="n">
        <x:v>1.46</x:v>
      </x:c>
      <x:c r="V280" s="38" t="n">
        <x:f>L280*(1-T280/100)*(1-U280/100)</x:f>
        <x:v>196.41099252761998</x:v>
      </x:c>
      <x:c r="W280" s="38" t="n">
        <x:f>G280*N280</x:f>
        <x:v>121940.66761</x:v>
      </x:c>
      <x:c r="X280" s="38" t="n">
        <x:f>H280*O280</x:f>
        <x:v>17472.99168</x:v>
      </x:c>
      <x:c r="Y280" s="38" t="n">
        <x:f>I280*P280</x:f>
        <x:v>7967.1207</x:v>
      </x:c>
      <x:c r="Z280" s="38" t="n">
        <x:f>J280*Q280+K280*P280</x:f>
        <x:v>381.45268</x:v>
      </x:c>
      <x:c r="AA280" s="38" t="n">
        <x:f>M280*R280</x:f>
        <x:v>14349.617475000001</x:v>
      </x:c>
      <x:c r="AB280" s="38" t="n">
        <x:f>SUM(W280:AA280)</x:f>
        <x:v>162111.850145</x:v>
      </x:c>
      <x:c r="AC280" s="38" t="n">
        <x:v>16.09</x:v>
      </x:c>
      <x:c r="AD280" s="38" t="n">
        <x:v>174.33</x:v>
      </x:c>
      <x:c r="AE280" s="38" t="n">
        <x:v>100.34</x:v>
      </x:c>
      <x:c r="AF280" s="38" t="n">
        <x:v>4.8148</x:v>
      </x:c>
      <x:c r="AG280" s="38" t="n">
        <x:v>5.11</x:v>
      </x:c>
      <x:c r="AH280" s="38" t="n">
        <x:f>IF(E280="Fason",L280*S280,0)</x:f>
        <x:v>0</x:v>
      </x:c>
      <x:c r="AI280" s="38" t="n">
        <x:f>IF(E280="Kurum içi",AC280*AD280+AE280*AF280+AB280*12%,0)</x:f>
        <x:v>22741.5087494</x:v>
      </x:c>
      <x:c r="AJ280" s="38" t="n">
        <x:f>V280*AG280</x:f>
        <x:v>1003.6601718161381</x:v>
      </x:c>
      <x:c r="AK280" s="38" t="n">
        <x:f>AB280*2%</x:f>
        <x:v>3242.2370029000003</x:v>
      </x:c>
      <x:c r="AL280" s="38" t="n">
        <x:f>AB280+AH280+AI280+AJ280+AK280</x:f>
        <x:v>189099.25606911612</x:v>
      </x:c>
      <x:c r="AM280" s="38" t="n">
        <x:f>AL280/V280</x:f>
        <x:v>962.773282877863</x:v>
      </x:c>
      <x:c r="AN280" s="40" t="n">
        <x:f>(W280+X280)/AL280*100</x:f>
        <x:v>73.7251230851189</x:v>
      </x:c>
      <x:c r="AO280" s="28" t="str">
        <x:v>R01-R20; ilgili satırdaki bölgesel fiyat ve maliyet varsayımları</x:v>
      </x:c>
      <x:c r="AP280" s="28" t="str">
        <x:v>Girdi miktarları, alım fiyatı değişimi, fason bedeli ve parti sonucu simüle edilmiştir; işletme kaydı değildir.</x:v>
      </x:c>
    </x:row>
    <x:row r="281" ht="22" customHeight="1">
      <x:c r="A281" t="str">
        <x:v>SUC-0280</x:v>
      </x:c>
      <x:c r="B281" s="36" t="n">
        <x:v>46285</x:v>
      </x:c>
      <x:c r="C281" t="str">
        <x:v>Karadeniz</x:v>
      </x:c>
      <x:c r="D281" t="str">
        <x:v>MEB_STANDART</x:v>
      </x:c>
      <x:c r="E281" t="str">
        <x:v>Kurum içi</x:v>
      </x:c>
      <x:c r="F281" s="42" t="str">
        <x:v>SENTETİK/SİMÜLE — gerçek parti kaydı değildir</x:v>
      </x:c>
      <x:c r="G281" s="38" t="n">
        <x:v>319.466</x:v>
      </x:c>
      <x:c r="H281" s="38" t="n">
        <x:v>103.079</x:v>
      </x:c>
      <x:c r="I281" s="38" t="n">
        <x:v>21.925</x:v>
      </x:c>
      <x:c r="J281" s="38" t="n">
        <x:v>10.644</x:v>
      </x:c>
      <x:c r="K281" s="38" t="n">
        <x:v>4.742</x:v>
      </x:c>
      <x:c r="L281" s="38" t="n">
        <x:f>SUM(G281:K281)</x:f>
        <x:v>459.85600000000005</x:v>
      </x:c>
      <x:c r="M281" s="38" t="n">
        <x:v>586.837</x:v>
      </x:c>
      <x:c r="N281" s="38" t="n">
        <x:v>602.26</x:v>
      </x:c>
      <x:c r="O281" s="38" t="n">
        <x:v>480.75</x:v>
      </x:c>
      <x:c r="P281" s="38" t="n">
        <x:v>669.9</x:v>
      </x:c>
      <x:c r="Q281" s="38" t="n">
        <x:v>19.88</x:v>
      </x:c>
      <x:c r="R281" s="38" t="n">
        <x:v>43.7475</x:v>
      </x:c>
      <x:c r="S281" s="38" t="n">
        <x:v>92.94</x:v>
      </x:c>
      <x:c r="T281" s="40" t="n">
        <x:v>19.82</x:v>
      </x:c>
      <x:c r="U281" s="40" t="n">
        <x:v>1.45</x:v>
      </x:c>
      <x:c r="V281" s="38" t="n">
        <x:f>L281*(1-T281/100)*(1-U281/100)</x:f>
        <x:v>363.3662089584</x:v>
      </x:c>
      <x:c r="W281" s="38" t="n">
        <x:f>G281*N281</x:f>
        <x:v>192401.59316</x:v>
      </x:c>
      <x:c r="X281" s="38" t="n">
        <x:f>H281*O281</x:f>
        <x:v>49555.22925</x:v>
      </x:c>
      <x:c r="Y281" s="38" t="n">
        <x:f>I281*P281</x:f>
        <x:v>14687.5575</x:v>
      </x:c>
      <x:c r="Z281" s="38" t="n">
        <x:f>J281*Q281+K281*P281</x:f>
        <x:v>3388.2685199999996</x:v>
      </x:c>
      <x:c r="AA281" s="38" t="n">
        <x:f>M281*R281</x:f>
        <x:v>25672.651657500002</x:v>
      </x:c>
      <x:c r="AB281" s="38" t="n">
        <x:f>SUM(W281:AA281)</x:f>
        <x:v>285705.3000875</x:v>
      </x:c>
      <x:c r="AC281" s="38" t="n">
        <x:v>16.96</x:v>
      </x:c>
      <x:c r="AD281" s="38" t="n">
        <x:v>174.33</x:v>
      </x:c>
      <x:c r="AE281" s="38" t="n">
        <x:v>155.29</x:v>
      </x:c>
      <x:c r="AF281" s="38" t="n">
        <x:v>4.8148</x:v>
      </x:c>
      <x:c r="AG281" s="38" t="n">
        <x:v>5.55</x:v>
      </x:c>
      <x:c r="AH281" s="38" t="n">
        <x:f>IF(E281="Fason",L281*S281,0)</x:f>
        <x:v>0</x:v>
      </x:c>
      <x:c r="AI281" s="38" t="n">
        <x:f>IF(E281="Kurum içi",AC281*AD281+AE281*AF281+AB281*12%,0)</x:f>
        <x:v>37988.9631025</x:v>
      </x:c>
      <x:c r="AJ281" s="38" t="n">
        <x:f>V281*AG281</x:f>
        <x:v>2016.68245971912</x:v>
      </x:c>
      <x:c r="AK281" s="38" t="n">
        <x:f>AB281*2%</x:f>
        <x:v>5714.10600175</x:v>
      </x:c>
      <x:c r="AL281" s="38" t="n">
        <x:f>AB281+AH281+AI281+AJ281+AK281</x:f>
        <x:v>331425.05165146914</x:v>
      </x:c>
      <x:c r="AM281" s="38" t="n">
        <x:f>AL281/V281</x:f>
        <x:v>912.0965116748441</x:v>
      </x:c>
      <x:c r="AN281" s="40" t="n">
        <x:f>(W281+X281)/AL281*100</x:f>
        <x:v>73.00498897242231</x:v>
      </x:c>
      <x:c r="AO281" s="28" t="str">
        <x:v>R01-R20; ilgili satırdaki bölgesel fiyat ve maliyet varsayımları</x:v>
      </x:c>
      <x:c r="AP281" s="28" t="str">
        <x:v>Girdi miktarları, alım fiyatı değişimi, fason bedeli ve parti sonucu simüle edilmiştir; işletme kaydı değildir.</x:v>
      </x:c>
    </x:row>
    <x:row r="282" ht="22" customHeight="1">
      <x:c r="A282" t="str">
        <x:v>SUC-0281</x:v>
      </x:c>
      <x:c r="B282" s="36" t="n">
        <x:v>46299</x:v>
      </x:c>
      <x:c r="C282" t="str">
        <x:v>Ege</x:v>
      </x:c>
      <x:c r="D282" t="str">
        <x:v>ERZURUM_CI</x:v>
      </x:c>
      <x:c r="E282" t="str">
        <x:v>Kurum içi</x:v>
      </x:c>
      <x:c r="F282" s="42" t="str">
        <x:v>SENTETİK/SİMÜLE — gerçek parti kaydı değildir</x:v>
      </x:c>
      <x:c r="G282" s="38" t="n">
        <x:v>308.5</x:v>
      </x:c>
      <x:c r="H282" s="38" t="n">
        <x:v>53.625</x:v>
      </x:c>
      <x:c r="I282" s="38" t="n">
        <x:v>18.993</x:v>
      </x:c>
      <x:c r="J282" s="38" t="n">
        <x:v>5.656</x:v>
      </x:c>
      <x:c r="K282" s="38" t="n">
        <x:v>0.397</x:v>
      </x:c>
      <x:c r="L282" s="38" t="n">
        <x:f>SUM(G282:K282)</x:f>
        <x:v>387.171</x:v>
      </x:c>
      <x:c r="M282" s="38" t="n">
        <x:v>498.483</x:v>
      </x:c>
      <x:c r="N282" s="38" t="n">
        <x:v>615.65</x:v>
      </x:c>
      <x:c r="O282" s="38" t="n">
        <x:v>482.39</x:v>
      </x:c>
      <x:c r="P282" s="38" t="n">
        <x:v>400</x:v>
      </x:c>
      <x:c r="Q282" s="38" t="n">
        <x:v>19.88</x:v>
      </x:c>
      <x:c r="R282" s="38" t="n">
        <x:v>43.7475</x:v>
      </x:c>
      <x:c r="S282" s="38" t="n">
        <x:v>92.02</x:v>
      </x:c>
      <x:c r="T282" s="40" t="n">
        <x:v>23.44</x:v>
      </x:c>
      <x:c r="U282" s="40" t="n">
        <x:v>1.55</x:v>
      </x:c>
      <x:c r="V282" s="38" t="n">
        <x:f>L282*(1-T282/100)*(1-U282/100)</x:f>
        <x:v>291.82363677719997</x:v>
      </x:c>
      <x:c r="W282" s="38" t="n">
        <x:f>G282*N282</x:f>
        <x:v>189928.025</x:v>
      </x:c>
      <x:c r="X282" s="38" t="n">
        <x:f>H282*O282</x:f>
        <x:v>25868.16375</x:v>
      </x:c>
      <x:c r="Y282" s="38" t="n">
        <x:f>I282*P282</x:f>
        <x:v>7597.2</x:v>
      </x:c>
      <x:c r="Z282" s="38" t="n">
        <x:f>J282*Q282+K282*P282</x:f>
        <x:v>271.24128</x:v>
      </x:c>
      <x:c r="AA282" s="38" t="n">
        <x:f>M282*R282</x:f>
        <x:v>21807.385042500002</x:v>
      </x:c>
      <x:c r="AB282" s="38" t="n">
        <x:f>SUM(W282:AA282)</x:f>
        <x:v>245472.0150725</x:v>
      </x:c>
      <x:c r="AC282" s="38" t="n">
        <x:v>20.45</x:v>
      </x:c>
      <x:c r="AD282" s="38" t="n">
        <x:v>174.33</x:v>
      </x:c>
      <x:c r="AE282" s="38" t="n">
        <x:v>140.04</x:v>
      </x:c>
      <x:c r="AF282" s="38" t="n">
        <x:v>4.8148</x:v>
      </x:c>
      <x:c r="AG282" s="38" t="n">
        <x:v>5.87</x:v>
      </x:c>
      <x:c r="AH282" s="38" t="n">
        <x:f>IF(E282="Fason",L282*S282,0)</x:f>
        <x:v>0</x:v>
      </x:c>
      <x:c r="AI282" s="38" t="n">
        <x:f>IF(E282="Kurum içi",AC282*AD282+AE282*AF282+AB282*12%,0)</x:f>
        <x:v>33695.9549007</x:v>
      </x:c>
      <x:c r="AJ282" s="38" t="n">
        <x:f>V282*AG282</x:f>
        <x:v>1713.0047478821639</x:v>
      </x:c>
      <x:c r="AK282" s="38" t="n">
        <x:f>AB282*2%</x:f>
        <x:v>4909.44030145</x:v>
      </x:c>
      <x:c r="AL282" s="38" t="n">
        <x:f>AB282+AH282+AI282+AJ282+AK282</x:f>
        <x:v>285790.41502253216</x:v>
      </x:c>
      <x:c r="AM282" s="38" t="n">
        <x:f>AL282/V282</x:f>
        <x:v>979.3257947803796</x:v>
      </x:c>
      <x:c r="AN282" s="40" t="n">
        <x:f>(W282+X282)/AL282*100</x:f>
        <x:v>75.50854661552813</x:v>
      </x:c>
      <x:c r="AO282" s="28" t="str">
        <x:v>R01-R20; ilgili satırdaki bölgesel fiyat ve maliyet varsayımları</x:v>
      </x:c>
      <x:c r="AP282" s="28" t="str">
        <x:v>Girdi miktarları, alım fiyatı değişimi, fason bedeli ve parti sonucu simüle edilmiştir; işletme kaydı değildir.</x:v>
      </x:c>
    </x:row>
    <x:row r="283" ht="22" customHeight="1">
      <x:c r="A283" t="str">
        <x:v>SUC-0282</x:v>
      </x:c>
      <x:c r="B283" s="36" t="n">
        <x:v>46301</x:v>
      </x:c>
      <x:c r="C283" t="str">
        <x:v>Karadeniz</x:v>
      </x:c>
      <x:c r="D283" t="str">
        <x:v>ERZURUM_CI</x:v>
      </x:c>
      <x:c r="E283" t="str">
        <x:v>Kurum içi</x:v>
      </x:c>
      <x:c r="F283" s="42" t="str">
        <x:v>SENTETİK/SİMÜLE — gerçek parti kaydı değildir</x:v>
      </x:c>
      <x:c r="G283" s="38" t="n">
        <x:v>363.732</x:v>
      </x:c>
      <x:c r="H283" s="38" t="n">
        <x:v>60.463</x:v>
      </x:c>
      <x:c r="I283" s="38" t="n">
        <x:v>22.789</x:v>
      </x:c>
      <x:c r="J283" s="38" t="n">
        <x:v>8.12</x:v>
      </x:c>
      <x:c r="K283" s="38" t="n">
        <x:v>0.486</x:v>
      </x:c>
      <x:c r="L283" s="38" t="n">
        <x:f>SUM(G283:K283)</x:f>
        <x:v>455.59000000000003</x:v>
      </x:c>
      <x:c r="M283" s="38" t="n">
        <x:v>530.668</x:v>
      </x:c>
      <x:c r="N283" s="38" t="n">
        <x:v>601.55</x:v>
      </x:c>
      <x:c r="O283" s="38" t="n">
        <x:v>469.76</x:v>
      </x:c>
      <x:c r="P283" s="38" t="n">
        <x:v>669.9</x:v>
      </x:c>
      <x:c r="Q283" s="38" t="n">
        <x:v>19.88</x:v>
      </x:c>
      <x:c r="R283" s="38" t="n">
        <x:v>43.7475</x:v>
      </x:c>
      <x:c r="S283" s="38" t="n">
        <x:v>92.79</x:v>
      </x:c>
      <x:c r="T283" s="40" t="n">
        <x:v>21.95</x:v>
      </x:c>
      <x:c r="U283" s="40" t="n">
        <x:v>0.8</x:v>
      </x:c>
      <x:c r="V283" s="38" t="n">
        <x:f>L283*(1-T283/100)*(1-U283/100)</x:f>
        <x:v>352.74329104000003</x:v>
      </x:c>
      <x:c r="W283" s="38" t="n">
        <x:f>G283*N283</x:f>
        <x:v>218802.9846</x:v>
      </x:c>
      <x:c r="X283" s="38" t="n">
        <x:f>H283*O283</x:f>
        <x:v>28403.09888</x:v>
      </x:c>
      <x:c r="Y283" s="38" t="n">
        <x:f>I283*P283</x:f>
        <x:v>15266.3511</x:v>
      </x:c>
      <x:c r="Z283" s="38" t="n">
        <x:f>J283*Q283+K283*P283</x:f>
        <x:v>486.99699999999996</x:v>
      </x:c>
      <x:c r="AA283" s="38" t="n">
        <x:f>M283*R283</x:f>
        <x:v>23215.39833</x:v>
      </x:c>
      <x:c r="AB283" s="38" t="n">
        <x:f>SUM(W283:AA283)</x:f>
        <x:v>286174.82991</x:v>
      </x:c>
      <x:c r="AC283" s="38" t="n">
        <x:v>28.78</x:v>
      </x:c>
      <x:c r="AD283" s="38" t="n">
        <x:v>174.33</x:v>
      </x:c>
      <x:c r="AE283" s="38" t="n">
        <x:v>155.35</x:v>
      </x:c>
      <x:c r="AF283" s="38" t="n">
        <x:v>4.8148</x:v>
      </x:c>
      <x:c r="AG283" s="38" t="n">
        <x:v>5.26</x:v>
      </x:c>
      <x:c r="AH283" s="38" t="n">
        <x:f>IF(E283="Fason",L283*S283,0)</x:f>
        <x:v>0</x:v>
      </x:c>
      <x:c r="AI283" s="38" t="n">
        <x:f>IF(E283="Kurum içi",AC283*AD283+AE283*AF283+AB283*12%,0)</x:f>
        <x:v>40106.1761692</x:v>
      </x:c>
      <x:c r="AJ283" s="38" t="n">
        <x:f>V283*AG283</x:f>
        <x:v>1855.4297108704002</x:v>
      </x:c>
      <x:c r="AK283" s="38" t="n">
        <x:f>AB283*2%</x:f>
        <x:v>5723.496598199999</x:v>
      </x:c>
      <x:c r="AL283" s="38" t="n">
        <x:f>AB283+AH283+AI283+AJ283+AK283</x:f>
        <x:v>333859.93238827033</x:v>
      </x:c>
      <x:c r="AM283" s="38" t="n">
        <x:f>AL283/V283</x:f>
        <x:v>946.4671359275027</x:v>
      </x:c>
      <x:c r="AN283" s="40" t="n">
        <x:f>(W283+X283)/AL283*100</x:f>
        <x:v>74.04484920116315</x:v>
      </x:c>
      <x:c r="AO283" s="28" t="str">
        <x:v>R01-R20; ilgili satırdaki bölgesel fiyat ve maliyet varsayımları</x:v>
      </x:c>
      <x:c r="AP283" s="28" t="str">
        <x:v>Girdi miktarları, alım fiyatı değişimi, fason bedeli ve parti sonucu simüle edilmiştir; işletme kaydı değildir.</x:v>
      </x:c>
    </x:row>
    <x:row r="284" ht="22" customHeight="1">
      <x:c r="A284" t="str">
        <x:v>SUC-0283</x:v>
      </x:c>
      <x:c r="B284" s="36" t="n">
        <x:v>46271</x:v>
      </x:c>
      <x:c r="C284" t="str">
        <x:v>Güneydoğu Anadolu</x:v>
      </x:c>
      <x:c r="D284" t="str">
        <x:v>ERZURUM_CI</x:v>
      </x:c>
      <x:c r="E284" t="str">
        <x:v>Fason</x:v>
      </x:c>
      <x:c r="F284" s="42" t="str">
        <x:v>SENTETİK/SİMÜLE — gerçek parti kaydı değildir</x:v>
      </x:c>
      <x:c r="G284" s="38" t="n">
        <x:v>385.23</x:v>
      </x:c>
      <x:c r="H284" s="38" t="n">
        <x:v>67.775</x:v>
      </x:c>
      <x:c r="I284" s="38" t="n">
        <x:v>21.404</x:v>
      </x:c>
      <x:c r="J284" s="38" t="n">
        <x:v>8.542</x:v>
      </x:c>
      <x:c r="K284" s="38" t="n">
        <x:v>0.224</x:v>
      </x:c>
      <x:c r="L284" s="38" t="n">
        <x:f>SUM(G284:K284)</x:f>
        <x:v>483.17499999999995</x:v>
      </x:c>
      <x:c r="M284" s="38" t="n">
        <x:v>612.97</x:v>
      </x:c>
      <x:c r="N284" s="38" t="n">
        <x:v>584.52</x:v>
      </x:c>
      <x:c r="O284" s="38" t="n">
        <x:v>446.77</x:v>
      </x:c>
      <x:c r="P284" s="38" t="n">
        <x:v>400</x:v>
      </x:c>
      <x:c r="Q284" s="38" t="n">
        <x:v>19.88</x:v>
      </x:c>
      <x:c r="R284" s="38" t="n">
        <x:v>43.7475</x:v>
      </x:c>
      <x:c r="S284" s="38" t="n">
        <x:v>108.67</x:v>
      </x:c>
      <x:c r="T284" s="40" t="n">
        <x:v>18.24</x:v>
      </x:c>
      <x:c r="U284" s="40" t="n">
        <x:v>1.72</x:v>
      </x:c>
      <x:c r="V284" s="38" t="n">
        <x:f>L284*(1-T284/100)*(1-U284/100)</x:f>
        <x:v>388.24912526399993</x:v>
      </x:c>
      <x:c r="W284" s="38" t="n">
        <x:f>G284*N284</x:f>
        <x:v>225174.6396</x:v>
      </x:c>
      <x:c r="X284" s="38" t="n">
        <x:f>H284*O284</x:f>
        <x:v>30279.836750000002</x:v>
      </x:c>
      <x:c r="Y284" s="38" t="n">
        <x:f>I284*P284</x:f>
        <x:v>8561.6</x:v>
      </x:c>
      <x:c r="Z284" s="38" t="n">
        <x:f>J284*Q284+K284*P284</x:f>
        <x:v>259.41496</x:v>
      </x:c>
      <x:c r="AA284" s="38" t="n">
        <x:f>M284*R284</x:f>
        <x:v>26815.905075000002</x:v>
      </x:c>
      <x:c r="AB284" s="38" t="n">
        <x:f>SUM(W284:AA284)</x:f>
        <x:v>291091.39638500003</x:v>
      </x:c>
      <x:c r="AC284" s="38" t="n">
        <x:v>19.96</x:v>
      </x:c>
      <x:c r="AD284" s="38" t="n">
        <x:v>174.33</x:v>
      </x:c>
      <x:c r="AE284" s="38" t="n">
        <x:v>218.81</x:v>
      </x:c>
      <x:c r="AF284" s="38" t="n">
        <x:v>4.8148</x:v>
      </x:c>
      <x:c r="AG284" s="38" t="n">
        <x:v>5.61</x:v>
      </x:c>
      <x:c r="AH284" s="38" t="n">
        <x:f>IF(E284="Fason",L284*S284,0)</x:f>
        <x:v>52506.62725</x:v>
      </x:c>
      <x:c r="AI284" s="38" t="n">
        <x:f>IF(E284="Kurum içi",AC284*AD284+AE284*AF284+AB284*12%,0)</x:f>
        <x:v>0</x:v>
      </x:c>
      <x:c r="AJ284" s="38" t="n">
        <x:f>V284*AG284</x:f>
        <x:v>2178.0775927310397</x:v>
      </x:c>
      <x:c r="AK284" s="38" t="n">
        <x:f>AB284*2%</x:f>
        <x:v>5821.827927700001</x:v>
      </x:c>
      <x:c r="AL284" s="38" t="n">
        <x:f>AB284+AH284+AI284+AJ284+AK284</x:f>
        <x:v>351597.9291554311</x:v>
      </x:c>
      <x:c r="AM284" s="38" t="n">
        <x:f>AL284/V284</x:f>
        <x:v>905.5987670708932</x:v>
      </x:c>
      <x:c r="AN284" s="40" t="n">
        <x:f>(W284+X284)/AL284*100</x:f>
        <x:v>72.655284678048</x:v>
      </x:c>
      <x:c r="AO284" s="28" t="str">
        <x:v>R01-R20; ilgili satırdaki bölgesel fiyat ve maliyet varsayımları</x:v>
      </x:c>
      <x:c r="AP284" s="28" t="str">
        <x:v>Girdi miktarları, alım fiyatı değişimi, fason bedeli ve parti sonucu simüle edilmiştir; işletme kaydı değildir.</x:v>
      </x:c>
    </x:row>
    <x:row r="285" ht="22" customHeight="1">
      <x:c r="A285" t="str">
        <x:v>SUC-0284</x:v>
      </x:c>
      <x:c r="B285" s="36" t="n">
        <x:v>46268</x:v>
      </x:c>
      <x:c r="C285" t="str">
        <x:v>Akdeniz</x:v>
      </x:c>
      <x:c r="D285" t="str">
        <x:v>MEB_STANDART</x:v>
      </x:c>
      <x:c r="E285" t="str">
        <x:v>Kurum içi</x:v>
      </x:c>
      <x:c r="F285" s="42" t="str">
        <x:v>SENTETİK/SİMÜLE — gerçek parti kaydı değildir</x:v>
      </x:c>
      <x:c r="G285" s="38" t="n">
        <x:v>270.636</x:v>
      </x:c>
      <x:c r="H285" s="38" t="n">
        <x:v>84.077</x:v>
      </x:c>
      <x:c r="I285" s="38" t="n">
        <x:v>18.17</x:v>
      </x:c>
      <x:c r="J285" s="38" t="n">
        <x:v>8.9</x:v>
      </x:c>
      <x:c r="K285" s="38" t="n">
        <x:v>4.255</x:v>
      </x:c>
      <x:c r="L285" s="38" t="n">
        <x:f>SUM(G285:K285)</x:f>
        <x:v>386.038</x:v>
      </x:c>
      <x:c r="M285" s="38" t="n">
        <x:v>493.782</x:v>
      </x:c>
      <x:c r="N285" s="38" t="n">
        <x:v>588.27</x:v>
      </x:c>
      <x:c r="O285" s="38" t="n">
        <x:v>471.69</x:v>
      </x:c>
      <x:c r="P285" s="38" t="n">
        <x:v>400</x:v>
      </x:c>
      <x:c r="Q285" s="38" t="n">
        <x:v>19.88</x:v>
      </x:c>
      <x:c r="R285" s="38" t="n">
        <x:v>43.7475</x:v>
      </x:c>
      <x:c r="S285" s="38" t="n">
        <x:v>122.56</x:v>
      </x:c>
      <x:c r="T285" s="40" t="n">
        <x:v>26.49</x:v>
      </x:c>
      <x:c r="U285" s="40" t="n">
        <x:v>1.51</x:v>
      </x:c>
      <x:c r="V285" s="38" t="n">
        <x:f>L285*(1-T285/100)*(1-U285/100)</x:f>
        <x:v>279.49150813962</x:v>
      </x:c>
      <x:c r="W285" s="38" t="n">
        <x:f>G285*N285</x:f>
        <x:v>159207.03972</x:v>
      </x:c>
      <x:c r="X285" s="38" t="n">
        <x:f>H285*O285</x:f>
        <x:v>39658.28013</x:v>
      </x:c>
      <x:c r="Y285" s="38" t="n">
        <x:f>I285*P285</x:f>
        <x:v>7268.000000000001</x:v>
      </x:c>
      <x:c r="Z285" s="38" t="n">
        <x:f>J285*Q285+K285*P285</x:f>
        <x:v>1878.932</x:v>
      </x:c>
      <x:c r="AA285" s="38" t="n">
        <x:f>M285*R285</x:f>
        <x:v>21601.728045</x:v>
      </x:c>
      <x:c r="AB285" s="38" t="n">
        <x:f>SUM(W285:AA285)</x:f>
        <x:v>229613.979895</x:v>
      </x:c>
      <x:c r="AC285" s="38" t="n">
        <x:v>15.75</x:v>
      </x:c>
      <x:c r="AD285" s="38" t="n">
        <x:v>174.33</x:v>
      </x:c>
      <x:c r="AE285" s="38" t="n">
        <x:v>173.66</x:v>
      </x:c>
      <x:c r="AF285" s="38" t="n">
        <x:v>4.8148</x:v>
      </x:c>
      <x:c r="AG285" s="38" t="n">
        <x:v>5.31</x:v>
      </x:c>
      <x:c r="AH285" s="38" t="n">
        <x:f>IF(E285="Fason",L285*S285,0)</x:f>
        <x:v>0</x:v>
      </x:c>
      <x:c r="AI285" s="38" t="n">
        <x:f>IF(E285="Kurum içi",AC285*AD285+AE285*AF285+AB285*12%,0)</x:f>
        <x:v>31135.513255399997</x:v>
      </x:c>
      <x:c r="AJ285" s="38" t="n">
        <x:f>V285*AG285</x:f>
        <x:v>1484.099908221382</x:v>
      </x:c>
      <x:c r="AK285" s="38" t="n">
        <x:f>AB285*2%</x:f>
        <x:v>4592.2795979</x:v>
      </x:c>
      <x:c r="AL285" s="38" t="n">
        <x:f>AB285+AH285+AI285+AJ285+AK285</x:f>
        <x:v>266825.8726565214</x:v>
      </x:c>
      <x:c r="AM285" s="38" t="n">
        <x:f>AL285/V285</x:f>
        <x:v>954.6832904963557</x:v>
      </x:c>
      <x:c r="AN285" s="40" t="n">
        <x:f>(W285+X285)/AL285*100</x:f>
        <x:v>74.52999886034088</x:v>
      </x:c>
      <x:c r="AO285" s="28" t="str">
        <x:v>R01-R20; ilgili satırdaki bölgesel fiyat ve maliyet varsayımları</x:v>
      </x:c>
      <x:c r="AP285" s="28" t="str">
        <x:v>Girdi miktarları, alım fiyatı değişimi, fason bedeli ve parti sonucu simüle edilmiştir; işletme kaydı değildir.</x:v>
      </x:c>
    </x:row>
    <x:row r="286" ht="22" customHeight="1">
      <x:c r="A286" t="str">
        <x:v>SUC-0285</x:v>
      </x:c>
      <x:c r="B286" s="36" t="n">
        <x:v>46292</x:v>
      </x:c>
      <x:c r="C286" t="str">
        <x:v>Ege</x:v>
      </x:c>
      <x:c r="D286" t="str">
        <x:v>MEB_STANDART</x:v>
      </x:c>
      <x:c r="E286" t="str">
        <x:v>Kurum içi</x:v>
      </x:c>
      <x:c r="F286" s="42" t="str">
        <x:v>SENTETİK/SİMÜLE — gerçek parti kaydı değildir</x:v>
      </x:c>
      <x:c r="G286" s="38" t="n">
        <x:v>288.892</x:v>
      </x:c>
      <x:c r="H286" s="38" t="n">
        <x:v>88.774</x:v>
      </x:c>
      <x:c r="I286" s="38" t="n">
        <x:v>19.379</x:v>
      </x:c>
      <x:c r="J286" s="38" t="n">
        <x:v>10.206</x:v>
      </x:c>
      <x:c r="K286" s="38" t="n">
        <x:v>4.294</x:v>
      </x:c>
      <x:c r="L286" s="38" t="n">
        <x:f>SUM(G286:K286)</x:f>
        <x:v>411.545</x:v>
      </x:c>
      <x:c r="M286" s="38" t="n">
        <x:v>541.809</x:v>
      </x:c>
      <x:c r="N286" s="38" t="n">
        <x:v>608</x:v>
      </x:c>
      <x:c r="O286" s="38" t="n">
        <x:v>453.12</x:v>
      </x:c>
      <x:c r="P286" s="38" t="n">
        <x:v>550</x:v>
      </x:c>
      <x:c r="Q286" s="38" t="n">
        <x:v>19.88</x:v>
      </x:c>
      <x:c r="R286" s="38" t="n">
        <x:v>43.7475</x:v>
      </x:c>
      <x:c r="S286" s="38" t="n">
        <x:v>90.4</x:v>
      </x:c>
      <x:c r="T286" s="40" t="n">
        <x:v>28.69</x:v>
      </x:c>
      <x:c r="U286" s="40" t="n">
        <x:v>1</x:v>
      </x:c>
      <x:c r="V286" s="38" t="n">
        <x:f>L286*(1-T286/100)*(1-U286/100)</x:f>
        <x:v>290.53801210500006</x:v>
      </x:c>
      <x:c r="W286" s="38" t="n">
        <x:f>G286*N286</x:f>
        <x:v>175646.336</x:v>
      </x:c>
      <x:c r="X286" s="38" t="n">
        <x:f>H286*O286</x:f>
        <x:v>40225.27488</x:v>
      </x:c>
      <x:c r="Y286" s="38" t="n">
        <x:f>I286*P286</x:f>
        <x:v>10658.45</x:v>
      </x:c>
      <x:c r="Z286" s="38" t="n">
        <x:f>J286*Q286+K286*P286</x:f>
        <x:v>2564.59528</x:v>
      </x:c>
      <x:c r="AA286" s="38" t="n">
        <x:f>M286*R286</x:f>
        <x:v>23702.7892275</x:v>
      </x:c>
      <x:c r="AB286" s="38" t="n">
        <x:f>SUM(W286:AA286)</x:f>
        <x:v>252797.44538750002</x:v>
      </x:c>
      <x:c r="AC286" s="38" t="n">
        <x:v>15.26</x:v>
      </x:c>
      <x:c r="AD286" s="38" t="n">
        <x:v>174.33</x:v>
      </x:c>
      <x:c r="AE286" s="38" t="n">
        <x:v>127.17</x:v>
      </x:c>
      <x:c r="AF286" s="38" t="n">
        <x:v>4.8148</x:v>
      </x:c>
      <x:c r="AG286" s="38" t="n">
        <x:v>5.26</x:v>
      </x:c>
      <x:c r="AH286" s="38" t="n">
        <x:f>IF(E286="Fason",L286*S286,0)</x:f>
        <x:v>0</x:v>
      </x:c>
      <x:c r="AI286" s="38" t="n">
        <x:f>IF(E286="Kurum içi",AC286*AD286+AE286*AF286+AB286*12%,0)</x:f>
        <x:v>33608.2673625</x:v>
      </x:c>
      <x:c r="AJ286" s="38" t="n">
        <x:f>V286*AG286</x:f>
        <x:v>1528.2299436723004</x:v>
      </x:c>
      <x:c r="AK286" s="38" t="n">
        <x:f>AB286*2%</x:f>
        <x:v>5055.94890775</x:v>
      </x:c>
      <x:c r="AL286" s="38" t="n">
        <x:f>AB286+AH286+AI286+AJ286+AK286</x:f>
        <x:v>292989.89160142234</x:v>
      </x:c>
      <x:c r="AM286" s="38" t="n">
        <x:f>AL286/V286</x:f>
        <x:v>1008.439100545426</x:v>
      </x:c>
      <x:c r="AN286" s="40" t="n">
        <x:f>(W286+X286)/AL286*100</x:f>
        <x:v>73.67885960163686</x:v>
      </x:c>
      <x:c r="AO286" s="28" t="str">
        <x:v>R01-R20; ilgili satırdaki bölgesel fiyat ve maliyet varsayımları</x:v>
      </x:c>
      <x:c r="AP286" s="28" t="str">
        <x:v>Girdi miktarları, alım fiyatı değişimi, fason bedeli ve parti sonucu simüle edilmiştir; işletme kaydı değildir.</x:v>
      </x:c>
    </x:row>
    <x:row r="287" ht="22" customHeight="1">
      <x:c r="A287" t="str">
        <x:v>SUC-0286</x:v>
      </x:c>
      <x:c r="B287" s="36" t="n">
        <x:v>46291</x:v>
      </x:c>
      <x:c r="C287" t="str">
        <x:v>Marmara</x:v>
      </x:c>
      <x:c r="D287" t="str">
        <x:v>MEB_STANDART</x:v>
      </x:c>
      <x:c r="E287" t="str">
        <x:v>Kurum içi</x:v>
      </x:c>
      <x:c r="F287" s="42" t="str">
        <x:v>SENTETİK/SİMÜLE — gerçek parti kaydı değildir</x:v>
      </x:c>
      <x:c r="G287" s="38" t="n">
        <x:v>336.889</x:v>
      </x:c>
      <x:c r="H287" s="38" t="n">
        <x:v>101.98</x:v>
      </x:c>
      <x:c r="I287" s="38" t="n">
        <x:v>20.995</x:v>
      </x:c>
      <x:c r="J287" s="38" t="n">
        <x:v>11.284</x:v>
      </x:c>
      <x:c r="K287" s="38" t="n">
        <x:v>5.324</x:v>
      </x:c>
      <x:c r="L287" s="38" t="n">
        <x:f>SUM(G287:K287)</x:f>
        <x:v>476.47200000000004</x:v>
      </x:c>
      <x:c r="M287" s="38" t="n">
        <x:v>554.882</x:v>
      </x:c>
      <x:c r="N287" s="38" t="n">
        <x:v>598.14</x:v>
      </x:c>
      <x:c r="O287" s="38" t="n">
        <x:v>415.48</x:v>
      </x:c>
      <x:c r="P287" s="38" t="n">
        <x:v>400</x:v>
      </x:c>
      <x:c r="Q287" s="38" t="n">
        <x:v>19.88</x:v>
      </x:c>
      <x:c r="R287" s="38" t="n">
        <x:v>43.7475</x:v>
      </x:c>
      <x:c r="S287" s="38" t="n">
        <x:v>101.05</x:v>
      </x:c>
      <x:c r="T287" s="40" t="n">
        <x:v>24.27</x:v>
      </x:c>
      <x:c r="U287" s="40" t="n">
        <x:v>1.06</x:v>
      </x:c>
      <x:c r="V287" s="38" t="n">
        <x:f>L287*(1-T287/100)*(1-U287/100)</x:f>
        <x:v>357.00742379664</x:v>
      </x:c>
      <x:c r="W287" s="38" t="n">
        <x:f>G287*N287</x:f>
        <x:v>201506.78646</x:v>
      </x:c>
      <x:c r="X287" s="38" t="n">
        <x:f>H287*O287</x:f>
        <x:v>42370.650400000006</x:v>
      </x:c>
      <x:c r="Y287" s="38" t="n">
        <x:f>I287*P287</x:f>
        <x:v>8398</x:v>
      </x:c>
      <x:c r="Z287" s="38" t="n">
        <x:f>J287*Q287+K287*P287</x:f>
        <x:v>2353.9259199999997</x:v>
      </x:c>
      <x:c r="AA287" s="38" t="n">
        <x:f>M287*R287</x:f>
        <x:v>24274.700295</x:v>
      </x:c>
      <x:c r="AB287" s="38" t="n">
        <x:f>SUM(W287:AA287)</x:f>
        <x:v>278904.063075</x:v>
      </x:c>
      <x:c r="AC287" s="38" t="n">
        <x:v>19.93</x:v>
      </x:c>
      <x:c r="AD287" s="38" t="n">
        <x:v>174.33</x:v>
      </x:c>
      <x:c r="AE287" s="38" t="n">
        <x:v>220.62</x:v>
      </x:c>
      <x:c r="AF287" s="38" t="n">
        <x:v>4.8148</x:v>
      </x:c>
      <x:c r="AG287" s="38" t="n">
        <x:v>5.49</x:v>
      </x:c>
      <x:c r="AH287" s="38" t="n">
        <x:f>IF(E287="Fason",L287*S287,0)</x:f>
        <x:v>0</x:v>
      </x:c>
      <x:c r="AI287" s="38" t="n">
        <x:f>IF(E287="Kurum içi",AC287*AD287+AE287*AF287+AB287*12%,0)</x:f>
        <x:v>38005.125645</x:v>
      </x:c>
      <x:c r="AJ287" s="38" t="n">
        <x:f>V287*AG287</x:f>
        <x:v>1959.9707566435538</x:v>
      </x:c>
      <x:c r="AK287" s="38" t="n">
        <x:f>AB287*2%</x:f>
        <x:v>5578.0812615</x:v>
      </x:c>
      <x:c r="AL287" s="38" t="n">
        <x:f>AB287+AH287+AI287+AJ287+AK287</x:f>
        <x:v>324447.2407381436</x:v>
      </x:c>
      <x:c r="AM287" s="38" t="n">
        <x:f>AL287/V287</x:f>
        <x:v>908.7969020021179</x:v>
      </x:c>
      <x:c r="AN287" s="40" t="n">
        <x:f>(W287+X287)/AL287*100</x:f>
        <x:v>75.16705529846985</x:v>
      </x:c>
      <x:c r="AO287" s="28" t="str">
        <x:v>R01-R20; ilgili satırdaki bölgesel fiyat ve maliyet varsayımları</x:v>
      </x:c>
      <x:c r="AP287" s="28" t="str">
        <x:v>Girdi miktarları, alım fiyatı değişimi, fason bedeli ve parti sonucu simüle edilmiştir; işletme kaydı değildir.</x:v>
      </x:c>
    </x:row>
    <x:row r="288" ht="22" customHeight="1">
      <x:c r="A288" t="str">
        <x:v>SUC-0287</x:v>
      </x:c>
      <x:c r="B288" s="36" t="n">
        <x:v>46295</x:v>
      </x:c>
      <x:c r="C288" t="str">
        <x:v>Ege</x:v>
      </x:c>
      <x:c r="D288" t="str">
        <x:v>ERZURUM_CI</x:v>
      </x:c>
      <x:c r="E288" t="str">
        <x:v>Kurum içi</x:v>
      </x:c>
      <x:c r="F288" s="42" t="str">
        <x:v>SENTETİK/SİMÜLE — gerçek parti kaydı değildir</x:v>
      </x:c>
      <x:c r="G288" s="38" t="n">
        <x:v>329.362</x:v>
      </x:c>
      <x:c r="H288" s="38" t="n">
        <x:v>55.587</x:v>
      </x:c>
      <x:c r="I288" s="38" t="n">
        <x:v>20.153</x:v>
      </x:c>
      <x:c r="J288" s="38" t="n">
        <x:v>7.063</x:v>
      </x:c>
      <x:c r="K288" s="38" t="n">
        <x:v>0.075</x:v>
      </x:c>
      <x:c r="L288" s="38" t="n">
        <x:f>SUM(G288:K288)</x:f>
        <x:v>412.24</x:v>
      </x:c>
      <x:c r="M288" s="38" t="n">
        <x:v>525.309</x:v>
      </x:c>
      <x:c r="N288" s="38" t="n">
        <x:v>614.04</x:v>
      </x:c>
      <x:c r="O288" s="38" t="n">
        <x:v>440.89</x:v>
      </x:c>
      <x:c r="P288" s="38" t="n">
        <x:v>669.9</x:v>
      </x:c>
      <x:c r="Q288" s="38" t="n">
        <x:v>19.88</x:v>
      </x:c>
      <x:c r="R288" s="38" t="n">
        <x:v>43.7475</x:v>
      </x:c>
      <x:c r="S288" s="38" t="n">
        <x:v>88.12</x:v>
      </x:c>
      <x:c r="T288" s="40" t="n">
        <x:v>18.11</x:v>
      </x:c>
      <x:c r="U288" s="40" t="n">
        <x:v>1</x:v>
      </x:c>
      <x:c r="V288" s="38" t="n">
        <x:f>L288*(1-T288/100)*(1-U288/100)</x:f>
        <x:v>334.20750264</x:v>
      </x:c>
      <x:c r="W288" s="38" t="n">
        <x:f>G288*N288</x:f>
        <x:v>202241.44248</x:v>
      </x:c>
      <x:c r="X288" s="38" t="n">
        <x:f>H288*O288</x:f>
        <x:v>24507.75243</x:v>
      </x:c>
      <x:c r="Y288" s="38" t="n">
        <x:f>I288*P288</x:f>
        <x:v>13500.4947</x:v>
      </x:c>
      <x:c r="Z288" s="38" t="n">
        <x:f>J288*Q288+K288*P288</x:f>
        <x:v>190.65493999999998</x:v>
      </x:c>
      <x:c r="AA288" s="38" t="n">
        <x:f>M288*R288</x:f>
        <x:v>22980.9554775</x:v>
      </x:c>
      <x:c r="AB288" s="38" t="n">
        <x:f>SUM(W288:AA288)</x:f>
        <x:v>263421.3000275</x:v>
      </x:c>
      <x:c r="AC288" s="38" t="n">
        <x:v>14.46</x:v>
      </x:c>
      <x:c r="AD288" s="38" t="n">
        <x:v>174.33</x:v>
      </x:c>
      <x:c r="AE288" s="38" t="n">
        <x:v>157.2</x:v>
      </x:c>
      <x:c r="AF288" s="38" t="n">
        <x:v>4.8148</x:v>
      </x:c>
      <x:c r="AG288" s="38" t="n">
        <x:v>5.37</x:v>
      </x:c>
      <x:c r="AH288" s="38" t="n">
        <x:f>IF(E288="Fason",L288*S288,0)</x:f>
        <x:v>0</x:v>
      </x:c>
      <x:c r="AI288" s="38" t="n">
        <x:f>IF(E288="Kurum içi",AC288*AD288+AE288*AF288+AB288*12%,0)</x:f>
        <x:v>34888.2543633</x:v>
      </x:c>
      <x:c r="AJ288" s="38" t="n">
        <x:f>V288*AG288</x:f>
        <x:v>1794.6942891767999</x:v>
      </x:c>
      <x:c r="AK288" s="38" t="n">
        <x:f>AB288*2%</x:f>
        <x:v>5268.426000550001</x:v>
      </x:c>
      <x:c r="AL288" s="38" t="n">
        <x:f>AB288+AH288+AI288+AJ288+AK288</x:f>
        <x:v>305372.6746805268</x:v>
      </x:c>
      <x:c r="AM288" s="38" t="n">
        <x:f>AL288/V288</x:f>
        <x:v>913.7217814330955</x:v>
      </x:c>
      <x:c r="AN288" s="40" t="n">
        <x:f>(W288+X288)/AL288*100</x:f>
        <x:v>74.25326943454233</x:v>
      </x:c>
      <x:c r="AO288" s="28" t="str">
        <x:v>R01-R20; ilgili satırdaki bölgesel fiyat ve maliyet varsayımları</x:v>
      </x:c>
      <x:c r="AP288" s="28" t="str">
        <x:v>Girdi miktarları, alım fiyatı değişimi, fason bedeli ve parti sonucu simüle edilmiştir; işletme kaydı değildir.</x:v>
      </x:c>
    </x:row>
    <x:row r="289" ht="22" customHeight="1">
      <x:c r="A289" t="str">
        <x:v>SUC-0288</x:v>
      </x:c>
      <x:c r="B289" s="36" t="n">
        <x:v>46272</x:v>
      </x:c>
      <x:c r="C289" t="str">
        <x:v>Akdeniz</x:v>
      </x:c>
      <x:c r="D289" t="str">
        <x:v>MEB_STANDART</x:v>
      </x:c>
      <x:c r="E289" t="str">
        <x:v>Kurum içi</x:v>
      </x:c>
      <x:c r="F289" s="42" t="str">
        <x:v>SENTETİK/SİMÜLE — gerçek parti kaydı değildir</x:v>
      </x:c>
      <x:c r="G289" s="38" t="n">
        <x:v>84.703</x:v>
      </x:c>
      <x:c r="H289" s="38" t="n">
        <x:v>27.199</x:v>
      </x:c>
      <x:c r="I289" s="38" t="n">
        <x:v>5.716</x:v>
      </x:c>
      <x:c r="J289" s="38" t="n">
        <x:v>2.91</x:v>
      </x:c>
      <x:c r="K289" s="38" t="n">
        <x:v>1.164</x:v>
      </x:c>
      <x:c r="L289" s="38" t="n">
        <x:f>SUM(G289:K289)</x:f>
        <x:v>121.692</x:v>
      </x:c>
      <x:c r="M289" s="38" t="n">
        <x:v>163.645</x:v>
      </x:c>
      <x:c r="N289" s="38" t="n">
        <x:v>577.94</x:v>
      </x:c>
      <x:c r="O289" s="38" t="n">
        <x:v>444.56</x:v>
      </x:c>
      <x:c r="P289" s="38" t="n">
        <x:v>550</x:v>
      </x:c>
      <x:c r="Q289" s="38" t="n">
        <x:v>19.88</x:v>
      </x:c>
      <x:c r="R289" s="38" t="n">
        <x:v>43.7475</x:v>
      </x:c>
      <x:c r="S289" s="38" t="n">
        <x:v>120.2</x:v>
      </x:c>
      <x:c r="T289" s="40" t="n">
        <x:v>21.64</x:v>
      </x:c>
      <x:c r="U289" s="40" t="n">
        <x:v>0.54</x:v>
      </x:c>
      <x:c r="V289" s="38" t="n">
        <x:f>L289*(1-T289/100)*(1-U289/100)</x:f>
        <x:v>94.84291880351999</x:v>
      </x:c>
      <x:c r="W289" s="38" t="n">
        <x:f>G289*N289</x:f>
        <x:v>48953.251820000005</x:v>
      </x:c>
      <x:c r="X289" s="38" t="n">
        <x:f>H289*O289</x:f>
        <x:v>12091.587440000001</x:v>
      </x:c>
      <x:c r="Y289" s="38" t="n">
        <x:f>I289*P289</x:f>
        <x:v>3143.8</x:v>
      </x:c>
      <x:c r="Z289" s="38" t="n">
        <x:f>J289*Q289+K289*P289</x:f>
        <x:v>698.0508</x:v>
      </x:c>
      <x:c r="AA289" s="38" t="n">
        <x:f>M289*R289</x:f>
        <x:v>7159.0596375000005</x:v>
      </x:c>
      <x:c r="AB289" s="38" t="n">
        <x:f>SUM(W289:AA289)</x:f>
        <x:v>72045.74969750001</x:v>
      </x:c>
      <x:c r="AC289" s="38" t="n">
        <x:v>5.85</x:v>
      </x:c>
      <x:c r="AD289" s="38" t="n">
        <x:v>174.33</x:v>
      </x:c>
      <x:c r="AE289" s="38" t="n">
        <x:v>35.19</x:v>
      </x:c>
      <x:c r="AF289" s="38" t="n">
        <x:v>4.8148</x:v>
      </x:c>
      <x:c r="AG289" s="38" t="n">
        <x:v>5.63</x:v>
      </x:c>
      <x:c r="AH289" s="38" t="n">
        <x:f>IF(E289="Fason",L289*S289,0)</x:f>
        <x:v>0</x:v>
      </x:c>
      <x:c r="AI289" s="38" t="n">
        <x:f>IF(E289="Kurum içi",AC289*AD289+AE289*AF289+AB289*12%,0)</x:f>
        <x:v>9834.7532757</x:v>
      </x:c>
      <x:c r="AJ289" s="38" t="n">
        <x:f>V289*AG289</x:f>
        <x:v>533.9656328638175</x:v>
      </x:c>
      <x:c r="AK289" s="38" t="n">
        <x:f>AB289*2%</x:f>
        <x:v>1440.9149939500003</x:v>
      </x:c>
      <x:c r="AL289" s="38" t="n">
        <x:f>AB289+AH289+AI289+AJ289+AK289</x:f>
        <x:v>83855.38360001384</x:v>
      </x:c>
      <x:c r="AM289" s="38" t="n">
        <x:f>AL289/V289</x:f>
        <x:v>884.1501786098726</x:v>
      </x:c>
      <x:c r="AN289" s="40" t="n">
        <x:f>(W289+X289)/AL289*100</x:f>
        <x:v>72.7977580439927</x:v>
      </x:c>
      <x:c r="AO289" s="28" t="str">
        <x:v>R01-R20; ilgili satırdaki bölgesel fiyat ve maliyet varsayımları</x:v>
      </x:c>
      <x:c r="AP289" s="28" t="str">
        <x:v>Girdi miktarları, alım fiyatı değişimi, fason bedeli ve parti sonucu simüle edilmiştir; işletme kaydı değildir.</x:v>
      </x:c>
    </x:row>
    <x:row r="290" ht="22" customHeight="1">
      <x:c r="A290" t="str">
        <x:v>SUC-0289</x:v>
      </x:c>
      <x:c r="B290" s="36" t="n">
        <x:v>46281</x:v>
      </x:c>
      <x:c r="C290" t="str">
        <x:v>Güneydoğu Anadolu</x:v>
      </x:c>
      <x:c r="D290" t="str">
        <x:v>MEB_STANDART</x:v>
      </x:c>
      <x:c r="E290" t="str">
        <x:v>Kurum içi</x:v>
      </x:c>
      <x:c r="F290" s="42" t="str">
        <x:v>SENTETİK/SİMÜLE — gerçek parti kaydı değildir</x:v>
      </x:c>
      <x:c r="G290" s="38" t="n">
        <x:v>101.815</x:v>
      </x:c>
      <x:c r="H290" s="38" t="n">
        <x:v>32.504</x:v>
      </x:c>
      <x:c r="I290" s="38" t="n">
        <x:v>6.312</x:v>
      </x:c>
      <x:c r="J290" s="38" t="n">
        <x:v>3.609</x:v>
      </x:c>
      <x:c r="K290" s="38" t="n">
        <x:v>1.484</x:v>
      </x:c>
      <x:c r="L290" s="38" t="n">
        <x:f>SUM(G290:K290)</x:f>
        <x:v>145.72400000000002</x:v>
      </x:c>
      <x:c r="M290" s="38" t="n">
        <x:v>183.939</x:v>
      </x:c>
      <x:c r="N290" s="38" t="n">
        <x:v>569.64</x:v>
      </x:c>
      <x:c r="O290" s="38" t="n">
        <x:v>419.17</x:v>
      </x:c>
      <x:c r="P290" s="38" t="n">
        <x:v>550</x:v>
      </x:c>
      <x:c r="Q290" s="38" t="n">
        <x:v>19.88</x:v>
      </x:c>
      <x:c r="R290" s="38" t="n">
        <x:v>43.7475</x:v>
      </x:c>
      <x:c r="S290" s="38" t="n">
        <x:v>71.79</x:v>
      </x:c>
      <x:c r="T290" s="40" t="n">
        <x:v>16.02</x:v>
      </x:c>
      <x:c r="U290" s="40" t="n">
        <x:v>1.43</x:v>
      </x:c>
      <x:c r="V290" s="38" t="n">
        <x:f>L290*(1-T290/100)*(1-U290/100)</x:f>
        <x:v>120.62899528264002</x:v>
      </x:c>
      <x:c r="W290" s="38" t="n">
        <x:f>G290*N290</x:f>
        <x:v>57997.8966</x:v>
      </x:c>
      <x:c r="X290" s="38" t="n">
        <x:f>H290*O290</x:f>
        <x:v>13624.70168</x:v>
      </x:c>
      <x:c r="Y290" s="38" t="n">
        <x:f>I290*P290</x:f>
        <x:v>3471.6000000000004</x:v>
      </x:c>
      <x:c r="Z290" s="38" t="n">
        <x:f>J290*Q290+K290*P290</x:f>
        <x:v>887.9469200000001</x:v>
      </x:c>
      <x:c r="AA290" s="38" t="n">
        <x:f>M290*R290</x:f>
        <x:v>8046.8714025</x:v>
      </x:c>
      <x:c r="AB290" s="38" t="n">
        <x:f>SUM(W290:AA290)</x:f>
        <x:v>84029.0166025</x:v>
      </x:c>
      <x:c r="AC290" s="38" t="n">
        <x:v>5.44</x:v>
      </x:c>
      <x:c r="AD290" s="38" t="n">
        <x:v>174.33</x:v>
      </x:c>
      <x:c r="AE290" s="38" t="n">
        <x:v>42.05</x:v>
      </x:c>
      <x:c r="AF290" s="38" t="n">
        <x:v>4.8148</x:v>
      </x:c>
      <x:c r="AG290" s="38" t="n">
        <x:v>5.8</x:v>
      </x:c>
      <x:c r="AH290" s="38" t="n">
        <x:f>IF(E290="Fason",L290*S290,0)</x:f>
        <x:v>0</x:v>
      </x:c>
      <x:c r="AI290" s="38" t="n">
        <x:f>IF(E290="Kurum içi",AC290*AD290+AE290*AF290+AB290*12%,0)</x:f>
        <x:v>11234.299532300001</x:v>
      </x:c>
      <x:c r="AJ290" s="38" t="n">
        <x:f>V290*AG290</x:f>
        <x:v>699.6481726393121</x:v>
      </x:c>
      <x:c r="AK290" s="38" t="n">
        <x:f>AB290*2%</x:f>
        <x:v>1680.5803320500002</x:v>
      </x:c>
      <x:c r="AL290" s="38" t="n">
        <x:f>AB290+AH290+AI290+AJ290+AK290</x:f>
        <x:v>97643.54463948932</x:v>
      </x:c>
      <x:c r="AM290" s="38" t="n">
        <x:f>AL290/V290</x:f>
        <x:v>809.4533524937799</x:v>
      </x:c>
      <x:c r="AN290" s="40" t="n">
        <x:f>(W290+X290)/AL290*100</x:f>
        <x:v>73.35108382683002</x:v>
      </x:c>
      <x:c r="AO290" s="28" t="str">
        <x:v>R01-R20; ilgili satırdaki bölgesel fiyat ve maliyet varsayımları</x:v>
      </x:c>
      <x:c r="AP290" s="28" t="str">
        <x:v>Girdi miktarları, alım fiyatı değişimi, fason bedeli ve parti sonucu simüle edilmiştir; işletme kaydı değildir.</x:v>
      </x:c>
    </x:row>
    <x:row r="291" ht="22" customHeight="1">
      <x:c r="A291" t="str">
        <x:v>SUC-0290</x:v>
      </x:c>
      <x:c r="B291" s="36" t="n">
        <x:v>46315</x:v>
      </x:c>
      <x:c r="C291" t="str">
        <x:v>Marmara</x:v>
      </x:c>
      <x:c r="D291" t="str">
        <x:v>ERZURUM_CI</x:v>
      </x:c>
      <x:c r="E291" t="str">
        <x:v>Fason</x:v>
      </x:c>
      <x:c r="F291" s="42" t="str">
        <x:v>SENTETİK/SİMÜLE — gerçek parti kaydı değildir</x:v>
      </x:c>
      <x:c r="G291" s="38" t="n">
        <x:v>299.884</x:v>
      </x:c>
      <x:c r="H291" s="38" t="n">
        <x:v>53.972</x:v>
      </x:c>
      <x:c r="I291" s="38" t="n">
        <x:v>18.474</x:v>
      </x:c>
      <x:c r="J291" s="38" t="n">
        <x:v>5.231</x:v>
      </x:c>
      <x:c r="K291" s="38" t="n">
        <x:v>0.806</x:v>
      </x:c>
      <x:c r="L291" s="38" t="n">
        <x:f>SUM(G291:K291)</x:f>
        <x:v>378.36699999999996</x:v>
      </x:c>
      <x:c r="M291" s="38" t="n">
        <x:v>443.688</x:v>
      </x:c>
      <x:c r="N291" s="38" t="n">
        <x:v>603.78</x:v>
      </x:c>
      <x:c r="O291" s="38" t="n">
        <x:v>444.06</x:v>
      </x:c>
      <x:c r="P291" s="38" t="n">
        <x:v>669.9</x:v>
      </x:c>
      <x:c r="Q291" s="38" t="n">
        <x:v>19.88</x:v>
      </x:c>
      <x:c r="R291" s="38" t="n">
        <x:v>43.7475</x:v>
      </x:c>
      <x:c r="S291" s="38" t="n">
        <x:v>116.35</x:v>
      </x:c>
      <x:c r="T291" s="40" t="n">
        <x:v>27.36</x:v>
      </x:c>
      <x:c r="U291" s="40" t="n">
        <x:v>1.6</x:v>
      </x:c>
      <x:c r="V291" s="38" t="n">
        <x:f>L291*(1-T291/100)*(1-U291/100)</x:f>
        <x:v>270.4482561791999</x:v>
      </x:c>
      <x:c r="W291" s="38" t="n">
        <x:f>G291*N291</x:f>
        <x:v>181063.96152</x:v>
      </x:c>
      <x:c r="X291" s="38" t="n">
        <x:f>H291*O291</x:f>
        <x:v>23966.80632</x:v>
      </x:c>
      <x:c r="Y291" s="38" t="n">
        <x:f>I291*P291</x:f>
        <x:v>12375.7326</x:v>
      </x:c>
      <x:c r="Z291" s="38" t="n">
        <x:f>J291*Q291+K291*P291</x:f>
        <x:v>643.9316799999999</x:v>
      </x:c>
      <x:c r="AA291" s="38" t="n">
        <x:f>M291*R291</x:f>
        <x:v>19410.24078</x:v>
      </x:c>
      <x:c r="AB291" s="38" t="n">
        <x:f>SUM(W291:AA291)</x:f>
        <x:v>237460.6729</x:v>
      </x:c>
      <x:c r="AC291" s="38" t="n">
        <x:v>21.28</x:v>
      </x:c>
      <x:c r="AD291" s="38" t="n">
        <x:v>174.33</x:v>
      </x:c>
      <x:c r="AE291" s="38" t="n">
        <x:v>111.19</x:v>
      </x:c>
      <x:c r="AF291" s="38" t="n">
        <x:v>4.8148</x:v>
      </x:c>
      <x:c r="AG291" s="38" t="n">
        <x:v>5.41</x:v>
      </x:c>
      <x:c r="AH291" s="38" t="n">
        <x:f>IF(E291="Fason",L291*S291,0)</x:f>
        <x:v>44023.00044999999</x:v>
      </x:c>
      <x:c r="AI291" s="38" t="n">
        <x:f>IF(E291="Kurum içi",AC291*AD291+AE291*AF291+AB291*12%,0)</x:f>
        <x:v>0</x:v>
      </x:c>
      <x:c r="AJ291" s="38" t="n">
        <x:f>V291*AG291</x:f>
        <x:v>1463.1250659294715</x:v>
      </x:c>
      <x:c r="AK291" s="38" t="n">
        <x:f>AB291*2%</x:f>
        <x:v>4749.213458</x:v>
      </x:c>
      <x:c r="AL291" s="38" t="n">
        <x:f>AB291+AH291+AI291+AJ291+AK291</x:f>
        <x:v>287696.01187392947</x:v>
      </x:c>
      <x:c r="AM291" s="38" t="n">
        <x:f>AL291/V291</x:f>
        <x:v>1063.774697379824</x:v>
      </x:c>
      <x:c r="AN291" s="40" t="n">
        <x:f>(W291+X291)/AL291*100</x:f>
        <x:v>71.26646160456545</x:v>
      </x:c>
      <x:c r="AO291" s="28" t="str">
        <x:v>R01-R20; ilgili satırdaki bölgesel fiyat ve maliyet varsayımları</x:v>
      </x:c>
      <x:c r="AP291" s="28" t="str">
        <x:v>Girdi miktarları, alım fiyatı değişimi, fason bedeli ve parti sonucu simüle edilmiştir; işletme kaydı değildir.</x:v>
      </x:c>
    </x:row>
    <x:row r="292" ht="22" customHeight="1">
      <x:c r="A292" t="str">
        <x:v>SUC-0291</x:v>
      </x:c>
      <x:c r="B292" s="36" t="n">
        <x:v>46315</x:v>
      </x:c>
      <x:c r="C292" t="str">
        <x:v>Doğu Anadolu</x:v>
      </x:c>
      <x:c r="D292" t="str">
        <x:v>MEB_STANDART</x:v>
      </x:c>
      <x:c r="E292" t="str">
        <x:v>Kurum içi</x:v>
      </x:c>
      <x:c r="F292" s="42" t="str">
        <x:v>SENTETİK/SİMÜLE — gerçek parti kaydı değildir</x:v>
      </x:c>
      <x:c r="G292" s="38" t="n">
        <x:v>229.987</x:v>
      </x:c>
      <x:c r="H292" s="38" t="n">
        <x:v>69.047</x:v>
      </x:c>
      <x:c r="I292" s="38" t="n">
        <x:v>13.811</x:v>
      </x:c>
      <x:c r="J292" s="38" t="n">
        <x:v>8.082</x:v>
      </x:c>
      <x:c r="K292" s="38" t="n">
        <x:v>2.893</x:v>
      </x:c>
      <x:c r="L292" s="38" t="n">
        <x:f>SUM(G292:K292)</x:f>
        <x:v>323.81999999999994</x:v>
      </x:c>
      <x:c r="M292" s="38" t="n">
        <x:v>378.981</x:v>
      </x:c>
      <x:c r="N292" s="38" t="n">
        <x:v>592.91</x:v>
      </x:c>
      <x:c r="O292" s="38" t="n">
        <x:v>414.09</x:v>
      </x:c>
      <x:c r="P292" s="38" t="n">
        <x:v>550</x:v>
      </x:c>
      <x:c r="Q292" s="38" t="n">
        <x:v>19.88</x:v>
      </x:c>
      <x:c r="R292" s="38" t="n">
        <x:v>43.7475</x:v>
      </x:c>
      <x:c r="S292" s="38" t="n">
        <x:v>68.04</x:v>
      </x:c>
      <x:c r="T292" s="40" t="n">
        <x:v>17.9</x:v>
      </x:c>
      <x:c r="U292" s="40" t="n">
        <x:v>1.72</x:v>
      </x:c>
      <x:c r="V292" s="38" t="n">
        <x:f>L292*(1-T292/100)*(1-U292/100)</x:f>
        <x:v>261.28349301599997</x:v>
      </x:c>
      <x:c r="W292" s="38" t="n">
        <x:f>G292*N292</x:f>
        <x:v>136361.59217</x:v>
      </x:c>
      <x:c r="X292" s="38" t="n">
        <x:f>H292*O292</x:f>
        <x:v>28591.672229999996</x:v>
      </x:c>
      <x:c r="Y292" s="38" t="n">
        <x:f>I292*P292</x:f>
        <x:v>7596.05</x:v>
      </x:c>
      <x:c r="Z292" s="38" t="n">
        <x:f>J292*Q292+K292*P292</x:f>
        <x:v>1751.8201599999998</x:v>
      </x:c>
      <x:c r="AA292" s="38" t="n">
        <x:f>M292*R292</x:f>
        <x:v>16579.4712975</x:v>
      </x:c>
      <x:c r="AB292" s="38" t="n">
        <x:f>SUM(W292:AA292)</x:f>
        <x:v>190880.6058575</x:v>
      </x:c>
      <x:c r="AC292" s="38" t="n">
        <x:v>21.31</x:v>
      </x:c>
      <x:c r="AD292" s="38" t="n">
        <x:v>174.33</x:v>
      </x:c>
      <x:c r="AE292" s="38" t="n">
        <x:v>85.18</x:v>
      </x:c>
      <x:c r="AF292" s="38" t="n">
        <x:v>4.8148</x:v>
      </x:c>
      <x:c r="AG292" s="38" t="n">
        <x:v>5.8</x:v>
      </x:c>
      <x:c r="AH292" s="38" t="n">
        <x:f>IF(E292="Fason",L292*S292,0)</x:f>
        <x:v>0</x:v>
      </x:c>
      <x:c r="AI292" s="38" t="n">
        <x:f>IF(E292="Kurum içi",AC292*AD292+AE292*AF292+AB292*12%,0)</x:f>
        <x:v>27030.7696669</x:v>
      </x:c>
      <x:c r="AJ292" s="38" t="n">
        <x:f>V292*AG292</x:f>
        <x:v>1515.4442594927998</x:v>
      </x:c>
      <x:c r="AK292" s="38" t="n">
        <x:f>AB292*2%</x:f>
        <x:v>3817.61211715</x:v>
      </x:c>
      <x:c r="AL292" s="38" t="n">
        <x:f>AB292+AH292+AI292+AJ292+AK292</x:f>
        <x:v>223244.4319010428</x:v>
      </x:c>
      <x:c r="AM292" s="38" t="n">
        <x:f>AL292/V292</x:f>
        <x:v>854.4146027907403</x:v>
      </x:c>
      <x:c r="AN292" s="40" t="n">
        <x:f>(W292+X292)/AL292*100</x:f>
        <x:v>73.88908336720289</x:v>
      </x:c>
      <x:c r="AO292" s="28" t="str">
        <x:v>R01-R20; ilgili satırdaki bölgesel fiyat ve maliyet varsayımları</x:v>
      </x:c>
      <x:c r="AP292" s="28" t="str">
        <x:v>Girdi miktarları, alım fiyatı değişimi, fason bedeli ve parti sonucu simüle edilmiştir; işletme kaydı değildir.</x:v>
      </x:c>
    </x:row>
    <x:row r="293" ht="22" customHeight="1">
      <x:c r="A293" t="str">
        <x:v>SUC-0292</x:v>
      </x:c>
      <x:c r="B293" s="36" t="n">
        <x:v>46289</x:v>
      </x:c>
      <x:c r="C293" t="str">
        <x:v>Güneydoğu Anadolu</x:v>
      </x:c>
      <x:c r="D293" t="str">
        <x:v>ERZURUM_CI</x:v>
      </x:c>
      <x:c r="E293" t="str">
        <x:v>Kurum içi</x:v>
      </x:c>
      <x:c r="F293" s="42" t="str">
        <x:v>SENTETİK/SİMÜLE — gerçek parti kaydı değildir</x:v>
      </x:c>
      <x:c r="G293" s="38" t="n">
        <x:v>363.942</x:v>
      </x:c>
      <x:c r="H293" s="38" t="n">
        <x:v>65.828</x:v>
      </x:c>
      <x:c r="I293" s="38" t="n">
        <x:v>21.931</x:v>
      </x:c>
      <x:c r="J293" s="38" t="n">
        <x:v>7.904</x:v>
      </x:c>
      <x:c r="K293" s="38" t="n">
        <x:v>0.46</x:v>
      </x:c>
      <x:c r="L293" s="38" t="n">
        <x:f>SUM(G293:K293)</x:f>
        <x:v>460.06499999999994</x:v>
      </x:c>
      <x:c r="M293" s="38" t="n">
        <x:v>614.624</x:v>
      </x:c>
      <x:c r="N293" s="38" t="n">
        <x:v>591.65</x:v>
      </x:c>
      <x:c r="O293" s="38" t="n">
        <x:v>471.83</x:v>
      </x:c>
      <x:c r="P293" s="38" t="n">
        <x:v>550</x:v>
      </x:c>
      <x:c r="Q293" s="38" t="n">
        <x:v>19.88</x:v>
      </x:c>
      <x:c r="R293" s="38" t="n">
        <x:v>43.7475</x:v>
      </x:c>
      <x:c r="S293" s="38" t="n">
        <x:v>89.21</x:v>
      </x:c>
      <x:c r="T293" s="40" t="n">
        <x:v>25.03</x:v>
      </x:c>
      <x:c r="U293" s="40" t="n">
        <x:v>1.23</x:v>
      </x:c>
      <x:c r="V293" s="38" t="n">
        <x:f>L293*(1-T293/100)*(1-U293/100)</x:f>
        <x:v>340.66832851485</x:v>
      </x:c>
      <x:c r="W293" s="38" t="n">
        <x:f>G293*N293</x:f>
        <x:v>215326.2843</x:v>
      </x:c>
      <x:c r="X293" s="38" t="n">
        <x:f>H293*O293</x:f>
        <x:v>31059.62524</x:v>
      </x:c>
      <x:c r="Y293" s="38" t="n">
        <x:f>I293*P293</x:f>
        <x:v>12062.050000000001</x:v>
      </x:c>
      <x:c r="Z293" s="38" t="n">
        <x:f>J293*Q293+K293*P293</x:f>
        <x:v>410.13152</x:v>
      </x:c>
      <x:c r="AA293" s="38" t="n">
        <x:f>M293*R293</x:f>
        <x:v>26888.263440000002</x:v>
      </x:c>
      <x:c r="AB293" s="38" t="n">
        <x:f>SUM(W293:AA293)</x:f>
        <x:v>285746.35449999996</x:v>
      </x:c>
      <x:c r="AC293" s="38" t="n">
        <x:v>23.15</x:v>
      </x:c>
      <x:c r="AD293" s="38" t="n">
        <x:v>174.33</x:v>
      </x:c>
      <x:c r="AE293" s="38" t="n">
        <x:v>179.13</x:v>
      </x:c>
      <x:c r="AF293" s="38" t="n">
        <x:v>4.8148</x:v>
      </x:c>
      <x:c r="AG293" s="38" t="n">
        <x:v>5.31</x:v>
      </x:c>
      <x:c r="AH293" s="38" t="n">
        <x:f>IF(E293="Fason",L293*S293,0)</x:f>
        <x:v>0</x:v>
      </x:c>
      <x:c r="AI293" s="38" t="n">
        <x:f>IF(E293="Kurum içi",AC293*AD293+AE293*AF293+AB293*12%,0)</x:f>
        <x:v>39187.77716399999</x:v>
      </x:c>
      <x:c r="AJ293" s="38" t="n">
        <x:f>V293*AG293</x:f>
        <x:v>1808.9488244138533</x:v>
      </x:c>
      <x:c r="AK293" s="38" t="n">
        <x:f>AB293*2%</x:f>
        <x:v>5714.927089999999</x:v>
      </x:c>
      <x:c r="AL293" s="38" t="n">
        <x:f>AB293+AH293+AI293+AJ293+AK293</x:f>
        <x:v>332458.0075784138</x:v>
      </x:c>
      <x:c r="AM293" s="38" t="n">
        <x:f>AL293/V293</x:f>
        <x:v>975.8993711795011</x:v>
      </x:c>
      <x:c r="AN293" s="40" t="n">
        <x:f>(W293+X293)/AL293*100</x:f>
        <x:v>74.11038504821911</x:v>
      </x:c>
      <x:c r="AO293" s="28" t="str">
        <x:v>R01-R20; ilgili satırdaki bölgesel fiyat ve maliyet varsayımları</x:v>
      </x:c>
      <x:c r="AP293" s="28" t="str">
        <x:v>Girdi miktarları, alım fiyatı değişimi, fason bedeli ve parti sonucu simüle edilmiştir; işletme kaydı değildir.</x:v>
      </x:c>
    </x:row>
    <x:row r="294" ht="22" customHeight="1">
      <x:c r="A294" t="str">
        <x:v>SUC-0293</x:v>
      </x:c>
      <x:c r="B294" s="36" t="n">
        <x:v>46295</x:v>
      </x:c>
      <x:c r="C294" t="str">
        <x:v>İç Anadolu</x:v>
      </x:c>
      <x:c r="D294" t="str">
        <x:v>MEB_STANDART</x:v>
      </x:c>
      <x:c r="E294" t="str">
        <x:v>Fason</x:v>
      </x:c>
      <x:c r="F294" s="42" t="str">
        <x:v>SENTETİK/SİMÜLE — gerçek parti kaydı değildir</x:v>
      </x:c>
      <x:c r="G294" s="38" t="n">
        <x:v>131.452</x:v>
      </x:c>
      <x:c r="H294" s="38" t="n">
        <x:v>43.794</x:v>
      </x:c>
      <x:c r="I294" s="38" t="n">
        <x:v>8.944</x:v>
      </x:c>
      <x:c r="J294" s="38" t="n">
        <x:v>4.819</x:v>
      </x:c>
      <x:c r="K294" s="38" t="n">
        <x:v>1.81</x:v>
      </x:c>
      <x:c r="L294" s="38" t="n">
        <x:f>SUM(G294:K294)</x:f>
        <x:v>190.81899999999996</x:v>
      </x:c>
      <x:c r="M294" s="38" t="n">
        <x:v>231.639</x:v>
      </x:c>
      <x:c r="N294" s="38" t="n">
        <x:v>587.72</x:v>
      </x:c>
      <x:c r="O294" s="38" t="n">
        <x:v>425.55</x:v>
      </x:c>
      <x:c r="P294" s="38" t="n">
        <x:v>669.9</x:v>
      </x:c>
      <x:c r="Q294" s="38" t="n">
        <x:v>19.88</x:v>
      </x:c>
      <x:c r="R294" s="38" t="n">
        <x:v>43.7475</x:v>
      </x:c>
      <x:c r="S294" s="38" t="n">
        <x:v>109.84</x:v>
      </x:c>
      <x:c r="T294" s="40" t="n">
        <x:v>17.74</x:v>
      </x:c>
      <x:c r="U294" s="40" t="n">
        <x:v>0.59</x:v>
      </x:c>
      <x:c r="V294" s="38" t="n">
        <x:f>L294*(1-T294/100)*(1-U294/100)</x:f>
        <x:v>156.04159991453997</x:v>
      </x:c>
      <x:c r="W294" s="38" t="n">
        <x:f>G294*N294</x:f>
        <x:v>77256.96944</x:v>
      </x:c>
      <x:c r="X294" s="38" t="n">
        <x:f>H294*O294</x:f>
        <x:v>18636.5367</x:v>
      </x:c>
      <x:c r="Y294" s="38" t="n">
        <x:f>I294*P294</x:f>
        <x:v>5991.5856</x:v>
      </x:c>
      <x:c r="Z294" s="38" t="n">
        <x:f>J294*Q294+K294*P294</x:f>
        <x:v>1308.32072</x:v>
      </x:c>
      <x:c r="AA294" s="38" t="n">
        <x:f>M294*R294</x:f>
        <x:v>10133.627152500001</x:v>
      </x:c>
      <x:c r="AB294" s="38" t="n">
        <x:f>SUM(W294:AA294)</x:f>
        <x:v>113327.03961250001</x:v>
      </x:c>
      <x:c r="AC294" s="38" t="n">
        <x:v>7.3</x:v>
      </x:c>
      <x:c r="AD294" s="38" t="n">
        <x:v>174.33</x:v>
      </x:c>
      <x:c r="AE294" s="38" t="n">
        <x:v>84.89</x:v>
      </x:c>
      <x:c r="AF294" s="38" t="n">
        <x:v>4.8148</x:v>
      </x:c>
      <x:c r="AG294" s="38" t="n">
        <x:v>5.71</x:v>
      </x:c>
      <x:c r="AH294" s="38" t="n">
        <x:f>IF(E294="Fason",L294*S294,0)</x:f>
        <x:v>20959.558959999995</x:v>
      </x:c>
      <x:c r="AI294" s="38" t="n">
        <x:f>IF(E294="Kurum içi",AC294*AD294+AE294*AF294+AB294*12%,0)</x:f>
        <x:v>0</x:v>
      </x:c>
      <x:c r="AJ294" s="38" t="n">
        <x:f>V294*AG294</x:f>
        <x:v>890.9975355120232</x:v>
      </x:c>
      <x:c r="AK294" s="38" t="n">
        <x:f>AB294*2%</x:f>
        <x:v>2266.5407922500003</x:v>
      </x:c>
      <x:c r="AL294" s="38" t="n">
        <x:f>AB294+AH294+AI294+AJ294+AK294</x:f>
        <x:v>137444.136900262</x:v>
      </x:c>
      <x:c r="AM294" s="38" t="n">
        <x:f>AL294/V294</x:f>
        <x:v>880.8172754927959</x:v>
      </x:c>
      <x:c r="AN294" s="40" t="n">
        <x:f>(W294+X294)/AL294*100</x:f>
        <x:v>69.76907731581615</x:v>
      </x:c>
      <x:c r="AO294" s="28" t="str">
        <x:v>R01-R20; ilgili satırdaki bölgesel fiyat ve maliyet varsayımları</x:v>
      </x:c>
      <x:c r="AP294" s="28" t="str">
        <x:v>Girdi miktarları, alım fiyatı değişimi, fason bedeli ve parti sonucu simüle edilmiştir; işletme kaydı değildir.</x:v>
      </x:c>
    </x:row>
    <x:row r="295" ht="22" customHeight="1">
      <x:c r="A295" t="str">
        <x:v>SUC-0294</x:v>
      </x:c>
      <x:c r="B295" s="36" t="n">
        <x:v>46305</x:v>
      </x:c>
      <x:c r="C295" t="str">
        <x:v>Karadeniz</x:v>
      </x:c>
      <x:c r="D295" t="str">
        <x:v>ERZURUM_CI</x:v>
      </x:c>
      <x:c r="E295" t="str">
        <x:v>Kurum içi</x:v>
      </x:c>
      <x:c r="F295" s="42" t="str">
        <x:v>SENTETİK/SİMÜLE — gerçek parti kaydı değildir</x:v>
      </x:c>
      <x:c r="G295" s="38" t="n">
        <x:v>310.106</x:v>
      </x:c>
      <x:c r="H295" s="38" t="n">
        <x:v>56.912</x:v>
      </x:c>
      <x:c r="I295" s="38" t="n">
        <x:v>18.706</x:v>
      </x:c>
      <x:c r="J295" s="38" t="n">
        <x:v>5.846</x:v>
      </x:c>
      <x:c r="K295" s="38" t="n">
        <x:v>0.417</x:v>
      </x:c>
      <x:c r="L295" s="38" t="n">
        <x:f>SUM(G295:K295)</x:f>
        <x:v>391.98699999999997</x:v>
      </x:c>
      <x:c r="M295" s="38" t="n">
        <x:v>489.682</x:v>
      </x:c>
      <x:c r="N295" s="38" t="n">
        <x:v>590.69</x:v>
      </x:c>
      <x:c r="O295" s="38" t="n">
        <x:v>436.11</x:v>
      </x:c>
      <x:c r="P295" s="38" t="n">
        <x:v>400</x:v>
      </x:c>
      <x:c r="Q295" s="38" t="n">
        <x:v>19.88</x:v>
      </x:c>
      <x:c r="R295" s="38" t="n">
        <x:v>43.7475</x:v>
      </x:c>
      <x:c r="S295" s="38" t="n">
        <x:v>80.37</x:v>
      </x:c>
      <x:c r="T295" s="40" t="n">
        <x:v>25.68</x:v>
      </x:c>
      <x:c r="U295" s="40" t="n">
        <x:v>1.14</x:v>
      </x:c>
      <x:c r="V295" s="38" t="n">
        <x:f>L295*(1-T295/100)*(1-U295/100)</x:f>
        <x:v>288.00363638224</x:v>
      </x:c>
      <x:c r="W295" s="38" t="n">
        <x:f>G295*N295</x:f>
        <x:v>183176.51314000002</x:v>
      </x:c>
      <x:c r="X295" s="38" t="n">
        <x:f>H295*O295</x:f>
        <x:v>24819.89232</x:v>
      </x:c>
      <x:c r="Y295" s="38" t="n">
        <x:f>I295*P295</x:f>
        <x:v>7482.4</x:v>
      </x:c>
      <x:c r="Z295" s="38" t="n">
        <x:f>J295*Q295+K295*P295</x:f>
        <x:v>283.01847999999995</x:v>
      </x:c>
      <x:c r="AA295" s="38" t="n">
        <x:f>M295*R295</x:f>
        <x:v>21422.363295000003</x:v>
      </x:c>
      <x:c r="AB295" s="38" t="n">
        <x:f>SUM(W295:AA295)</x:f>
        <x:v>237184.18723500002</x:v>
      </x:c>
      <x:c r="AC295" s="38" t="n">
        <x:v>16.83</x:v>
      </x:c>
      <x:c r="AD295" s="38" t="n">
        <x:v>174.33</x:v>
      </x:c>
      <x:c r="AE295" s="38" t="n">
        <x:v>104.77</x:v>
      </x:c>
      <x:c r="AF295" s="38" t="n">
        <x:v>4.8148</x:v>
      </x:c>
      <x:c r="AG295" s="38" t="n">
        <x:v>5.84</x:v>
      </x:c>
      <x:c r="AH295" s="38" t="n">
        <x:f>IF(E295="Fason",L295*S295,0)</x:f>
        <x:v>0</x:v>
      </x:c>
      <x:c r="AI295" s="38" t="n">
        <x:f>IF(E295="Kurum içi",AC295*AD295+AE295*AF295+AB295*12%,0)</x:f>
        <x:v>31900.5229642</x:v>
      </x:c>
      <x:c r="AJ295" s="38" t="n">
        <x:f>V295*AG295</x:f>
        <x:v>1681.9412364722816</x:v>
      </x:c>
      <x:c r="AK295" s="38" t="n">
        <x:f>AB295*2%</x:f>
        <x:v>4743.683744700001</x:v>
      </x:c>
      <x:c r="AL295" s="38" t="n">
        <x:f>AB295+AH295+AI295+AJ295+AK295</x:f>
        <x:v>275510.3351803723</x:v>
      </x:c>
      <x:c r="AM295" s="38" t="n">
        <x:f>AL295/V295</x:f>
        <x:v>956.6210296550335</x:v>
      </x:c>
      <x:c r="AN295" s="40" t="n">
        <x:f>(W295+X295)/AL295*100</x:f>
        <x:v>75.49495568789753</x:v>
      </x:c>
      <x:c r="AO295" s="28" t="str">
        <x:v>R01-R20; ilgili satırdaki bölgesel fiyat ve maliyet varsayımları</x:v>
      </x:c>
      <x:c r="AP295" s="28" t="str">
        <x:v>Girdi miktarları, alım fiyatı değişimi, fason bedeli ve parti sonucu simüle edilmiştir; işletme kaydı değildir.</x:v>
      </x:c>
    </x:row>
    <x:row r="296" ht="22" customHeight="1">
      <x:c r="A296" t="str">
        <x:v>SUC-0295</x:v>
      </x:c>
      <x:c r="B296" s="36" t="n">
        <x:v>46277</x:v>
      </x:c>
      <x:c r="C296" t="str">
        <x:v>Güneydoğu Anadolu</x:v>
      </x:c>
      <x:c r="D296" t="str">
        <x:v>ERZURUM_CI</x:v>
      </x:c>
      <x:c r="E296" t="str">
        <x:v>Kurum içi</x:v>
      </x:c>
      <x:c r="F296" s="42" t="str">
        <x:v>SENTETİK/SİMÜLE — gerçek parti kaydı değildir</x:v>
      </x:c>
      <x:c r="G296" s="38" t="n">
        <x:v>208.396</x:v>
      </x:c>
      <x:c r="H296" s="38" t="n">
        <x:v>37.543</x:v>
      </x:c>
      <x:c r="I296" s="38" t="n">
        <x:v>11.666</x:v>
      </x:c>
      <x:c r="J296" s="38" t="n">
        <x:v>4.632</x:v>
      </x:c>
      <x:c r="K296" s="38" t="n">
        <x:v>0.376</x:v>
      </x:c>
      <x:c r="L296" s="38" t="n">
        <x:f>SUM(G296:K296)</x:f>
        <x:v>262.613</x:v>
      </x:c>
      <x:c r="M296" s="38" t="n">
        <x:v>351.729</x:v>
      </x:c>
      <x:c r="N296" s="38" t="n">
        <x:v>586.08</x:v>
      </x:c>
      <x:c r="O296" s="38" t="n">
        <x:v>452.82</x:v>
      </x:c>
      <x:c r="P296" s="38" t="n">
        <x:v>550</x:v>
      </x:c>
      <x:c r="Q296" s="38" t="n">
        <x:v>19.88</x:v>
      </x:c>
      <x:c r="R296" s="38" t="n">
        <x:v>43.7475</x:v>
      </x:c>
      <x:c r="S296" s="38" t="n">
        <x:v>114.79</x:v>
      </x:c>
      <x:c r="T296" s="40" t="n">
        <x:v>27.43</x:v>
      </x:c>
      <x:c r="U296" s="40" t="n">
        <x:v>0.41</x:v>
      </x:c>
      <x:c r="V296" s="38" t="n">
        <x:f>L296*(1-T296/100)*(1-U296/100)</x:f>
        <x:v>189.79688325819</x:v>
      </x:c>
      <x:c r="W296" s="38" t="n">
        <x:f>G296*N296</x:f>
        <x:v>122136.72768</x:v>
      </x:c>
      <x:c r="X296" s="38" t="n">
        <x:f>H296*O296</x:f>
        <x:v>17000.22126</x:v>
      </x:c>
      <x:c r="Y296" s="38" t="n">
        <x:f>I296*P296</x:f>
        <x:v>6416.3</x:v>
      </x:c>
      <x:c r="Z296" s="38" t="n">
        <x:f>J296*Q296+K296*P296</x:f>
        <x:v>298.88416</x:v>
      </x:c>
      <x:c r="AA296" s="38" t="n">
        <x:f>M296*R296</x:f>
        <x:v>15387.2644275</x:v>
      </x:c>
      <x:c r="AB296" s="38" t="n">
        <x:f>SUM(W296:AA296)</x:f>
        <x:v>161239.39752749997</x:v>
      </x:c>
      <x:c r="AC296" s="38" t="n">
        <x:v>18.07</x:v>
      </x:c>
      <x:c r="AD296" s="38" t="n">
        <x:v>174.33</x:v>
      </x:c>
      <x:c r="AE296" s="38" t="n">
        <x:v>108.56</x:v>
      </x:c>
      <x:c r="AF296" s="38" t="n">
        <x:v>4.8148</x:v>
      </x:c>
      <x:c r="AG296" s="38" t="n">
        <x:v>5.63</x:v>
      </x:c>
      <x:c r="AH296" s="38" t="n">
        <x:f>IF(E296="Fason",L296*S296,0)</x:f>
        <x:v>0</x:v>
      </x:c>
      <x:c r="AI296" s="38" t="n">
        <x:f>IF(E296="Kurum içi",AC296*AD296+AE296*AF296+AB296*12%,0)</x:f>
        <x:v>23021.565491299996</x:v>
      </x:c>
      <x:c r="AJ296" s="38" t="n">
        <x:f>V296*AG296</x:f>
        <x:v>1068.5564527436097</x:v>
      </x:c>
      <x:c r="AK296" s="38" t="n">
        <x:f>AB296*2%</x:f>
        <x:v>3224.7879505499996</x:v>
      </x:c>
      <x:c r="AL296" s="38" t="n">
        <x:f>AB296+AH296+AI296+AJ296+AK296</x:f>
        <x:v>188554.30742209358</x:v>
      </x:c>
      <x:c r="AM296" s="38" t="n">
        <x:f>AL296/V296</x:f>
        <x:v>993.4531283403317</x:v>
      </x:c>
      <x:c r="AN296" s="40" t="n">
        <x:f>(W296+X296)/AL296*100</x:f>
        <x:v>73.79144546856257</x:v>
      </x:c>
      <x:c r="AO296" s="28" t="str">
        <x:v>R01-R20; ilgili satırdaki bölgesel fiyat ve maliyet varsayımları</x:v>
      </x:c>
      <x:c r="AP296" s="28" t="str">
        <x:v>Girdi miktarları, alım fiyatı değişimi, fason bedeli ve parti sonucu simüle edilmiştir; işletme kaydı değildir.</x:v>
      </x:c>
    </x:row>
    <x:row r="297" ht="22" customHeight="1">
      <x:c r="A297" t="str">
        <x:v>SUC-0296</x:v>
      </x:c>
      <x:c r="B297" s="36" t="n">
        <x:v>46266</x:v>
      </x:c>
      <x:c r="C297" t="str">
        <x:v>Ege</x:v>
      </x:c>
      <x:c r="D297" t="str">
        <x:v>MEB_STANDART</x:v>
      </x:c>
      <x:c r="E297" t="str">
        <x:v>Fason</x:v>
      </x:c>
      <x:c r="F297" s="42" t="str">
        <x:v>SENTETİK/SİMÜLE — gerçek parti kaydı değildir</x:v>
      </x:c>
      <x:c r="G297" s="38" t="n">
        <x:v>127.914</x:v>
      </x:c>
      <x:c r="H297" s="38" t="n">
        <x:v>40.029</x:v>
      </x:c>
      <x:c r="I297" s="38" t="n">
        <x:v>8.767</x:v>
      </x:c>
      <x:c r="J297" s="38" t="n">
        <x:v>4.734</x:v>
      </x:c>
      <x:c r="K297" s="38" t="n">
        <x:v>1.604</x:v>
      </x:c>
      <x:c r="L297" s="38" t="n">
        <x:f>SUM(G297:K297)</x:f>
        <x:v>183.04800000000003</x:v>
      </x:c>
      <x:c r="M297" s="38" t="n">
        <x:v>230.368</x:v>
      </x:c>
      <x:c r="N297" s="38" t="n">
        <x:v>590.51</x:v>
      </x:c>
      <x:c r="O297" s="38" t="n">
        <x:v>465.49</x:v>
      </x:c>
      <x:c r="P297" s="38" t="n">
        <x:v>669.9</x:v>
      </x:c>
      <x:c r="Q297" s="38" t="n">
        <x:v>19.88</x:v>
      </x:c>
      <x:c r="R297" s="38" t="n">
        <x:v>43.7475</x:v>
      </x:c>
      <x:c r="S297" s="38" t="n">
        <x:v>77.71</x:v>
      </x:c>
      <x:c r="T297" s="40" t="n">
        <x:v>23.47</x:v>
      </x:c>
      <x:c r="U297" s="40" t="n">
        <x:v>1.01</x:v>
      </x:c>
      <x:c r="V297" s="38" t="n">
        <x:f>L297*(1-T297/100)*(1-U297/100)</x:f>
        <x:v>138.67175939256</x:v>
      </x:c>
      <x:c r="W297" s="38" t="n">
        <x:f>G297*N297</x:f>
        <x:v>75534.49614</x:v>
      </x:c>
      <x:c r="X297" s="38" t="n">
        <x:f>H297*O297</x:f>
        <x:v>18633.09921</x:v>
      </x:c>
      <x:c r="Y297" s="38" t="n">
        <x:f>I297*P297</x:f>
        <x:v>5873.0133</x:v>
      </x:c>
      <x:c r="Z297" s="38" t="n">
        <x:f>J297*Q297+K297*P297</x:f>
        <x:v>1168.6315200000001</x:v>
      </x:c>
      <x:c r="AA297" s="38" t="n">
        <x:f>M297*R297</x:f>
        <x:v>10078.024080000001</x:v>
      </x:c>
      <x:c r="AB297" s="38" t="n">
        <x:f>SUM(W297:AA297)</x:f>
        <x:v>111287.26425000001</x:v>
      </x:c>
      <x:c r="AC297" s="38" t="n">
        <x:v>9.25</x:v>
      </x:c>
      <x:c r="AD297" s="38" t="n">
        <x:v>174.33</x:v>
      </x:c>
      <x:c r="AE297" s="38" t="n">
        <x:v>85.89</x:v>
      </x:c>
      <x:c r="AF297" s="38" t="n">
        <x:v>4.8148</x:v>
      </x:c>
      <x:c r="AG297" s="38" t="n">
        <x:v>5.34</x:v>
      </x:c>
      <x:c r="AH297" s="38" t="n">
        <x:f>IF(E297="Fason",L297*S297,0)</x:f>
        <x:v>14224.660080000001</x:v>
      </x:c>
      <x:c r="AI297" s="38" t="n">
        <x:f>IF(E297="Kurum içi",AC297*AD297+AE297*AF297+AB297*12%,0)</x:f>
        <x:v>0</x:v>
      </x:c>
      <x:c r="AJ297" s="38" t="n">
        <x:f>V297*AG297</x:f>
        <x:v>740.5071951562704</x:v>
      </x:c>
      <x:c r="AK297" s="38" t="n">
        <x:f>AB297*2%</x:f>
        <x:v>2225.7452850000004</x:v>
      </x:c>
      <x:c r="AL297" s="38" t="n">
        <x:f>AB297+AH297+AI297+AJ297+AK297</x:f>
        <x:v>128478.17681015628</x:v>
      </x:c>
      <x:c r="AM297" s="38" t="n">
        <x:f>AL297/V297</x:f>
        <x:v>926.4912868556953</x:v>
      </x:c>
      <x:c r="AN297" s="40" t="n">
        <x:f>(W297+X297)/AL297*100</x:f>
        <x:v>73.29462301535088</x:v>
      </x:c>
      <x:c r="AO297" s="28" t="str">
        <x:v>R01-R20; ilgili satırdaki bölgesel fiyat ve maliyet varsayımları</x:v>
      </x:c>
      <x:c r="AP297" s="28" t="str">
        <x:v>Girdi miktarları, alım fiyatı değişimi, fason bedeli ve parti sonucu simüle edilmiştir; işletme kaydı değildir.</x:v>
      </x:c>
    </x:row>
    <x:row r="298" ht="22" customHeight="1">
      <x:c r="A298" t="str">
        <x:v>SUC-0297</x:v>
      </x:c>
      <x:c r="B298" s="36" t="n">
        <x:v>46287</x:v>
      </x:c>
      <x:c r="C298" t="str">
        <x:v>Doğu Anadolu</x:v>
      </x:c>
      <x:c r="D298" t="str">
        <x:v>MEB_STANDART</x:v>
      </x:c>
      <x:c r="E298" t="str">
        <x:v>Kurum içi</x:v>
      </x:c>
      <x:c r="F298" s="42" t="str">
        <x:v>SENTETİK/SİMÜLE — gerçek parti kaydı değildir</x:v>
      </x:c>
      <x:c r="G298" s="38" t="n">
        <x:v>277.715</x:v>
      </x:c>
      <x:c r="H298" s="38" t="n">
        <x:v>90.029</x:v>
      </x:c>
      <x:c r="I298" s="38" t="n">
        <x:v>18.595</x:v>
      </x:c>
      <x:c r="J298" s="38" t="n">
        <x:v>9.491</x:v>
      </x:c>
      <x:c r="K298" s="38" t="n">
        <x:v>4.116</x:v>
      </x:c>
      <x:c r="L298" s="38" t="n">
        <x:f>SUM(G298:K298)</x:f>
        <x:v>399.9459999999999</x:v>
      </x:c>
      <x:c r="M298" s="38" t="n">
        <x:v>482.439</x:v>
      </x:c>
      <x:c r="N298" s="38" t="n">
        <x:v>609.54</x:v>
      </x:c>
      <x:c r="O298" s="38" t="n">
        <x:v>420.36</x:v>
      </x:c>
      <x:c r="P298" s="38" t="n">
        <x:v>550</x:v>
      </x:c>
      <x:c r="Q298" s="38" t="n">
        <x:v>19.88</x:v>
      </x:c>
      <x:c r="R298" s="38" t="n">
        <x:v>43.7475</x:v>
      </x:c>
      <x:c r="S298" s="38" t="n">
        <x:v>105.3</x:v>
      </x:c>
      <x:c r="T298" s="40" t="n">
        <x:v>31.92</x:v>
      </x:c>
      <x:c r="U298" s="40" t="n">
        <x:v>0.4</x:v>
      </x:c>
      <x:c r="V298" s="38" t="n">
        <x:f>L298*(1-T298/100)*(1-U298/100)</x:f>
        <x:v>271.1941038527999</x:v>
      </x:c>
      <x:c r="W298" s="38" t="n">
        <x:f>G298*N298</x:f>
        <x:v>169278.4011</x:v>
      </x:c>
      <x:c r="X298" s="38" t="n">
        <x:f>H298*O298</x:f>
        <x:v>37844.59044</x:v>
      </x:c>
      <x:c r="Y298" s="38" t="n">
        <x:f>I298*P298</x:f>
        <x:v>10227.25</x:v>
      </x:c>
      <x:c r="Z298" s="38" t="n">
        <x:f>J298*Q298+K298*P298</x:f>
        <x:v>2452.4810799999996</x:v>
      </x:c>
      <x:c r="AA298" s="38" t="n">
        <x:f>M298*R298</x:f>
        <x:v>21105.5001525</x:v>
      </x:c>
      <x:c r="AB298" s="38" t="n">
        <x:f>SUM(W298:AA298)</x:f>
        <x:v>240908.22277249998</x:v>
      </x:c>
      <x:c r="AC298" s="38" t="n">
        <x:v>19.07</x:v>
      </x:c>
      <x:c r="AD298" s="38" t="n">
        <x:v>174.33</x:v>
      </x:c>
      <x:c r="AE298" s="38" t="n">
        <x:v>185.11</x:v>
      </x:c>
      <x:c r="AF298" s="38" t="n">
        <x:v>4.8148</x:v>
      </x:c>
      <x:c r="AG298" s="38" t="n">
        <x:v>5.47</x:v>
      </x:c>
      <x:c r="AH298" s="38" t="n">
        <x:f>IF(E298="Fason",L298*S298,0)</x:f>
        <x:v>0</x:v>
      </x:c>
      <x:c r="AI298" s="38" t="n">
        <x:f>IF(E298="Kurum içi",AC298*AD298+AE298*AF298+AB298*12%,0)</x:f>
        <x:v>33124.7274607</x:v>
      </x:c>
      <x:c r="AJ298" s="38" t="n">
        <x:f>V298*AG298</x:f>
        <x:v>1483.4317480748155</x:v>
      </x:c>
      <x:c r="AK298" s="38" t="n">
        <x:f>AB298*2%</x:f>
        <x:v>4818.16445545</x:v>
      </x:c>
      <x:c r="AL298" s="38" t="n">
        <x:f>AB298+AH298+AI298+AJ298+AK298</x:f>
        <x:v>280334.54643672484</x:v>
      </x:c>
      <x:c r="AM298" s="38" t="n">
        <x:f>AL298/V298</x:f>
        <x:v>1033.7044296098939</x:v>
      </x:c>
      <x:c r="AN298" s="40" t="n">
        <x:f>(W298+X298)/AL298*100</x:f>
        <x:v>73.88421947016451</x:v>
      </x:c>
      <x:c r="AO298" s="28" t="str">
        <x:v>R01-R20; ilgili satırdaki bölgesel fiyat ve maliyet varsayımları</x:v>
      </x:c>
      <x:c r="AP298" s="28" t="str">
        <x:v>Girdi miktarları, alım fiyatı değişimi, fason bedeli ve parti sonucu simüle edilmiştir; işletme kaydı değildir.</x:v>
      </x:c>
    </x:row>
    <x:row r="299" ht="22" customHeight="1">
      <x:c r="A299" t="str">
        <x:v>SUC-0298</x:v>
      </x:c>
      <x:c r="B299" s="36" t="n">
        <x:v>46280</x:v>
      </x:c>
      <x:c r="C299" t="str">
        <x:v>Doğu Anadolu</x:v>
      </x:c>
      <x:c r="D299" t="str">
        <x:v>MEB_STANDART</x:v>
      </x:c>
      <x:c r="E299" t="str">
        <x:v>Kurum içi</x:v>
      </x:c>
      <x:c r="F299" s="42" t="str">
        <x:v>SENTETİK/SİMÜLE — gerçek parti kaydı değildir</x:v>
      </x:c>
      <x:c r="G299" s="38" t="n">
        <x:v>104.293</x:v>
      </x:c>
      <x:c r="H299" s="38" t="n">
        <x:v>33.765</x:v>
      </x:c>
      <x:c r="I299" s="38" t="n">
        <x:v>6.408</x:v>
      </x:c>
      <x:c r="J299" s="38" t="n">
        <x:v>3.885</x:v>
      </x:c>
      <x:c r="K299" s="38" t="n">
        <x:v>1.743</x:v>
      </x:c>
      <x:c r="L299" s="38" t="n">
        <x:f>SUM(G299:K299)</x:f>
        <x:v>150.09399999999997</x:v>
      </x:c>
      <x:c r="M299" s="38" t="n">
        <x:v>189.084</x:v>
      </x:c>
      <x:c r="N299" s="38" t="n">
        <x:v>586.54</x:v>
      </x:c>
      <x:c r="O299" s="38" t="n">
        <x:v>469.54</x:v>
      </x:c>
      <x:c r="P299" s="38" t="n">
        <x:v>400</x:v>
      </x:c>
      <x:c r="Q299" s="38" t="n">
        <x:v>19.88</x:v>
      </x:c>
      <x:c r="R299" s="38" t="n">
        <x:v>43.7475</x:v>
      </x:c>
      <x:c r="S299" s="38" t="n">
        <x:v>111.82</x:v>
      </x:c>
      <x:c r="T299" s="40" t="n">
        <x:v>22.56</x:v>
      </x:c>
      <x:c r="U299" s="40" t="n">
        <x:v>1.05</x:v>
      </x:c>
      <x:c r="V299" s="38" t="n">
        <x:f>L299*(1-T299/100)*(1-U299/100)</x:f>
        <x:v>115.01234926719997</x:v>
      </x:c>
      <x:c r="W299" s="38" t="n">
        <x:f>G299*N299</x:f>
        <x:v>61172.01622</x:v>
      </x:c>
      <x:c r="X299" s="38" t="n">
        <x:f>H299*O299</x:f>
        <x:v>15854.018100000001</x:v>
      </x:c>
      <x:c r="Y299" s="38" t="n">
        <x:f>I299*P299</x:f>
        <x:v>2563.2000000000003</x:v>
      </x:c>
      <x:c r="Z299" s="38" t="n">
        <x:f>J299*Q299+K299*P299</x:f>
        <x:v>774.4338</x:v>
      </x:c>
      <x:c r="AA299" s="38" t="n">
        <x:f>M299*R299</x:f>
        <x:v>8271.952290000001</x:v>
      </x:c>
      <x:c r="AB299" s="38" t="n">
        <x:f>SUM(W299:AA299)</x:f>
        <x:v>88635.62041</x:v>
      </x:c>
      <x:c r="AC299" s="38" t="n">
        <x:v>7.78</x:v>
      </x:c>
      <x:c r="AD299" s="38" t="n">
        <x:v>174.33</x:v>
      </x:c>
      <x:c r="AE299" s="38" t="n">
        <x:v>47.85</x:v>
      </x:c>
      <x:c r="AF299" s="38" t="n">
        <x:v>4.8148</x:v>
      </x:c>
      <x:c r="AG299" s="38" t="n">
        <x:v>5.88</x:v>
      </x:c>
      <x:c r="AH299" s="38" t="n">
        <x:f>IF(E299="Fason",L299*S299,0)</x:f>
        <x:v>0</x:v>
      </x:c>
      <x:c r="AI299" s="38" t="n">
        <x:f>IF(E299="Kurum içi",AC299*AD299+AE299*AF299+AB299*12%,0)</x:f>
        <x:v>12222.950029200001</x:v>
      </x:c>
      <x:c r="AJ299" s="38" t="n">
        <x:f>V299*AG299</x:f>
        <x:v>676.2726136911358</x:v>
      </x:c>
      <x:c r="AK299" s="38" t="n">
        <x:f>AB299*2%</x:f>
        <x:v>1772.7124082</x:v>
      </x:c>
      <x:c r="AL299" s="38" t="n">
        <x:f>AB299+AH299+AI299+AJ299+AK299</x:f>
        <x:v>103307.55546109113</x:v>
      </x:c>
      <x:c r="AM299" s="38" t="n">
        <x:f>AL299/V299</x:f>
        <x:v>898.230112847135</x:v>
      </x:c>
      <x:c r="AN299" s="40" t="n">
        <x:f>(W299+X299)/AL299*100</x:f>
        <x:v>74.55992349853872</x:v>
      </x:c>
      <x:c r="AO299" s="28" t="str">
        <x:v>R01-R20; ilgili satırdaki bölgesel fiyat ve maliyet varsayımları</x:v>
      </x:c>
      <x:c r="AP299" s="28" t="str">
        <x:v>Girdi miktarları, alım fiyatı değişimi, fason bedeli ve parti sonucu simüle edilmiştir; işletme kaydı değildir.</x:v>
      </x:c>
    </x:row>
    <x:row r="300" ht="22" customHeight="1">
      <x:c r="A300" t="str">
        <x:v>SUC-0299</x:v>
      </x:c>
      <x:c r="B300" s="36" t="n">
        <x:v>46314</x:v>
      </x:c>
      <x:c r="C300" t="str">
        <x:v>Akdeniz</x:v>
      </x:c>
      <x:c r="D300" t="str">
        <x:v>ERZURUM_CI</x:v>
      </x:c>
      <x:c r="E300" t="str">
        <x:v>Kurum içi</x:v>
      </x:c>
      <x:c r="F300" s="42" t="str">
        <x:v>SENTETİK/SİMÜLE — gerçek parti kaydı değildir</x:v>
      </x:c>
      <x:c r="G300" s="38" t="n">
        <x:v>58.589</x:v>
      </x:c>
      <x:c r="H300" s="38" t="n">
        <x:v>10.739</x:v>
      </x:c>
      <x:c r="I300" s="38" t="n">
        <x:v>3.337</x:v>
      </x:c>
      <x:c r="J300" s="38" t="n">
        <x:v>1.119</x:v>
      </x:c>
      <x:c r="K300" s="38" t="n">
        <x:v>0.117</x:v>
      </x:c>
      <x:c r="L300" s="38" t="n">
        <x:f>SUM(G300:K300)</x:f>
        <x:v>73.90100000000001</x:v>
      </x:c>
      <x:c r="M300" s="38" t="n">
        <x:v>96.576</x:v>
      </x:c>
      <x:c r="N300" s="38" t="n">
        <x:v>594.86</x:v>
      </x:c>
      <x:c r="O300" s="38" t="n">
        <x:v>480.02</x:v>
      </x:c>
      <x:c r="P300" s="38" t="n">
        <x:v>400</x:v>
      </x:c>
      <x:c r="Q300" s="38" t="n">
        <x:v>19.88</x:v>
      </x:c>
      <x:c r="R300" s="38" t="n">
        <x:v>43.7475</x:v>
      </x:c>
      <x:c r="S300" s="38" t="n">
        <x:v>123.31</x:v>
      </x:c>
      <x:c r="T300" s="40" t="n">
        <x:v>21.83</x:v>
      </x:c>
      <x:c r="U300" s="40" t="n">
        <x:v>1.07</x:v>
      </x:c>
      <x:c r="V300" s="38" t="n">
        <x:f>L300*(1-T300/100)*(1-U300/100)</x:f>
        <x:v>57.15028969481001</x:v>
      </x:c>
      <x:c r="W300" s="38" t="n">
        <x:f>G300*N300</x:f>
        <x:v>34852.25254</x:v>
      </x:c>
      <x:c r="X300" s="38" t="n">
        <x:f>H300*O300</x:f>
        <x:v>5154.9347800000005</x:v>
      </x:c>
      <x:c r="Y300" s="38" t="n">
        <x:f>I300*P300</x:f>
        <x:v>1334.8000000000002</x:v>
      </x:c>
      <x:c r="Z300" s="38" t="n">
        <x:f>J300*Q300+K300*P300</x:f>
        <x:v>69.04572</x:v>
      </x:c>
      <x:c r="AA300" s="38" t="n">
        <x:f>M300*R300</x:f>
        <x:v>4224.95856</x:v>
      </x:c>
      <x:c r="AB300" s="38" t="n">
        <x:f>SUM(W300:AA300)</x:f>
        <x:v>45635.99160000001</x:v>
      </x:c>
      <x:c r="AC300" s="38" t="n">
        <x:v>4.31</x:v>
      </x:c>
      <x:c r="AD300" s="38" t="n">
        <x:v>174.33</x:v>
      </x:c>
      <x:c r="AE300" s="38" t="n">
        <x:v>30.58</x:v>
      </x:c>
      <x:c r="AF300" s="38" t="n">
        <x:v>4.8148</x:v>
      </x:c>
      <x:c r="AG300" s="38" t="n">
        <x:v>5.67</x:v>
      </x:c>
      <x:c r="AH300" s="38" t="n">
        <x:f>IF(E300="Fason",L300*S300,0)</x:f>
        <x:v>0</x:v>
      </x:c>
      <x:c r="AI300" s="38" t="n">
        <x:f>IF(E300="Kurum içi",AC300*AD300+AE300*AF300+AB300*12%,0)</x:f>
        <x:v>6374.917876</x:v>
      </x:c>
      <x:c r="AJ300" s="38" t="n">
        <x:f>V300*AG300</x:f>
        <x:v>324.0421425695728</x:v>
      </x:c>
      <x:c r="AK300" s="38" t="n">
        <x:f>AB300*2%</x:f>
        <x:v>912.7198320000002</x:v>
      </x:c>
      <x:c r="AL300" s="38" t="n">
        <x:f>AB300+AH300+AI300+AJ300+AK300</x:f>
        <x:v>53247.671450569585</x:v>
      </x:c>
      <x:c r="AM300" s="38" t="n">
        <x:f>AL300/V300</x:f>
        <x:v>931.7130627844423</x:v>
      </x:c>
      <x:c r="AN300" s="40" t="n">
        <x:f>(W300+X300)/AL300*100</x:f>
        <x:v>75.13415372001596</x:v>
      </x:c>
      <x:c r="AO300" s="28" t="str">
        <x:v>R01-R20; ilgili satırdaki bölgesel fiyat ve maliyet varsayımları</x:v>
      </x:c>
      <x:c r="AP300" s="28" t="str">
        <x:v>Girdi miktarları, alım fiyatı değişimi, fason bedeli ve parti sonucu simüle edilmiştir; işletme kaydı değildir.</x:v>
      </x:c>
    </x:row>
    <x:row r="301" ht="22" customHeight="1">
      <x:c r="A301" t="str">
        <x:v>SUC-0300</x:v>
      </x:c>
      <x:c r="B301" s="36" t="n">
        <x:v>46311</x:v>
      </x:c>
      <x:c r="C301" t="str">
        <x:v>Marmara</x:v>
      </x:c>
      <x:c r="D301" t="str">
        <x:v>MEB_STANDART</x:v>
      </x:c>
      <x:c r="E301" t="str">
        <x:v>Fason</x:v>
      </x:c>
      <x:c r="F301" s="42" t="str">
        <x:v>SENTETİK/SİMÜLE — gerçek parti kaydı değildir</x:v>
      </x:c>
      <x:c r="G301" s="38" t="n">
        <x:v>90.318</x:v>
      </x:c>
      <x:c r="H301" s="38" t="n">
        <x:v>28.39</x:v>
      </x:c>
      <x:c r="I301" s="38" t="n">
        <x:v>5.751</x:v>
      </x:c>
      <x:c r="J301" s="38" t="n">
        <x:v>3.189</x:v>
      </x:c>
      <x:c r="K301" s="38" t="n">
        <x:v>1.224</x:v>
      </x:c>
      <x:c r="L301" s="38" t="n">
        <x:f>SUM(G301:K301)</x:f>
        <x:v>128.87199999999999</x:v>
      </x:c>
      <x:c r="M301" s="38" t="n">
        <x:v>162.055</x:v>
      </x:c>
      <x:c r="N301" s="38" t="n">
        <x:v>597.62</x:v>
      </x:c>
      <x:c r="O301" s="38" t="n">
        <x:v>471.72</x:v>
      </x:c>
      <x:c r="P301" s="38" t="n">
        <x:v>669.9</x:v>
      </x:c>
      <x:c r="Q301" s="38" t="n">
        <x:v>19.88</x:v>
      </x:c>
      <x:c r="R301" s="38" t="n">
        <x:v>43.7475</x:v>
      </x:c>
      <x:c r="S301" s="38" t="n">
        <x:v>79.25</x:v>
      </x:c>
      <x:c r="T301" s="40" t="n">
        <x:v>22.35</x:v>
      </x:c>
      <x:c r="U301" s="40" t="n">
        <x:v>1.03</x:v>
      </x:c>
      <x:c r="V301" s="38" t="n">
        <x:f>L301*(1-T301/100)*(1-U301/100)</x:f>
        <x:v>99.03839618759999</x:v>
      </x:c>
      <x:c r="W301" s="38" t="n">
        <x:f>G301*N301</x:f>
        <x:v>53975.84316</x:v>
      </x:c>
      <x:c r="X301" s="38" t="n">
        <x:f>H301*O301</x:f>
        <x:v>13392.1308</x:v>
      </x:c>
      <x:c r="Y301" s="38" t="n">
        <x:f>I301*P301</x:f>
        <x:v>3852.5949</x:v>
      </x:c>
      <x:c r="Z301" s="38" t="n">
        <x:f>J301*Q301+K301*P301</x:f>
        <x:v>883.35492</x:v>
      </x:c>
      <x:c r="AA301" s="38" t="n">
        <x:f>M301*R301</x:f>
        <x:v>7089.501112500001</x:v>
      </x:c>
      <x:c r="AB301" s="38" t="n">
        <x:f>SUM(W301:AA301)</x:f>
        <x:v>79193.4248925</x:v>
      </x:c>
      <x:c r="AC301" s="38" t="n">
        <x:v>4.76</x:v>
      </x:c>
      <x:c r="AD301" s="38" t="n">
        <x:v>174.33</x:v>
      </x:c>
      <x:c r="AE301" s="38" t="n">
        <x:v>39.15</x:v>
      </x:c>
      <x:c r="AF301" s="38" t="n">
        <x:v>4.8148</x:v>
      </x:c>
      <x:c r="AG301" s="38" t="n">
        <x:v>5.42</x:v>
      </x:c>
      <x:c r="AH301" s="38" t="n">
        <x:f>IF(E301="Fason",L301*S301,0)</x:f>
        <x:v>10213.106</x:v>
      </x:c>
      <x:c r="AI301" s="38" t="n">
        <x:f>IF(E301="Kurum içi",AC301*AD301+AE301*AF301+AB301*12%,0)</x:f>
        <x:v>0</x:v>
      </x:c>
      <x:c r="AJ301" s="38" t="n">
        <x:f>V301*AG301</x:f>
        <x:v>536.7881073367919</x:v>
      </x:c>
      <x:c r="AK301" s="38" t="n">
        <x:f>AB301*2%</x:f>
        <x:v>1583.86849785</x:v>
      </x:c>
      <x:c r="AL301" s="38" t="n">
        <x:f>AB301+AH301+AI301+AJ301+AK301</x:f>
        <x:v>91527.18749768678</x:v>
      </x:c>
      <x:c r="AM301" s="38" t="n">
        <x:f>AL301/V301</x:f>
        <x:v>924.1586194945507</x:v>
      </x:c>
      <x:c r="AN301" s="40" t="n">
        <x:f>(W301+X301)/AL301*100</x:f>
        <x:v>73.60433091173334</x:v>
      </x:c>
      <x:c r="AO301" s="28" t="str">
        <x:v>R01-R20; ilgili satırdaki bölgesel fiyat ve maliyet varsayımları</x:v>
      </x:c>
      <x:c r="AP301" s="28" t="str">
        <x:v>Girdi miktarları, alım fiyatı değişimi, fason bedeli ve parti sonucu simüle edilmiştir; işletme kaydı değildir.</x:v>
      </x:c>
    </x:row>
    <x:row r="302" ht="22" customHeight="1">
      <x:c r="A302" t="str">
        <x:v>SUC-0301</x:v>
      </x:c>
      <x:c r="B302" s="36" t="n">
        <x:v>46298</x:v>
      </x:c>
      <x:c r="C302" t="str">
        <x:v>Doğu Anadolu</x:v>
      </x:c>
      <x:c r="D302" t="str">
        <x:v>ERZURUM_CI</x:v>
      </x:c>
      <x:c r="E302" t="str">
        <x:v>Kurum içi</x:v>
      </x:c>
      <x:c r="F302" s="42" t="str">
        <x:v>SENTETİK/SİMÜLE — gerçek parti kaydı değildir</x:v>
      </x:c>
      <x:c r="G302" s="38" t="n">
        <x:v>234.424</x:v>
      </x:c>
      <x:c r="H302" s="38" t="n">
        <x:v>42.254</x:v>
      </x:c>
      <x:c r="I302" s="38" t="n">
        <x:v>14.116</x:v>
      </x:c>
      <x:c r="J302" s="38" t="n">
        <x:v>4.82</x:v>
      </x:c>
      <x:c r="K302" s="38" t="n">
        <x:v>0.029</x:v>
      </x:c>
      <x:c r="L302" s="38" t="n">
        <x:f>SUM(G302:K302)</x:f>
        <x:v>295.643</x:v>
      </x:c>
      <x:c r="M302" s="38" t="n">
        <x:v>382.325</x:v>
      </x:c>
      <x:c r="N302" s="38" t="n">
        <x:v>582.41</x:v>
      </x:c>
      <x:c r="O302" s="38" t="n">
        <x:v>422.72</x:v>
      </x:c>
      <x:c r="P302" s="38" t="n">
        <x:v>669.9</x:v>
      </x:c>
      <x:c r="Q302" s="38" t="n">
        <x:v>19.88</x:v>
      </x:c>
      <x:c r="R302" s="38" t="n">
        <x:v>43.7475</x:v>
      </x:c>
      <x:c r="S302" s="38" t="n">
        <x:v>91.21</x:v>
      </x:c>
      <x:c r="T302" s="40" t="n">
        <x:v>23.58</x:v>
      </x:c>
      <x:c r="U302" s="40" t="n">
        <x:v>1.38</x:v>
      </x:c>
      <x:c r="V302" s="38" t="n">
        <x:f>L302*(1-T302/100)*(1-U302/100)</x:f>
        <x:v>222.81254134771996</x:v>
      </x:c>
      <x:c r="W302" s="38" t="n">
        <x:f>G302*N302</x:f>
        <x:v>136530.88184</x:v>
      </x:c>
      <x:c r="X302" s="38" t="n">
        <x:f>H302*O302</x:f>
        <x:v>17861.61088</x:v>
      </x:c>
      <x:c r="Y302" s="38" t="n">
        <x:f>I302*P302</x:f>
        <x:v>9456.3084</x:v>
      </x:c>
      <x:c r="Z302" s="38" t="n">
        <x:f>J302*Q302+K302*P302</x:f>
        <x:v>115.2487</x:v>
      </x:c>
      <x:c r="AA302" s="38" t="n">
        <x:f>M302*R302</x:f>
        <x:v>16725.7629375</x:v>
      </x:c>
      <x:c r="AB302" s="38" t="n">
        <x:f>SUM(W302:AA302)</x:f>
        <x:v>180689.81275749998</x:v>
      </x:c>
      <x:c r="AC302" s="38" t="n">
        <x:v>17.99</x:v>
      </x:c>
      <x:c r="AD302" s="38" t="n">
        <x:v>174.33</x:v>
      </x:c>
      <x:c r="AE302" s="38" t="n">
        <x:v>130.7</x:v>
      </x:c>
      <x:c r="AF302" s="38" t="n">
        <x:v>4.8148</x:v>
      </x:c>
      <x:c r="AG302" s="38" t="n">
        <x:v>5.23</x:v>
      </x:c>
      <x:c r="AH302" s="38" t="n">
        <x:f>IF(E302="Fason",L302*S302,0)</x:f>
        <x:v>0</x:v>
      </x:c>
      <x:c r="AI302" s="38" t="n">
        <x:f>IF(E302="Kurum içi",AC302*AD302+AE302*AF302+AB302*12%,0)</x:f>
        <x:v>25448.268590899996</x:v>
      </x:c>
      <x:c r="AJ302" s="38" t="n">
        <x:f>V302*AG302</x:f>
        <x:v>1165.3095912485755</x:v>
      </x:c>
      <x:c r="AK302" s="38" t="n">
        <x:f>AB302*2%</x:f>
        <x:v>3613.7962551499995</x:v>
      </x:c>
      <x:c r="AL302" s="38" t="n">
        <x:f>AB302+AH302+AI302+AJ302+AK302</x:f>
        <x:v>210917.18719479855</x:v>
      </x:c>
      <x:c r="AM302" s="38" t="n">
        <x:f>AL302/V302</x:f>
        <x:v>946.612726191397</x:v>
      </x:c>
      <x:c r="AN302" s="40" t="n">
        <x:f>(W302+X302)/AL302*100</x:f>
        <x:v>73.200527075779</x:v>
      </x:c>
      <x:c r="AO302" s="28" t="str">
        <x:v>R01-R20; ilgili satırdaki bölgesel fiyat ve maliyet varsayımları</x:v>
      </x:c>
      <x:c r="AP302" s="28" t="str">
        <x:v>Girdi miktarları, alım fiyatı değişimi, fason bedeli ve parti sonucu simüle edilmiştir; işletme kaydı değildir.</x:v>
      </x:c>
    </x:row>
    <x:row r="303" ht="22" customHeight="1">
      <x:c r="A303" t="str">
        <x:v>SUC-0302</x:v>
      </x:c>
      <x:c r="B303" s="36" t="n">
        <x:v>46302</x:v>
      </x:c>
      <x:c r="C303" t="str">
        <x:v>İç Anadolu</x:v>
      </x:c>
      <x:c r="D303" t="str">
        <x:v>ERZURUM_CI</x:v>
      </x:c>
      <x:c r="E303" t="str">
        <x:v>Kurum içi</x:v>
      </x:c>
      <x:c r="F303" s="42" t="str">
        <x:v>SENTETİK/SİMÜLE — gerçek parti kaydı değildir</x:v>
      </x:c>
      <x:c r="G303" s="38" t="n">
        <x:v>305.184</x:v>
      </x:c>
      <x:c r="H303" s="38" t="n">
        <x:v>49.378</x:v>
      </x:c>
      <x:c r="I303" s="38" t="n">
        <x:v>18.355</x:v>
      </x:c>
      <x:c r="J303" s="38" t="n">
        <x:v>6.177</x:v>
      </x:c>
      <x:c r="K303" s="38" t="n">
        <x:v>0.388</x:v>
      </x:c>
      <x:c r="L303" s="38" t="n">
        <x:f>SUM(G303:K303)</x:f>
        <x:v>379.482</x:v>
      </x:c>
      <x:c r="M303" s="38" t="n">
        <x:v>466.465</x:v>
      </x:c>
      <x:c r="N303" s="38" t="n">
        <x:v>581.83</x:v>
      </x:c>
      <x:c r="O303" s="38" t="n">
        <x:v>478.47</x:v>
      </x:c>
      <x:c r="P303" s="38" t="n">
        <x:v>669.9</x:v>
      </x:c>
      <x:c r="Q303" s="38" t="n">
        <x:v>19.88</x:v>
      </x:c>
      <x:c r="R303" s="38" t="n">
        <x:v>43.7475</x:v>
      </x:c>
      <x:c r="S303" s="38" t="n">
        <x:v>94.39</x:v>
      </x:c>
      <x:c r="T303" s="40" t="n">
        <x:v>17.61</x:v>
      </x:c>
      <x:c r="U303" s="40" t="n">
        <x:v>0.97</x:v>
      </x:c>
      <x:c r="V303" s="38" t="n">
        <x:f>L303*(1-T303/100)*(1-U303/100)</x:f>
        <x:v>309.62246416794</x:v>
      </x:c>
      <x:c r="W303" s="38" t="n">
        <x:f>G303*N303</x:f>
        <x:v>177565.20672000002</x:v>
      </x:c>
      <x:c r="X303" s="38" t="n">
        <x:f>H303*O303</x:f>
        <x:v>23625.89166</x:v>
      </x:c>
      <x:c r="Y303" s="38" t="n">
        <x:f>I303*P303</x:f>
        <x:v>12296.0145</x:v>
      </x:c>
      <x:c r="Z303" s="38" t="n">
        <x:f>J303*Q303+K303*P303</x:f>
        <x:v>382.71996</x:v>
      </x:c>
      <x:c r="AA303" s="38" t="n">
        <x:f>M303*R303</x:f>
        <x:v>20406.6775875</x:v>
      </x:c>
      <x:c r="AB303" s="38" t="n">
        <x:f>SUM(W303:AA303)</x:f>
        <x:v>234276.51042749998</x:v>
      </x:c>
      <x:c r="AC303" s="38" t="n">
        <x:v>17.15</x:v>
      </x:c>
      <x:c r="AD303" s="38" t="n">
        <x:v>174.33</x:v>
      </x:c>
      <x:c r="AE303" s="38" t="n">
        <x:v>112.56</x:v>
      </x:c>
      <x:c r="AF303" s="38" t="n">
        <x:v>4.8148</x:v>
      </x:c>
      <x:c r="AG303" s="38" t="n">
        <x:v>5.35</x:v>
      </x:c>
      <x:c r="AH303" s="38" t="n">
        <x:f>IF(E303="Fason",L303*S303,0)</x:f>
        <x:v>0</x:v>
      </x:c>
      <x:c r="AI303" s="38" t="n">
        <x:f>IF(E303="Kurum içi",AC303*AD303+AE303*AF303+AB303*12%,0)</x:f>
        <x:v>31644.894639299997</x:v>
      </x:c>
      <x:c r="AJ303" s="38" t="n">
        <x:f>V303*AG303</x:f>
        <x:v>1656.4801832984788</x:v>
      </x:c>
      <x:c r="AK303" s="38" t="n">
        <x:f>AB303*2%</x:f>
        <x:v>4685.53020855</x:v>
      </x:c>
      <x:c r="AL303" s="38" t="n">
        <x:f>AB303+AH303+AI303+AJ303+AK303</x:f>
        <x:v>272263.4154586484</x:v>
      </x:c>
      <x:c r="AM303" s="38" t="n">
        <x:f>AL303/V303</x:f>
        <x:v>879.3399929501628</x:v>
      </x:c>
      <x:c r="AN303" s="40" t="n">
        <x:f>(W303+X303)/AL303*100</x:f>
        <x:v>73.89575203891361</x:v>
      </x:c>
      <x:c r="AO303" s="28" t="str">
        <x:v>R01-R20; ilgili satırdaki bölgesel fiyat ve maliyet varsayımları</x:v>
      </x:c>
      <x:c r="AP303" s="28" t="str">
        <x:v>Girdi miktarları, alım fiyatı değişimi, fason bedeli ve parti sonucu simüle edilmiştir; işletme kaydı değildir.</x:v>
      </x:c>
    </x:row>
    <x:row r="304" ht="22" customHeight="1">
      <x:c r="A304" t="str">
        <x:v>SUC-0303</x:v>
      </x:c>
      <x:c r="B304" s="36" t="n">
        <x:v>46317</x:v>
      </x:c>
      <x:c r="C304" t="str">
        <x:v>Karadeniz</x:v>
      </x:c>
      <x:c r="D304" t="str">
        <x:v>MEB_STANDART</x:v>
      </x:c>
      <x:c r="E304" t="str">
        <x:v>Kurum içi</x:v>
      </x:c>
      <x:c r="F304" s="42" t="str">
        <x:v>SENTETİK/SİMÜLE — gerçek parti kaydı değildir</x:v>
      </x:c>
      <x:c r="G304" s="38" t="n">
        <x:v>320.774</x:v>
      </x:c>
      <x:c r="H304" s="38" t="n">
        <x:v>97.203</x:v>
      </x:c>
      <x:c r="I304" s="38" t="n">
        <x:v>19.647</x:v>
      </x:c>
      <x:c r="J304" s="38" t="n">
        <x:v>11.522</x:v>
      </x:c>
      <x:c r="K304" s="38" t="n">
        <x:v>4.385</x:v>
      </x:c>
      <x:c r="L304" s="38" t="n">
        <x:f>SUM(G304:K304)</x:f>
        <x:v>453.53099999999995</x:v>
      </x:c>
      <x:c r="M304" s="38" t="n">
        <x:v>560.198</x:v>
      </x:c>
      <x:c r="N304" s="38" t="n">
        <x:v>620.21</x:v>
      </x:c>
      <x:c r="O304" s="38" t="n">
        <x:v>482.34</x:v>
      </x:c>
      <x:c r="P304" s="38" t="n">
        <x:v>550</x:v>
      </x:c>
      <x:c r="Q304" s="38" t="n">
        <x:v>19.88</x:v>
      </x:c>
      <x:c r="R304" s="38" t="n">
        <x:v>43.7475</x:v>
      </x:c>
      <x:c r="S304" s="38" t="n">
        <x:v>123.41</x:v>
      </x:c>
      <x:c r="T304" s="40" t="n">
        <x:v>16.17</x:v>
      </x:c>
      <x:c r="U304" s="40" t="n">
        <x:v>1.43</x:v>
      </x:c>
      <x:c r="V304" s="38" t="n">
        <x:f>L304*(1-T304/100)*(1-U304/100)</x:f>
        <x:v>374.75824826661</x:v>
      </x:c>
      <x:c r="W304" s="38" t="n">
        <x:f>G304*N304</x:f>
        <x:v>198947.24254</x:v>
      </x:c>
      <x:c r="X304" s="38" t="n">
        <x:f>H304*O304</x:f>
        <x:v>46884.895019999996</x:v>
      </x:c>
      <x:c r="Y304" s="38" t="n">
        <x:f>I304*P304</x:f>
        <x:v>10805.849999999999</x:v>
      </x:c>
      <x:c r="Z304" s="38" t="n">
        <x:f>J304*Q304+K304*P304</x:f>
        <x:v>2640.80736</x:v>
      </x:c>
      <x:c r="AA304" s="38" t="n">
        <x:f>M304*R304</x:f>
        <x:v>24507.262005</x:v>
      </x:c>
      <x:c r="AB304" s="38" t="n">
        <x:f>SUM(W304:AA304)</x:f>
        <x:v>283786.05692500004</x:v>
      </x:c>
      <x:c r="AC304" s="38" t="n">
        <x:v>25.83</x:v>
      </x:c>
      <x:c r="AD304" s="38" t="n">
        <x:v>174.33</x:v>
      </x:c>
      <x:c r="AE304" s="38" t="n">
        <x:v>124.08</x:v>
      </x:c>
      <x:c r="AF304" s="38" t="n">
        <x:v>4.8148</x:v>
      </x:c>
      <x:c r="AG304" s="38" t="n">
        <x:v>5.89</x:v>
      </x:c>
      <x:c r="AH304" s="38" t="n">
        <x:f>IF(E304="Fason",L304*S304,0)</x:f>
        <x:v>0</x:v>
      </x:c>
      <x:c r="AI304" s="38" t="n">
        <x:f>IF(E304="Kurum içi",AC304*AD304+AE304*AF304+AB304*12%,0)</x:f>
        <x:v>39154.69111500001</x:v>
      </x:c>
      <x:c r="AJ304" s="38" t="n">
        <x:f>V304*AG304</x:f>
        <x:v>2207.3260822903326</x:v>
      </x:c>
      <x:c r="AK304" s="38" t="n">
        <x:f>AB304*2%</x:f>
        <x:v>5675.721138500001</x:v>
      </x:c>
      <x:c r="AL304" s="38" t="n">
        <x:f>AB304+AH304+AI304+AJ304+AK304</x:f>
        <x:v>330823.7952607904</x:v>
      </x:c>
      <x:c r="AM304" s="38" t="n">
        <x:f>AL304/V304</x:f>
        <x:v>882.765881180649</x:v>
      </x:c>
      <x:c r="AN304" s="40" t="n">
        <x:f>(W304+X304)/AL304*100</x:f>
        <x:v>74.30908570715388</x:v>
      </x:c>
      <x:c r="AO304" s="28" t="str">
        <x:v>R01-R20; ilgili satırdaki bölgesel fiyat ve maliyet varsayımları</x:v>
      </x:c>
      <x:c r="AP304" s="28" t="str">
        <x:v>Girdi miktarları, alım fiyatı değişimi, fason bedeli ve parti sonucu simüle edilmiştir; işletme kaydı değildir.</x:v>
      </x:c>
    </x:row>
    <x:row r="305" ht="22" customHeight="1">
      <x:c r="A305" t="str">
        <x:v>SUC-0304</x:v>
      </x:c>
      <x:c r="B305" s="36" t="n">
        <x:v>46277</x:v>
      </x:c>
      <x:c r="C305" t="str">
        <x:v>Doğu Anadolu</x:v>
      </x:c>
      <x:c r="D305" t="str">
        <x:v>ERZURUM_CI</x:v>
      </x:c>
      <x:c r="E305" t="str">
        <x:v>Kurum içi</x:v>
      </x:c>
      <x:c r="F305" s="42" t="str">
        <x:v>SENTETİK/SİMÜLE — gerçek parti kaydı değildir</x:v>
      </x:c>
      <x:c r="G305" s="38" t="n">
        <x:v>195.559</x:v>
      </x:c>
      <x:c r="H305" s="38" t="n">
        <x:v>36.362</x:v>
      </x:c>
      <x:c r="I305" s="38" t="n">
        <x:v>11.268</x:v>
      </x:c>
      <x:c r="J305" s="38" t="n">
        <x:v>3.96</x:v>
      </x:c>
      <x:c r="K305" s="38" t="n">
        <x:v>0.025</x:v>
      </x:c>
      <x:c r="L305" s="38" t="n">
        <x:f>SUM(G305:K305)</x:f>
        <x:v>247.174</x:v>
      </x:c>
      <x:c r="M305" s="38" t="n">
        <x:v>322.214</x:v>
      </x:c>
      <x:c r="N305" s="38" t="n">
        <x:v>592.57</x:v>
      </x:c>
      <x:c r="O305" s="38" t="n">
        <x:v>430.15</x:v>
      </x:c>
      <x:c r="P305" s="38" t="n">
        <x:v>400</x:v>
      </x:c>
      <x:c r="Q305" s="38" t="n">
        <x:v>19.88</x:v>
      </x:c>
      <x:c r="R305" s="38" t="n">
        <x:v>43.7475</x:v>
      </x:c>
      <x:c r="S305" s="38" t="n">
        <x:v>112.59</x:v>
      </x:c>
      <x:c r="T305" s="40" t="n">
        <x:v>26.68</x:v>
      </x:c>
      <x:c r="U305" s="40" t="n">
        <x:v>0.84</x:v>
      </x:c>
      <x:c r="V305" s="38" t="n">
        <x:f>L305*(1-T305/100)*(1-U305/100)</x:f>
        <x:v>179.70566179488003</x:v>
      </x:c>
      <x:c r="W305" s="38" t="n">
        <x:f>G305*N305</x:f>
        <x:v>115882.39663</x:v>
      </x:c>
      <x:c r="X305" s="38" t="n">
        <x:f>H305*O305</x:f>
        <x:v>15641.1143</x:v>
      </x:c>
      <x:c r="Y305" s="38" t="n">
        <x:f>I305*P305</x:f>
        <x:v>4507.200000000001</x:v>
      </x:c>
      <x:c r="Z305" s="38" t="n">
        <x:f>J305*Q305+K305*P305</x:f>
        <x:v>88.7248</x:v>
      </x:c>
      <x:c r="AA305" s="38" t="n">
        <x:f>M305*R305</x:f>
        <x:v>14096.056965</x:v>
      </x:c>
      <x:c r="AB305" s="38" t="n">
        <x:f>SUM(W305:AA305)</x:f>
        <x:v>150215.492695</x:v>
      </x:c>
      <x:c r="AC305" s="38" t="n">
        <x:v>12.78</x:v>
      </x:c>
      <x:c r="AD305" s="38" t="n">
        <x:v>174.33</x:v>
      </x:c>
      <x:c r="AE305" s="38" t="n">
        <x:v>107.3</x:v>
      </x:c>
      <x:c r="AF305" s="38" t="n">
        <x:v>4.8148</x:v>
      </x:c>
      <x:c r="AG305" s="38" t="n">
        <x:v>5.57</x:v>
      </x:c>
      <x:c r="AH305" s="38" t="n">
        <x:f>IF(E305="Fason",L305*S305,0)</x:f>
        <x:v>0</x:v>
      </x:c>
      <x:c r="AI305" s="38" t="n">
        <x:f>IF(E305="Kurum içi",AC305*AD305+AE305*AF305+AB305*12%,0)</x:f>
        <x:v>20770.424563399996</x:v>
      </x:c>
      <x:c r="AJ305" s="38" t="n">
        <x:f>V305*AG305</x:f>
        <x:v>1000.9605361974818</x:v>
      </x:c>
      <x:c r="AK305" s="38" t="n">
        <x:f>AB305*2%</x:f>
        <x:v>3004.3098539</x:v>
      </x:c>
      <x:c r="AL305" s="38" t="n">
        <x:f>AB305+AH305+AI305+AJ305+AK305</x:f>
        <x:v>174991.18764849746</x:v>
      </x:c>
      <x:c r="AM305" s="38" t="n">
        <x:f>AL305/V305</x:f>
        <x:v>973.7655781164882</x:v>
      </x:c>
      <x:c r="AN305" s="40" t="n">
        <x:f>(W305+X305)/AL305*100</x:f>
        <x:v>75.1600767429441</x:v>
      </x:c>
      <x:c r="AO305" s="28" t="str">
        <x:v>R01-R20; ilgili satırdaki bölgesel fiyat ve maliyet varsayımları</x:v>
      </x:c>
      <x:c r="AP305" s="28" t="str">
        <x:v>Girdi miktarları, alım fiyatı değişimi, fason bedeli ve parti sonucu simüle edilmiştir; işletme kaydı değildir.</x:v>
      </x:c>
    </x:row>
    <x:row r="306" ht="22" customHeight="1">
      <x:c r="A306" t="str">
        <x:v>SUC-0305</x:v>
      </x:c>
      <x:c r="B306" s="36" t="n">
        <x:v>46276</x:v>
      </x:c>
      <x:c r="C306" t="str">
        <x:v>Marmara</x:v>
      </x:c>
      <x:c r="D306" t="str">
        <x:v>MEB_STANDART</x:v>
      </x:c>
      <x:c r="E306" t="str">
        <x:v>Kurum içi</x:v>
      </x:c>
      <x:c r="F306" s="42" t="str">
        <x:v>SENTETİK/SİMÜLE — gerçek parti kaydı değildir</x:v>
      </x:c>
      <x:c r="G306" s="38" t="n">
        <x:v>184.923</x:v>
      </x:c>
      <x:c r="H306" s="38" t="n">
        <x:v>58.401</x:v>
      </x:c>
      <x:c r="I306" s="38" t="n">
        <x:v>11.951</x:v>
      </x:c>
      <x:c r="J306" s="38" t="n">
        <x:v>7.216</x:v>
      </x:c>
      <x:c r="K306" s="38" t="n">
        <x:v>3.06</x:v>
      </x:c>
      <x:c r="L306" s="38" t="n">
        <x:f>SUM(G306:K306)</x:f>
        <x:v>265.551</x:v>
      </x:c>
      <x:c r="M306" s="38" t="n">
        <x:v>306.323</x:v>
      </x:c>
      <x:c r="N306" s="38" t="n">
        <x:v>594.76</x:v>
      </x:c>
      <x:c r="O306" s="38" t="n">
        <x:v>462.43</x:v>
      </x:c>
      <x:c r="P306" s="38" t="n">
        <x:v>669.9</x:v>
      </x:c>
      <x:c r="Q306" s="38" t="n">
        <x:v>19.88</x:v>
      </x:c>
      <x:c r="R306" s="38" t="n">
        <x:v>43.7475</x:v>
      </x:c>
      <x:c r="S306" s="38" t="n">
        <x:v>89.93</x:v>
      </x:c>
      <x:c r="T306" s="40" t="n">
        <x:v>23.94</x:v>
      </x:c>
      <x:c r="U306" s="40" t="n">
        <x:v>0.41</x:v>
      </x:c>
      <x:c r="V306" s="38" t="n">
        <x:f>L306*(1-T306/100)*(1-U306/100)</x:f>
        <x:v>201.14998042853998</x:v>
      </x:c>
      <x:c r="W306" s="38" t="n">
        <x:f>G306*N306</x:f>
        <x:v>109984.80348</x:v>
      </x:c>
      <x:c r="X306" s="38" t="n">
        <x:f>H306*O306</x:f>
        <x:v>27006.374430000003</x:v>
      </x:c>
      <x:c r="Y306" s="38" t="n">
        <x:f>I306*P306</x:f>
        <x:v>8005.9749</x:v>
      </x:c>
      <x:c r="Z306" s="38" t="n">
        <x:f>J306*Q306+K306*P306</x:f>
        <x:v>2193.3480799999998</x:v>
      </x:c>
      <x:c r="AA306" s="38" t="n">
        <x:f>M306*R306</x:f>
        <x:v>13400.8654425</x:v>
      </x:c>
      <x:c r="AB306" s="38" t="n">
        <x:f>SUM(W306:AA306)</x:f>
        <x:v>160591.3663325</x:v>
      </x:c>
      <x:c r="AC306" s="38" t="n">
        <x:v>15.07</x:v>
      </x:c>
      <x:c r="AD306" s="38" t="n">
        <x:v>174.33</x:v>
      </x:c>
      <x:c r="AE306" s="38" t="n">
        <x:v>117.99</x:v>
      </x:c>
      <x:c r="AF306" s="38" t="n">
        <x:v>4.8148</x:v>
      </x:c>
      <x:c r="AG306" s="38" t="n">
        <x:v>5.67</x:v>
      </x:c>
      <x:c r="AH306" s="38" t="n">
        <x:f>IF(E306="Fason",L306*S306,0)</x:f>
        <x:v>0</x:v>
      </x:c>
      <x:c r="AI306" s="38" t="n">
        <x:f>IF(E306="Kurum içi",AC306*AD306+AE306*AF306+AB306*12%,0)</x:f>
        <x:v>22466.2153119</x:v>
      </x:c>
      <x:c r="AJ306" s="38" t="n">
        <x:f>V306*AG306</x:f>
        <x:v>1140.5203890298217</x:v>
      </x:c>
      <x:c r="AK306" s="38" t="n">
        <x:f>AB306*2%</x:f>
        <x:v>3211.82732665</x:v>
      </x:c>
      <x:c r="AL306" s="38" t="n">
        <x:f>AB306+AH306+AI306+AJ306+AK306</x:f>
        <x:v>187409.92936007984</x:v>
      </x:c>
      <x:c r="AM306" s="38" t="n">
        <x:f>AL306/V306</x:f>
        <x:v>931.6925060634476</x:v>
      </x:c>
      <x:c r="AN306" s="40" t="n">
        <x:f>(W306+X306)/AL306*100</x:f>
        <x:v>73.09707568737842</x:v>
      </x:c>
      <x:c r="AO306" s="28" t="str">
        <x:v>R01-R20; ilgili satırdaki bölgesel fiyat ve maliyet varsayımları</x:v>
      </x:c>
      <x:c r="AP306" s="28" t="str">
        <x:v>Girdi miktarları, alım fiyatı değişimi, fason bedeli ve parti sonucu simüle edilmiştir; işletme kaydı değildir.</x:v>
      </x:c>
    </x:row>
    <x:row r="307" ht="22" customHeight="1">
      <x:c r="A307" t="str">
        <x:v>SUC-0306</x:v>
      </x:c>
      <x:c r="B307" s="36" t="n">
        <x:v>46289</x:v>
      </x:c>
      <x:c r="C307" t="str">
        <x:v>Ege</x:v>
      </x:c>
      <x:c r="D307" t="str">
        <x:v>ERZURUM_CI</x:v>
      </x:c>
      <x:c r="E307" t="str">
        <x:v>Kurum içi</x:v>
      </x:c>
      <x:c r="F307" s="42" t="str">
        <x:v>SENTETİK/SİMÜLE — gerçek parti kaydı değildir</x:v>
      </x:c>
      <x:c r="G307" s="38" t="n">
        <x:v>101.688</x:v>
      </x:c>
      <x:c r="H307" s="38" t="n">
        <x:v>18.932</x:v>
      </x:c>
      <x:c r="I307" s="38" t="n">
        <x:v>6.015</x:v>
      </x:c>
      <x:c r="J307" s="38" t="n">
        <x:v>2.213</x:v>
      </x:c>
      <x:c r="K307" s="38" t="n">
        <x:v>0.227</x:v>
      </x:c>
      <x:c r="L307" s="38" t="n">
        <x:f>SUM(G307:K307)</x:f>
        <x:v>129.07500000000002</x:v>
      </x:c>
      <x:c r="M307" s="38" t="n">
        <x:v>172.247</x:v>
      </x:c>
      <x:c r="N307" s="38" t="n">
        <x:v>604.37</x:v>
      </x:c>
      <x:c r="O307" s="38" t="n">
        <x:v>430.54</x:v>
      </x:c>
      <x:c r="P307" s="38" t="n">
        <x:v>550</x:v>
      </x:c>
      <x:c r="Q307" s="38" t="n">
        <x:v>19.88</x:v>
      </x:c>
      <x:c r="R307" s="38" t="n">
        <x:v>43.7475</x:v>
      </x:c>
      <x:c r="S307" s="38" t="n">
        <x:v>80.57</x:v>
      </x:c>
      <x:c r="T307" s="40" t="n">
        <x:v>20.03</x:v>
      </x:c>
      <x:c r="U307" s="40" t="n">
        <x:v>0.42</x:v>
      </x:c>
      <x:c r="V307" s="38" t="n">
        <x:f>L307*(1-T307/100)*(1-U307/100)</x:f>
        <x:v>102.78774813450002</x:v>
      </x:c>
      <x:c r="W307" s="38" t="n">
        <x:f>G307*N307</x:f>
        <x:v>61457.17656</x:v>
      </x:c>
      <x:c r="X307" s="38" t="n">
        <x:f>H307*O307</x:f>
        <x:v>8150.9832799999995</x:v>
      </x:c>
      <x:c r="Y307" s="38" t="n">
        <x:f>I307*P307</x:f>
        <x:v>3308.25</x:v>
      </x:c>
      <x:c r="Z307" s="38" t="n">
        <x:f>J307*Q307+K307*P307</x:f>
        <x:v>168.84444000000002</x:v>
      </x:c>
      <x:c r="AA307" s="38" t="n">
        <x:f>M307*R307</x:f>
        <x:v>7535.375632500001</x:v>
      </x:c>
      <x:c r="AB307" s="38" t="n">
        <x:f>SUM(W307:AA307)</x:f>
        <x:v>80620.6299125</x:v>
      </x:c>
      <x:c r="AC307" s="38" t="n">
        <x:v>5.3</x:v>
      </x:c>
      <x:c r="AD307" s="38" t="n">
        <x:v>174.33</x:v>
      </x:c>
      <x:c r="AE307" s="38" t="n">
        <x:v>47.68</x:v>
      </x:c>
      <x:c r="AF307" s="38" t="n">
        <x:v>4.8148</x:v>
      </x:c>
      <x:c r="AG307" s="38" t="n">
        <x:v>5.65</x:v>
      </x:c>
      <x:c r="AH307" s="38" t="n">
        <x:f>IF(E307="Fason",L307*S307,0)</x:f>
        <x:v>0</x:v>
      </x:c>
      <x:c r="AI307" s="38" t="n">
        <x:f>IF(E307="Kurum içi",AC307*AD307+AE307*AF307+AB307*12%,0)</x:f>
        <x:v>10827.994253499997</x:v>
      </x:c>
      <x:c r="AJ307" s="38" t="n">
        <x:f>V307*AG307</x:f>
        <x:v>580.7507769599251</x:v>
      </x:c>
      <x:c r="AK307" s="38" t="n">
        <x:f>AB307*2%</x:f>
        <x:v>1612.41259825</x:v>
      </x:c>
      <x:c r="AL307" s="38" t="n">
        <x:f>AB307+AH307+AI307+AJ307+AK307</x:f>
        <x:v>93641.78754120992</x:v>
      </x:c>
      <x:c r="AM307" s="38" t="n">
        <x:f>AL307/V307</x:f>
        <x:v>911.0209070703406</x:v>
      </x:c>
      <x:c r="AN307" s="40" t="n">
        <x:f>(W307+X307)/AL307*100</x:f>
        <x:v>74.33450563869982</x:v>
      </x:c>
      <x:c r="AO307" s="28" t="str">
        <x:v>R01-R20; ilgili satırdaki bölgesel fiyat ve maliyet varsayımları</x:v>
      </x:c>
      <x:c r="AP307" s="28" t="str">
        <x:v>Girdi miktarları, alım fiyatı değişimi, fason bedeli ve parti sonucu simüle edilmiştir; işletme kaydı değildir.</x:v>
      </x:c>
    </x:row>
    <x:row r="308" ht="22" customHeight="1">
      <x:c r="A308" t="str">
        <x:v>SUC-0307</x:v>
      </x:c>
      <x:c r="B308" s="36" t="n">
        <x:v>46300</x:v>
      </x:c>
      <x:c r="C308" t="str">
        <x:v>Ege</x:v>
      </x:c>
      <x:c r="D308" t="str">
        <x:v>ERZURUM_CI</x:v>
      </x:c>
      <x:c r="E308" t="str">
        <x:v>Fason</x:v>
      </x:c>
      <x:c r="F308" s="42" t="str">
        <x:v>SENTETİK/SİMÜLE — gerçek parti kaydı değildir</x:v>
      </x:c>
      <x:c r="G308" s="38" t="n">
        <x:v>387.079</x:v>
      </x:c>
      <x:c r="H308" s="38" t="n">
        <x:v>66.013</x:v>
      </x:c>
      <x:c r="I308" s="38" t="n">
        <x:v>24.185</x:v>
      </x:c>
      <x:c r="J308" s="38" t="n">
        <x:v>7.739</x:v>
      </x:c>
      <x:c r="K308" s="38" t="n">
        <x:v>0.491</x:v>
      </x:c>
      <x:c r="L308" s="38" t="n">
        <x:f>SUM(G308:K308)</x:f>
        <x:v>485.50699999999995</x:v>
      </x:c>
      <x:c r="M308" s="38" t="n">
        <x:v>646.218</x:v>
      </x:c>
      <x:c r="N308" s="38" t="n">
        <x:v>587.53</x:v>
      </x:c>
      <x:c r="O308" s="38" t="n">
        <x:v>473.03</x:v>
      </x:c>
      <x:c r="P308" s="38" t="n">
        <x:v>550</x:v>
      </x:c>
      <x:c r="Q308" s="38" t="n">
        <x:v>19.88</x:v>
      </x:c>
      <x:c r="R308" s="38" t="n">
        <x:v>43.7475</x:v>
      </x:c>
      <x:c r="S308" s="38" t="n">
        <x:v>82.77</x:v>
      </x:c>
      <x:c r="T308" s="40" t="n">
        <x:v>29.35</x:v>
      </x:c>
      <x:c r="U308" s="40" t="n">
        <x:v>1.69</x:v>
      </x:c>
      <x:c r="V308" s="38" t="n">
        <x:f>L308*(1-T308/100)*(1-U308/100)</x:f>
        <x:v>337.21381474604993</x:v>
      </x:c>
      <x:c r="W308" s="38" t="n">
        <x:f>G308*N308</x:f>
        <x:v>227420.52487</x:v>
      </x:c>
      <x:c r="X308" s="38" t="n">
        <x:f>H308*O308</x:f>
        <x:v>31226.129390000002</x:v>
      </x:c>
      <x:c r="Y308" s="38" t="n">
        <x:f>I308*P308</x:f>
        <x:v>13301.75</x:v>
      </x:c>
      <x:c r="Z308" s="38" t="n">
        <x:f>J308*Q308+K308*P308</x:f>
        <x:v>423.90132</x:v>
      </x:c>
      <x:c r="AA308" s="38" t="n">
        <x:f>M308*R308</x:f>
        <x:v>28270.421954999998</x:v>
      </x:c>
      <x:c r="AB308" s="38" t="n">
        <x:f>SUM(W308:AA308)</x:f>
        <x:v>300642.72753499995</x:v>
      </x:c>
      <x:c r="AC308" s="38" t="n">
        <x:v>24.84</x:v>
      </x:c>
      <x:c r="AD308" s="38" t="n">
        <x:v>174.33</x:v>
      </x:c>
      <x:c r="AE308" s="38" t="n">
        <x:v>112.78</x:v>
      </x:c>
      <x:c r="AF308" s="38" t="n">
        <x:v>4.8148</x:v>
      </x:c>
      <x:c r="AG308" s="38" t="n">
        <x:v>5.69</x:v>
      </x:c>
      <x:c r="AH308" s="38" t="n">
        <x:f>IF(E308="Fason",L308*S308,0)</x:f>
        <x:v>40185.41438999999</x:v>
      </x:c>
      <x:c r="AI308" s="38" t="n">
        <x:f>IF(E308="Kurum içi",AC308*AD308+AE308*AF308+AB308*12%,0)</x:f>
        <x:v>0</x:v>
      </x:c>
      <x:c r="AJ308" s="38" t="n">
        <x:f>V308*AG308</x:f>
        <x:v>1918.7466059050244</x:v>
      </x:c>
      <x:c r="AK308" s="38" t="n">
        <x:f>AB308*2%</x:f>
        <x:v>6012.854550699999</x:v>
      </x:c>
      <x:c r="AL308" s="38" t="n">
        <x:f>AB308+AH308+AI308+AJ308+AK308</x:f>
        <x:v>348759.74308160495</x:v>
      </x:c>
      <x:c r="AM308" s="38" t="n">
        <x:f>AL308/V308</x:f>
        <x:v>1034.2391913695767</x:v>
      </x:c>
      <x:c r="AN308" s="40" t="n">
        <x:f>(W308+X308)/AL308*100</x:f>
        <x:v>74.16184332934328</x:v>
      </x:c>
      <x:c r="AO308" s="28" t="str">
        <x:v>R01-R20; ilgili satırdaki bölgesel fiyat ve maliyet varsayımları</x:v>
      </x:c>
      <x:c r="AP308" s="28" t="str">
        <x:v>Girdi miktarları, alım fiyatı değişimi, fason bedeli ve parti sonucu simüle edilmiştir; işletme kaydı değildir.</x:v>
      </x:c>
    </x:row>
    <x:row r="309" ht="22" customHeight="1">
      <x:c r="A309" t="str">
        <x:v>SUC-0308</x:v>
      </x:c>
      <x:c r="B309" s="36" t="n">
        <x:v>46286</x:v>
      </x:c>
      <x:c r="C309" t="str">
        <x:v>İç Anadolu</x:v>
      </x:c>
      <x:c r="D309" t="str">
        <x:v>MEB_STANDART</x:v>
      </x:c>
      <x:c r="E309" t="str">
        <x:v>Kurum içi</x:v>
      </x:c>
      <x:c r="F309" s="42" t="str">
        <x:v>SENTETİK/SİMÜLE — gerçek parti kaydı değildir</x:v>
      </x:c>
      <x:c r="G309" s="38" t="n">
        <x:v>313.839</x:v>
      </x:c>
      <x:c r="H309" s="38" t="n">
        <x:v>95.891</x:v>
      </x:c>
      <x:c r="I309" s="38" t="n">
        <x:v>21.024</x:v>
      </x:c>
      <x:c r="J309" s="38" t="n">
        <x:v>11.839</x:v>
      </x:c>
      <x:c r="K309" s="38" t="n">
        <x:v>4.759</x:v>
      </x:c>
      <x:c r="L309" s="38" t="n">
        <x:f>SUM(G309:K309)</x:f>
        <x:v>447.35200000000003</x:v>
      </x:c>
      <x:c r="M309" s="38" t="n">
        <x:v>539.258</x:v>
      </x:c>
      <x:c r="N309" s="38" t="n">
        <x:v>590.86</x:v>
      </x:c>
      <x:c r="O309" s="38" t="n">
        <x:v>458.38</x:v>
      </x:c>
      <x:c r="P309" s="38" t="n">
        <x:v>550</x:v>
      </x:c>
      <x:c r="Q309" s="38" t="n">
        <x:v>19.88</x:v>
      </x:c>
      <x:c r="R309" s="38" t="n">
        <x:v>43.7475</x:v>
      </x:c>
      <x:c r="S309" s="38" t="n">
        <x:v>91.77</x:v>
      </x:c>
      <x:c r="T309" s="40" t="n">
        <x:v>23.56</x:v>
      </x:c>
      <x:c r="U309" s="40" t="n">
        <x:v>0.38</x:v>
      </x:c>
      <x:c r="V309" s="38" t="n">
        <x:f>L309*(1-T309/100)*(1-U309/100)</x:f>
        <x:v>340.65643649856</x:v>
      </x:c>
      <x:c r="W309" s="38" t="n">
        <x:f>G309*N309</x:f>
        <x:v>185434.91154</x:v>
      </x:c>
      <x:c r="X309" s="38" t="n">
        <x:f>H309*O309</x:f>
        <x:v>43954.51658</x:v>
      </x:c>
      <x:c r="Y309" s="38" t="n">
        <x:f>I309*P309</x:f>
        <x:v>11563.2</x:v>
      </x:c>
      <x:c r="Z309" s="38" t="n">
        <x:f>J309*Q309+K309*P309</x:f>
        <x:v>2852.8093200000003</x:v>
      </x:c>
      <x:c r="AA309" s="38" t="n">
        <x:f>M309*R309</x:f>
        <x:v>23591.189355000002</x:v>
      </x:c>
      <x:c r="AB309" s="38" t="n">
        <x:f>SUM(W309:AA309)</x:f>
        <x:v>267396.626795</x:v>
      </x:c>
      <x:c r="AC309" s="38" t="n">
        <x:v>22.54</x:v>
      </x:c>
      <x:c r="AD309" s="38" t="n">
        <x:v>174.33</x:v>
      </x:c>
      <x:c r="AE309" s="38" t="n">
        <x:v>138.71</x:v>
      </x:c>
      <x:c r="AF309" s="38" t="n">
        <x:v>4.8148</x:v>
      </x:c>
      <x:c r="AG309" s="38" t="n">
        <x:v>5.62</x:v>
      </x:c>
      <x:c r="AH309" s="38" t="n">
        <x:f>IF(E309="Fason",L309*S309,0)</x:f>
        <x:v>0</x:v>
      </x:c>
      <x:c r="AI309" s="38" t="n">
        <x:f>IF(E309="Kurum içi",AC309*AD309+AE309*AF309+AB309*12%,0)</x:f>
        <x:v>36684.854323399995</x:v>
      </x:c>
      <x:c r="AJ309" s="38" t="n">
        <x:f>V309*AG309</x:f>
        <x:v>1914.4891731219075</x:v>
      </x:c>
      <x:c r="AK309" s="38" t="n">
        <x:f>AB309*2%</x:f>
        <x:v>5347.9325358999995</x:v>
      </x:c>
      <x:c r="AL309" s="38" t="n">
        <x:f>AB309+AH309+AI309+AJ309+AK309</x:f>
        <x:v>311343.9028274219</x:v>
      </x:c>
      <x:c r="AM309" s="38" t="n">
        <x:f>AL309/V309</x:f>
        <x:v>913.9527966286877</x:v>
      </x:c>
      <x:c r="AN309" s="40" t="n">
        <x:f>(W309+X309)/AL309*100</x:f>
        <x:v>73.67718655699858</x:v>
      </x:c>
      <x:c r="AO309" s="28" t="str">
        <x:v>R01-R20; ilgili satırdaki bölgesel fiyat ve maliyet varsayımları</x:v>
      </x:c>
      <x:c r="AP309" s="28" t="str">
        <x:v>Girdi miktarları, alım fiyatı değişimi, fason bedeli ve parti sonucu simüle edilmiştir; işletme kaydı değildir.</x:v>
      </x:c>
    </x:row>
    <x:row r="310" ht="22" customHeight="1">
      <x:c r="A310" t="str">
        <x:v>SUC-0309</x:v>
      </x:c>
      <x:c r="B310" s="36" t="n">
        <x:v>46297</x:v>
      </x:c>
      <x:c r="C310" t="str">
        <x:v>İç Anadolu</x:v>
      </x:c>
      <x:c r="D310" t="str">
        <x:v>MEB_STANDART</x:v>
      </x:c>
      <x:c r="E310" t="str">
        <x:v>Kurum içi</x:v>
      </x:c>
      <x:c r="F310" s="42" t="str">
        <x:v>SENTETİK/SİMÜLE — gerçek parti kaydı değildir</x:v>
      </x:c>
      <x:c r="G310" s="38" t="n">
        <x:v>117.002</x:v>
      </x:c>
      <x:c r="H310" s="38" t="n">
        <x:v>36.899</x:v>
      </x:c>
      <x:c r="I310" s="38" t="n">
        <x:v>7.823</x:v>
      </x:c>
      <x:c r="J310" s="38" t="n">
        <x:v>4.03</x:v>
      </x:c>
      <x:c r="K310" s="38" t="n">
        <x:v>1.734</x:v>
      </x:c>
      <x:c r="L310" s="38" t="n">
        <x:f>SUM(G310:K310)</x:f>
        <x:v>167.48800000000003</x:v>
      </x:c>
      <x:c r="M310" s="38" t="n">
        <x:v>217.867</x:v>
      </x:c>
      <x:c r="N310" s="38" t="n">
        <x:v>582.87</x:v>
      </x:c>
      <x:c r="O310" s="38" t="n">
        <x:v>430.01</x:v>
      </x:c>
      <x:c r="P310" s="38" t="n">
        <x:v>669.9</x:v>
      </x:c>
      <x:c r="Q310" s="38" t="n">
        <x:v>19.88</x:v>
      </x:c>
      <x:c r="R310" s="38" t="n">
        <x:v>43.7475</x:v>
      </x:c>
      <x:c r="S310" s="38" t="n">
        <x:v>98.61</x:v>
      </x:c>
      <x:c r="T310" s="40" t="n">
        <x:v>24.37</x:v>
      </x:c>
      <x:c r="U310" s="40" t="n">
        <x:v>1.08</x:v>
      </x:c>
      <x:c r="V310" s="38" t="n">
        <x:f>L310*(1-T310/100)*(1-U310/100)</x:f>
        <x:v>125.30312571648001</x:v>
      </x:c>
      <x:c r="W310" s="38" t="n">
        <x:f>G310*N310</x:f>
        <x:v>68196.95574</x:v>
      </x:c>
      <x:c r="X310" s="38" t="n">
        <x:f>H310*O310</x:f>
        <x:v>15866.93899</x:v>
      </x:c>
      <x:c r="Y310" s="38" t="n">
        <x:f>I310*P310</x:f>
        <x:v>5240.6277</x:v>
      </x:c>
      <x:c r="Z310" s="38" t="n">
        <x:f>J310*Q310+K310*P310</x:f>
        <x:v>1241.723</x:v>
      </x:c>
      <x:c r="AA310" s="38" t="n">
        <x:f>M310*R310</x:f>
        <x:v>9531.1365825</x:v>
      </x:c>
      <x:c r="AB310" s="38" t="n">
        <x:f>SUM(W310:AA310)</x:f>
        <x:v>100077.38201249999</x:v>
      </x:c>
      <x:c r="AC310" s="38" t="n">
        <x:v>6.89</x:v>
      </x:c>
      <x:c r="AD310" s="38" t="n">
        <x:v>174.33</x:v>
      </x:c>
      <x:c r="AE310" s="38" t="n">
        <x:v>72.29</x:v>
      </x:c>
      <x:c r="AF310" s="38" t="n">
        <x:v>4.8148</x:v>
      </x:c>
      <x:c r="AG310" s="38" t="n">
        <x:v>5.75</x:v>
      </x:c>
      <x:c r="AH310" s="38" t="n">
        <x:f>IF(E310="Fason",L310*S310,0)</x:f>
        <x:v>0</x:v>
      </x:c>
      <x:c r="AI310" s="38" t="n">
        <x:f>IF(E310="Kurum içi",AC310*AD310+AE310*AF310+AB310*12%,0)</x:f>
        <x:v>13558.4814335</x:v>
      </x:c>
      <x:c r="AJ310" s="38" t="n">
        <x:f>V310*AG310</x:f>
        <x:v>720.49297286976</x:v>
      </x:c>
      <x:c r="AK310" s="38" t="n">
        <x:f>AB310*2%</x:f>
        <x:v>2001.5476402499999</x:v>
      </x:c>
      <x:c r="AL310" s="38" t="n">
        <x:f>AB310+AH310+AI310+AJ310+AK310</x:f>
        <x:v>116357.90405911976</x:v>
      </x:c>
      <x:c r="AM310" s="38" t="n">
        <x:f>AL310/V310</x:f>
        <x:v>928.6113446395553</x:v>
      </x:c>
      <x:c r="AN310" s="40" t="n">
        <x:f>(W310+X310)/AL310*100</x:f>
        <x:v>72.24596851391235</x:v>
      </x:c>
      <x:c r="AO310" s="28" t="str">
        <x:v>R01-R20; ilgili satırdaki bölgesel fiyat ve maliyet varsayımları</x:v>
      </x:c>
      <x:c r="AP310" s="28" t="str">
        <x:v>Girdi miktarları, alım fiyatı değişimi, fason bedeli ve parti sonucu simüle edilmiştir; işletme kaydı değildir.</x:v>
      </x:c>
    </x:row>
    <x:row r="311" ht="22" customHeight="1">
      <x:c r="A311" t="str">
        <x:v>SUC-0310</x:v>
      </x:c>
      <x:c r="B311" s="36" t="n">
        <x:v>46300</x:v>
      </x:c>
      <x:c r="C311" t="str">
        <x:v>Akdeniz</x:v>
      </x:c>
      <x:c r="D311" t="str">
        <x:v>ERZURUM_CI</x:v>
      </x:c>
      <x:c r="E311" t="str">
        <x:v>Kurum içi</x:v>
      </x:c>
      <x:c r="F311" s="42" t="str">
        <x:v>SENTETİK/SİMÜLE — gerçek parti kaydı değildir</x:v>
      </x:c>
      <x:c r="G311" s="38" t="n">
        <x:v>198.181</x:v>
      </x:c>
      <x:c r="H311" s="38" t="n">
        <x:v>34.17</x:v>
      </x:c>
      <x:c r="I311" s="38" t="n">
        <x:v>11.989</x:v>
      </x:c>
      <x:c r="J311" s="38" t="n">
        <x:v>3.63</x:v>
      </x:c>
      <x:c r="K311" s="38" t="n">
        <x:v>0.252</x:v>
      </x:c>
      <x:c r="L311" s="38" t="n">
        <x:f>SUM(G311:K311)</x:f>
        <x:v>248.222</x:v>
      </x:c>
      <x:c r="M311" s="38" t="n">
        <x:v>295.702</x:v>
      </x:c>
      <x:c r="N311" s="38" t="n">
        <x:v>585.25</x:v>
      </x:c>
      <x:c r="O311" s="38" t="n">
        <x:v>441.28</x:v>
      </x:c>
      <x:c r="P311" s="38" t="n">
        <x:v>550</x:v>
      </x:c>
      <x:c r="Q311" s="38" t="n">
        <x:v>19.88</x:v>
      </x:c>
      <x:c r="R311" s="38" t="n">
        <x:v>43.7475</x:v>
      </x:c>
      <x:c r="S311" s="38" t="n">
        <x:v>117.79</x:v>
      </x:c>
      <x:c r="T311" s="40" t="n">
        <x:v>19.68</x:v>
      </x:c>
      <x:c r="U311" s="40" t="n">
        <x:v>1.18</x:v>
      </x:c>
      <x:c r="V311" s="38" t="n">
        <x:f>L311*(1-T311/100)*(1-U311/100)</x:f>
        <x:v>197.01932185728</x:v>
      </x:c>
      <x:c r="W311" s="38" t="n">
        <x:f>G311*N311</x:f>
        <x:v>115985.43025</x:v>
      </x:c>
      <x:c r="X311" s="38" t="n">
        <x:f>H311*O311</x:f>
        <x:v>15078.5376</x:v>
      </x:c>
      <x:c r="Y311" s="38" t="n">
        <x:f>I311*P311</x:f>
        <x:v>6593.950000000001</x:v>
      </x:c>
      <x:c r="Z311" s="38" t="n">
        <x:f>J311*Q311+K311*P311</x:f>
        <x:v>210.7644</x:v>
      </x:c>
      <x:c r="AA311" s="38" t="n">
        <x:f>M311*R311</x:f>
        <x:v>12936.223245000001</x:v>
      </x:c>
      <x:c r="AB311" s="38" t="n">
        <x:f>SUM(W311:AA311)</x:f>
        <x:v>150804.90549499998</x:v>
      </x:c>
      <x:c r="AC311" s="38" t="n">
        <x:v>12.62</x:v>
      </x:c>
      <x:c r="AD311" s="38" t="n">
        <x:v>174.33</x:v>
      </x:c>
      <x:c r="AE311" s="38" t="n">
        <x:v>86.66</x:v>
      </x:c>
      <x:c r="AF311" s="38" t="n">
        <x:v>4.8148</x:v>
      </x:c>
      <x:c r="AG311" s="38" t="n">
        <x:v>5.69</x:v>
      </x:c>
      <x:c r="AH311" s="38" t="n">
        <x:f>IF(E311="Fason",L311*S311,0)</x:f>
        <x:v>0</x:v>
      </x:c>
      <x:c r="AI311" s="38" t="n">
        <x:f>IF(E311="Kurum içi",AC311*AD311+AE311*AF311+AB311*12%,0)</x:f>
        <x:v>20713.883827399997</x:v>
      </x:c>
      <x:c r="AJ311" s="38" t="n">
        <x:f>V311*AG311</x:f>
        <x:v>1121.0399413679233</x:v>
      </x:c>
      <x:c r="AK311" s="38" t="n">
        <x:f>AB311*2%</x:f>
        <x:v>3016.0981098999996</x:v>
      </x:c>
      <x:c r="AL311" s="38" t="n">
        <x:f>AB311+AH311+AI311+AJ311+AK311</x:f>
        <x:v>175655.9273736679</x:v>
      </x:c>
      <x:c r="AM311" s="38" t="n">
        <x:f>AL311/V311</x:f>
        <x:v>891.5670083410008</x:v>
      </x:c>
      <x:c r="AN311" s="40" t="n">
        <x:f>(W311+X311)/AL311*100</x:f>
        <x:v>74.61403085544124</x:v>
      </x:c>
      <x:c r="AO311" s="28" t="str">
        <x:v>R01-R20; ilgili satırdaki bölgesel fiyat ve maliyet varsayımları</x:v>
      </x:c>
      <x:c r="AP311" s="28" t="str">
        <x:v>Girdi miktarları, alım fiyatı değişimi, fason bedeli ve parti sonucu simüle edilmiştir; işletme kaydı değildir.</x:v>
      </x:c>
    </x:row>
    <x:row r="312" ht="22" customHeight="1">
      <x:c r="A312" t="str">
        <x:v>SUC-0311</x:v>
      </x:c>
      <x:c r="B312" s="36" t="n">
        <x:v>46281</x:v>
      </x:c>
      <x:c r="C312" t="str">
        <x:v>Akdeniz</x:v>
      </x:c>
      <x:c r="D312" t="str">
        <x:v>MEB_STANDART</x:v>
      </x:c>
      <x:c r="E312" t="str">
        <x:v>Kurum içi</x:v>
      </x:c>
      <x:c r="F312" s="42" t="str">
        <x:v>SENTETİK/SİMÜLE — gerçek parti kaydı değildir</x:v>
      </x:c>
      <x:c r="G312" s="38" t="n">
        <x:v>57.314</x:v>
      </x:c>
      <x:c r="H312" s="38" t="n">
        <x:v>17.638</x:v>
      </x:c>
      <x:c r="I312" s="38" t="n">
        <x:v>3.77</x:v>
      </x:c>
      <x:c r="J312" s="38" t="n">
        <x:v>2.045</x:v>
      </x:c>
      <x:c r="K312" s="38" t="n">
        <x:v>0.784</x:v>
      </x:c>
      <x:c r="L312" s="38" t="n">
        <x:f>SUM(G312:K312)</x:f>
        <x:v>81.551</x:v>
      </x:c>
      <x:c r="M312" s="38" t="n">
        <x:v>105.957</x:v>
      </x:c>
      <x:c r="N312" s="38" t="n">
        <x:v>588.9</x:v>
      </x:c>
      <x:c r="O312" s="38" t="n">
        <x:v>415.98</x:v>
      </x:c>
      <x:c r="P312" s="38" t="n">
        <x:v>400</x:v>
      </x:c>
      <x:c r="Q312" s="38" t="n">
        <x:v>19.88</x:v>
      </x:c>
      <x:c r="R312" s="38" t="n">
        <x:v>43.7475</x:v>
      </x:c>
      <x:c r="S312" s="38" t="n">
        <x:v>80.48</x:v>
      </x:c>
      <x:c r="T312" s="40" t="n">
        <x:v>30.17</x:v>
      </x:c>
      <x:c r="U312" s="40" t="n">
        <x:v>1.48</x:v>
      </x:c>
      <x:c r="V312" s="38" t="n">
        <x:f>L312*(1-T312/100)*(1-U312/100)</x:f>
        <x:v>56.10424676315999</x:v>
      </x:c>
      <x:c r="W312" s="38" t="n">
        <x:f>G312*N312</x:f>
        <x:v>33752.2146</x:v>
      </x:c>
      <x:c r="X312" s="38" t="n">
        <x:f>H312*O312</x:f>
        <x:v>7337.055240000001</x:v>
      </x:c>
      <x:c r="Y312" s="38" t="n">
        <x:f>I312*P312</x:f>
        <x:v>1508</x:v>
      </x:c>
      <x:c r="Z312" s="38" t="n">
        <x:f>J312*Q312+K312*P312</x:f>
        <x:v>354.25460000000004</x:v>
      </x:c>
      <x:c r="AA312" s="38" t="n">
        <x:f>M312*R312</x:f>
        <x:v>4635.3538575</x:v>
      </x:c>
      <x:c r="AB312" s="38" t="n">
        <x:f>SUM(W312:AA312)</x:f>
        <x:v>47586.8782975</x:v>
      </x:c>
      <x:c r="AC312" s="38" t="n">
        <x:v>5.5</x:v>
      </x:c>
      <x:c r="AD312" s="38" t="n">
        <x:v>174.33</x:v>
      </x:c>
      <x:c r="AE312" s="38" t="n">
        <x:v>38.26</x:v>
      </x:c>
      <x:c r="AF312" s="38" t="n">
        <x:v>4.8148</x:v>
      </x:c>
      <x:c r="AG312" s="38" t="n">
        <x:v>5.87</x:v>
      </x:c>
      <x:c r="AH312" s="38" t="n">
        <x:f>IF(E312="Fason",L312*S312,0)</x:f>
        <x:v>0</x:v>
      </x:c>
      <x:c r="AI312" s="38" t="n">
        <x:f>IF(E312="Kurum içi",AC312*AD312+AE312*AF312+AB312*12%,0)</x:f>
        <x:v>6853.4546437</x:v>
      </x:c>
      <x:c r="AJ312" s="38" t="n">
        <x:f>V312*AG312</x:f>
        <x:v>329.33192849974915</x:v>
      </x:c>
      <x:c r="AK312" s="38" t="n">
        <x:f>AB312*2%</x:f>
        <x:v>951.73756595</x:v>
      </x:c>
      <x:c r="AL312" s="38" t="n">
        <x:f>AB312+AH312+AI312+AJ312+AK312</x:f>
        <x:v>55721.402435649754</x:v>
      </x:c>
      <x:c r="AM312" s="38" t="n">
        <x:f>AL312/V312</x:f>
        <x:v>993.1761969975929</x:v>
      </x:c>
      <x:c r="AN312" s="40" t="n">
        <x:f>(W312+X312)/AL312*100</x:f>
        <x:v>73.74055218271333</x:v>
      </x:c>
      <x:c r="AO312" s="28" t="str">
        <x:v>R01-R20; ilgili satırdaki bölgesel fiyat ve maliyet varsayımları</x:v>
      </x:c>
      <x:c r="AP312" s="28" t="str">
        <x:v>Girdi miktarları, alım fiyatı değişimi, fason bedeli ve parti sonucu simüle edilmiştir; işletme kaydı değildir.</x:v>
      </x:c>
    </x:row>
    <x:row r="313" ht="22" customHeight="1">
      <x:c r="A313" t="str">
        <x:v>SUC-0312</x:v>
      </x:c>
      <x:c r="B313" s="36" t="n">
        <x:v>46300</x:v>
      </x:c>
      <x:c r="C313" t="str">
        <x:v>Doğu Anadolu</x:v>
      </x:c>
      <x:c r="D313" t="str">
        <x:v>ERZURUM_CI</x:v>
      </x:c>
      <x:c r="E313" t="str">
        <x:v>Kurum içi</x:v>
      </x:c>
      <x:c r="F313" s="42" t="str">
        <x:v>SENTETİK/SİMÜLE — gerçek parti kaydı değildir</x:v>
      </x:c>
      <x:c r="G313" s="38" t="n">
        <x:v>98.283</x:v>
      </x:c>
      <x:c r="H313" s="38" t="n">
        <x:v>17.041</x:v>
      </x:c>
      <x:c r="I313" s="38" t="n">
        <x:v>5.664</x:v>
      </x:c>
      <x:c r="J313" s="38" t="n">
        <x:v>1.796</x:v>
      </x:c>
      <x:c r="K313" s="38" t="n">
        <x:v>0.123</x:v>
      </x:c>
      <x:c r="L313" s="38" t="n">
        <x:f>SUM(G313:K313)</x:f>
        <x:v>122.90700000000001</x:v>
      </x:c>
      <x:c r="M313" s="38" t="n">
        <x:v>162.706</x:v>
      </x:c>
      <x:c r="N313" s="38" t="n">
        <x:v>582.52</x:v>
      </x:c>
      <x:c r="O313" s="38" t="n">
        <x:v>429.62</x:v>
      </x:c>
      <x:c r="P313" s="38" t="n">
        <x:v>400</x:v>
      </x:c>
      <x:c r="Q313" s="38" t="n">
        <x:v>19.88</x:v>
      </x:c>
      <x:c r="R313" s="38" t="n">
        <x:v>43.7475</x:v>
      </x:c>
      <x:c r="S313" s="38" t="n">
        <x:v>118.3</x:v>
      </x:c>
      <x:c r="T313" s="40" t="n">
        <x:v>17.85</x:v>
      </x:c>
      <x:c r="U313" s="40" t="n">
        <x:v>0.32</x:v>
      </x:c>
      <x:c r="V313" s="38" t="n">
        <x:f>L313*(1-T313/100)*(1-U313/100)</x:f>
        <x:v>100.64500257840001</x:v>
      </x:c>
      <x:c r="W313" s="38" t="n">
        <x:f>G313*N313</x:f>
        <x:v>57251.81316</x:v>
      </x:c>
      <x:c r="X313" s="38" t="n">
        <x:f>H313*O313</x:f>
        <x:v>7321.15442</x:v>
      </x:c>
      <x:c r="Y313" s="38" t="n">
        <x:f>I313*P313</x:f>
        <x:v>2265.6</x:v>
      </x:c>
      <x:c r="Z313" s="38" t="n">
        <x:f>J313*Q313+K313*P313</x:f>
        <x:v>84.90448</x:v>
      </x:c>
      <x:c r="AA313" s="38" t="n">
        <x:f>M313*R313</x:f>
        <x:v>7117.980735</x:v>
      </x:c>
      <x:c r="AB313" s="38" t="n">
        <x:f>SUM(W313:AA313)</x:f>
        <x:v>74041.452795</x:v>
      </x:c>
      <x:c r="AC313" s="38" t="n">
        <x:v>5.39</x:v>
      </x:c>
      <x:c r="AD313" s="38" t="n">
        <x:v>174.33</x:v>
      </x:c>
      <x:c r="AE313" s="38" t="n">
        <x:v>44.55</x:v>
      </x:c>
      <x:c r="AF313" s="38" t="n">
        <x:v>4.8148</x:v>
      </x:c>
      <x:c r="AG313" s="38" t="n">
        <x:v>5.22</x:v>
      </x:c>
      <x:c r="AH313" s="38" t="n">
        <x:f>IF(E313="Fason",L313*S313,0)</x:f>
        <x:v>0</x:v>
      </x:c>
      <x:c r="AI313" s="38" t="n">
        <x:f>IF(E313="Kurum içi",AC313*AD313+AE313*AF313+AB313*12%,0)</x:f>
        <x:v>10039.1123754</x:v>
      </x:c>
      <x:c r="AJ313" s="38" t="n">
        <x:f>V313*AG313</x:f>
        <x:v>525.366913459248</x:v>
      </x:c>
      <x:c r="AK313" s="38" t="n">
        <x:f>AB313*2%</x:f>
        <x:v>1480.8290559000002</x:v>
      </x:c>
      <x:c r="AL313" s="38" t="n">
        <x:f>AB313+AH313+AI313+AJ313+AK313</x:f>
        <x:v>86086.76113975926</x:v>
      </x:c>
      <x:c r="AM313" s="38" t="n">
        <x:f>AL313/V313</x:f>
        <x:v>855.3505781143953</x:v>
      </x:c>
      <x:c r="AN313" s="40" t="n">
        <x:f>(W313+X313)/AL313*100</x:f>
        <x:v>75.00917298441247</x:v>
      </x:c>
      <x:c r="AO313" s="28" t="str">
        <x:v>R01-R20; ilgili satırdaki bölgesel fiyat ve maliyet varsayımları</x:v>
      </x:c>
      <x:c r="AP313" s="28" t="str">
        <x:v>Girdi miktarları, alım fiyatı değişimi, fason bedeli ve parti sonucu simüle edilmiştir; işletme kaydı değildir.</x:v>
      </x:c>
    </x:row>
    <x:row r="314" ht="22" customHeight="1">
      <x:c r="A314" t="str">
        <x:v>SUC-0313</x:v>
      </x:c>
      <x:c r="B314" s="36" t="n">
        <x:v>46309</x:v>
      </x:c>
      <x:c r="C314" t="str">
        <x:v>Ege</x:v>
      </x:c>
      <x:c r="D314" t="str">
        <x:v>MEB_STANDART</x:v>
      </x:c>
      <x:c r="E314" t="str">
        <x:v>Kurum içi</x:v>
      </x:c>
      <x:c r="F314" s="42" t="str">
        <x:v>SENTETİK/SİMÜLE — gerçek parti kaydı değildir</x:v>
      </x:c>
      <x:c r="G314" s="38" t="n">
        <x:v>299.195</x:v>
      </x:c>
      <x:c r="H314" s="38" t="n">
        <x:v>91.996</x:v>
      </x:c>
      <x:c r="I314" s="38" t="n">
        <x:v>18.692</x:v>
      </x:c>
      <x:c r="J314" s="38" t="n">
        <x:v>11.032</x:v>
      </x:c>
      <x:c r="K314" s="38" t="n">
        <x:v>3.893</x:v>
      </x:c>
      <x:c r="L314" s="38" t="n">
        <x:f>SUM(G314:K314)</x:f>
        <x:v>424.80799999999994</x:v>
      </x:c>
      <x:c r="M314" s="38" t="n">
        <x:v>540.941</x:v>
      </x:c>
      <x:c r="N314" s="38" t="n">
        <x:v>590.31</x:v>
      </x:c>
      <x:c r="O314" s="38" t="n">
        <x:v>452.7</x:v>
      </x:c>
      <x:c r="P314" s="38" t="n">
        <x:v>550</x:v>
      </x:c>
      <x:c r="Q314" s="38" t="n">
        <x:v>19.88</x:v>
      </x:c>
      <x:c r="R314" s="38" t="n">
        <x:v>43.7475</x:v>
      </x:c>
      <x:c r="S314" s="38" t="n">
        <x:v>92.43</x:v>
      </x:c>
      <x:c r="T314" s="40" t="n">
        <x:v>27.45</x:v>
      </x:c>
      <x:c r="U314" s="40" t="n">
        <x:v>1.34</x:v>
      </x:c>
      <x:c r="V314" s="38" t="n">
        <x:f>L314*(1-T314/100)*(1-U314/100)</x:f>
        <x:v>304.0683480664</x:v>
      </x:c>
      <x:c r="W314" s="38" t="n">
        <x:f>G314*N314</x:f>
        <x:v>176617.80044999998</x:v>
      </x:c>
      <x:c r="X314" s="38" t="n">
        <x:f>H314*O314</x:f>
        <x:v>41646.589199999995</x:v>
      </x:c>
      <x:c r="Y314" s="38" t="n">
        <x:f>I314*P314</x:f>
        <x:v>10280.6</x:v>
      </x:c>
      <x:c r="Z314" s="38" t="n">
        <x:f>J314*Q314+K314*P314</x:f>
        <x:v>2360.46616</x:v>
      </x:c>
      <x:c r="AA314" s="38" t="n">
        <x:f>M314*R314</x:f>
        <x:v>23664.816397500002</x:v>
      </x:c>
      <x:c r="AB314" s="38" t="n">
        <x:f>SUM(W314:AA314)</x:f>
        <x:v>254570.27220749998</x:v>
      </x:c>
      <x:c r="AC314" s="38" t="n">
        <x:v>24.09</x:v>
      </x:c>
      <x:c r="AD314" s="38" t="n">
        <x:v>174.33</x:v>
      </x:c>
      <x:c r="AE314" s="38" t="n">
        <x:v>129.44</x:v>
      </x:c>
      <x:c r="AF314" s="38" t="n">
        <x:v>4.8148</x:v>
      </x:c>
      <x:c r="AG314" s="38" t="n">
        <x:v>5.38</x:v>
      </x:c>
      <x:c r="AH314" s="38" t="n">
        <x:f>IF(E314="Fason",L314*S314,0)</x:f>
        <x:v>0</x:v>
      </x:c>
      <x:c r="AI314" s="38" t="n">
        <x:f>IF(E314="Kurum içi",AC314*AD314+AE314*AF314+AB314*12%,0)</x:f>
        <x:v>35371.27007689999</x:v>
      </x:c>
      <x:c r="AJ314" s="38" t="n">
        <x:f>V314*AG314</x:f>
        <x:v>1635.887712597232</x:v>
      </x:c>
      <x:c r="AK314" s="38" t="n">
        <x:f>AB314*2%</x:f>
        <x:v>5091.405444149999</x:v>
      </x:c>
      <x:c r="AL314" s="38" t="n">
        <x:f>AB314+AH314+AI314+AJ314+AK314</x:f>
        <x:v>296668.83544114715</x:v>
      </x:c>
      <x:c r="AM314" s="38" t="n">
        <x:f>AL314/V314</x:f>
        <x:v>975.6649691679286</x:v>
      </x:c>
      <x:c r="AN314" s="40" t="n">
        <x:f>(W314+X314)/AL314*100</x:f>
        <x:v>73.57172832981948</x:v>
      </x:c>
      <x:c r="AO314" s="28" t="str">
        <x:v>R01-R20; ilgili satırdaki bölgesel fiyat ve maliyet varsayımları</x:v>
      </x:c>
      <x:c r="AP314" s="28" t="str">
        <x:v>Girdi miktarları, alım fiyatı değişimi, fason bedeli ve parti sonucu simüle edilmiştir; işletme kaydı değildir.</x:v>
      </x:c>
    </x:row>
    <x:row r="315" ht="22" customHeight="1">
      <x:c r="A315" t="str">
        <x:v>SUC-0314</x:v>
      </x:c>
      <x:c r="B315" s="36" t="n">
        <x:v>46315</x:v>
      </x:c>
      <x:c r="C315" t="str">
        <x:v>Doğu Anadolu</x:v>
      </x:c>
      <x:c r="D315" t="str">
        <x:v>MEB_STANDART</x:v>
      </x:c>
      <x:c r="E315" t="str">
        <x:v>Kurum içi</x:v>
      </x:c>
      <x:c r="F315" s="42" t="str">
        <x:v>SENTETİK/SİMÜLE — gerçek parti kaydı değildir</x:v>
      </x:c>
      <x:c r="G315" s="38" t="n">
        <x:v>291.113</x:v>
      </x:c>
      <x:c r="H315" s="38" t="n">
        <x:v>94.461</x:v>
      </x:c>
      <x:c r="I315" s="38" t="n">
        <x:v>19.601</x:v>
      </x:c>
      <x:c r="J315" s="38" t="n">
        <x:v>10.872</x:v>
      </x:c>
      <x:c r="K315" s="38" t="n">
        <x:v>4.745</x:v>
      </x:c>
      <x:c r="L315" s="38" t="n">
        <x:f>SUM(G315:K315)</x:f>
        <x:v>420.79200000000003</x:v>
      </x:c>
      <x:c r="M315" s="38" t="n">
        <x:v>561.25</x:v>
      </x:c>
      <x:c r="N315" s="38" t="n">
        <x:v>582.83</x:v>
      </x:c>
      <x:c r="O315" s="38" t="n">
        <x:v>448.51</x:v>
      </x:c>
      <x:c r="P315" s="38" t="n">
        <x:v>550</x:v>
      </x:c>
      <x:c r="Q315" s="38" t="n">
        <x:v>19.88</x:v>
      </x:c>
      <x:c r="R315" s="38" t="n">
        <x:v>43.7475</x:v>
      </x:c>
      <x:c r="S315" s="38" t="n">
        <x:v>71.73</x:v>
      </x:c>
      <x:c r="T315" s="40" t="n">
        <x:v>15.91</x:v>
      </x:c>
      <x:c r="U315" s="40" t="n">
        <x:v>0.46</x:v>
      </x:c>
      <x:c r="V315" s="38" t="n">
        <x:f>L315*(1-T315/100)*(1-U315/100)</x:f>
        <x:v>352.21631043312</x:v>
      </x:c>
      <x:c r="W315" s="38" t="n">
        <x:f>G315*N315</x:f>
        <x:v>169669.38979000002</x:v>
      </x:c>
      <x:c r="X315" s="38" t="n">
        <x:f>H315*O315</x:f>
        <x:v>42366.703109999995</x:v>
      </x:c>
      <x:c r="Y315" s="38" t="n">
        <x:f>I315*P315</x:f>
        <x:v>10780.55</x:v>
      </x:c>
      <x:c r="Z315" s="38" t="n">
        <x:f>J315*Q315+K315*P315</x:f>
        <x:v>2825.88536</x:v>
      </x:c>
      <x:c r="AA315" s="38" t="n">
        <x:f>M315*R315</x:f>
        <x:v>24553.284375000003</x:v>
      </x:c>
      <x:c r="AB315" s="38" t="n">
        <x:f>SUM(W315:AA315)</x:f>
        <x:v>250195.81263499998</x:v>
      </x:c>
      <x:c r="AC315" s="38" t="n">
        <x:v>21.58</x:v>
      </x:c>
      <x:c r="AD315" s="38" t="n">
        <x:v>174.33</x:v>
      </x:c>
      <x:c r="AE315" s="38" t="n">
        <x:v>116.17</x:v>
      </x:c>
      <x:c r="AF315" s="38" t="n">
        <x:v>4.8148</x:v>
      </x:c>
      <x:c r="AG315" s="38" t="n">
        <x:v>5.87</x:v>
      </x:c>
      <x:c r="AH315" s="38" t="n">
        <x:f>IF(E315="Fason",L315*S315,0)</x:f>
        <x:v>0</x:v>
      </x:c>
      <x:c r="AI315" s="38" t="n">
        <x:f>IF(E315="Kurum içi",AC315*AD315+AE315*AF315+AB315*12%,0)</x:f>
        <x:v>34344.874232199996</x:v>
      </x:c>
      <x:c r="AJ315" s="38" t="n">
        <x:f>V315*AG315</x:f>
        <x:v>2067.509742242414</x:v>
      </x:c>
      <x:c r="AK315" s="38" t="n">
        <x:f>AB315*2%</x:f>
        <x:v>5003.9162527</x:v>
      </x:c>
      <x:c r="AL315" s="38" t="n">
        <x:f>AB315+AH315+AI315+AJ315+AK315</x:f>
        <x:v>291612.1128621423</x:v>
      </x:c>
      <x:c r="AM315" s="38" t="n">
        <x:f>AL315/V315</x:f>
        <x:v>827.9347214316886</x:v>
      </x:c>
      <x:c r="AN315" s="40" t="n">
        <x:f>(W315+X315)/AL315*100</x:f>
        <x:v>72.71168910608273</x:v>
      </x:c>
      <x:c r="AO315" s="28" t="str">
        <x:v>R01-R20; ilgili satırdaki bölgesel fiyat ve maliyet varsayımları</x:v>
      </x:c>
      <x:c r="AP315" s="28" t="str">
        <x:v>Girdi miktarları, alım fiyatı değişimi, fason bedeli ve parti sonucu simüle edilmiştir; işletme kaydı değildir.</x:v>
      </x:c>
    </x:row>
    <x:row r="316" ht="22" customHeight="1">
      <x:c r="A316" t="str">
        <x:v>SUC-0315</x:v>
      </x:c>
      <x:c r="B316" s="36" t="n">
        <x:v>46298</x:v>
      </x:c>
      <x:c r="C316" t="str">
        <x:v>Güneydoğu Anadolu</x:v>
      </x:c>
      <x:c r="D316" t="str">
        <x:v>MEB_STANDART</x:v>
      </x:c>
      <x:c r="E316" t="str">
        <x:v>Kurum içi</x:v>
      </x:c>
      <x:c r="F316" s="42" t="str">
        <x:v>SENTETİK/SİMÜLE — gerçek parti kaydı değildir</x:v>
      </x:c>
      <x:c r="G316" s="38" t="n">
        <x:v>207.961</x:v>
      </x:c>
      <x:c r="H316" s="38" t="n">
        <x:v>65.744</x:v>
      </x:c>
      <x:c r="I316" s="38" t="n">
        <x:v>12.496</x:v>
      </x:c>
      <x:c r="J316" s="38" t="n">
        <x:v>7.245</x:v>
      </x:c>
      <x:c r="K316" s="38" t="n">
        <x:v>2.849</x:v>
      </x:c>
      <x:c r="L316" s="38" t="n">
        <x:f>SUM(G316:K316)</x:f>
        <x:v>296.295</x:v>
      </x:c>
      <x:c r="M316" s="38" t="n">
        <x:v>382.524</x:v>
      </x:c>
      <x:c r="N316" s="38" t="n">
        <x:v>575.88</x:v>
      </x:c>
      <x:c r="O316" s="38" t="n">
        <x:v>433.4</x:v>
      </x:c>
      <x:c r="P316" s="38" t="n">
        <x:v>669.9</x:v>
      </x:c>
      <x:c r="Q316" s="38" t="n">
        <x:v>19.88</x:v>
      </x:c>
      <x:c r="R316" s="38" t="n">
        <x:v>43.7475</x:v>
      </x:c>
      <x:c r="S316" s="38" t="n">
        <x:v>84.58</x:v>
      </x:c>
      <x:c r="T316" s="40" t="n">
        <x:v>16.06</x:v>
      </x:c>
      <x:c r="U316" s="40" t="n">
        <x:v>0.72</x:v>
      </x:c>
      <x:c r="V316" s="38" t="n">
        <x:f>L316*(1-T316/100)*(1-U316/100)</x:f>
        <x:v>246.91931083440005</x:v>
      </x:c>
      <x:c r="W316" s="38" t="n">
        <x:f>G316*N316</x:f>
        <x:v>119760.58068</x:v>
      </x:c>
      <x:c r="X316" s="38" t="n">
        <x:f>H316*O316</x:f>
        <x:v>28493.4496</x:v>
      </x:c>
      <x:c r="Y316" s="38" t="n">
        <x:f>I316*P316</x:f>
        <x:v>8371.0704</x:v>
      </x:c>
      <x:c r="Z316" s="38" t="n">
        <x:f>J316*Q316+K316*P316</x:f>
        <x:v>2052.5757</x:v>
      </x:c>
      <x:c r="AA316" s="38" t="n">
        <x:f>M316*R316</x:f>
        <x:v>16734.46869</x:v>
      </x:c>
      <x:c r="AB316" s="38" t="n">
        <x:f>SUM(W316:AA316)</x:f>
        <x:v>175412.14507</x:v>
      </x:c>
      <x:c r="AC316" s="38" t="n">
        <x:v>19.07</x:v>
      </x:c>
      <x:c r="AD316" s="38" t="n">
        <x:v>174.33</x:v>
      </x:c>
      <x:c r="AE316" s="38" t="n">
        <x:v>74.97</x:v>
      </x:c>
      <x:c r="AF316" s="38" t="n">
        <x:v>4.8148</x:v>
      </x:c>
      <x:c r="AG316" s="38" t="n">
        <x:v>5.73</x:v>
      </x:c>
      <x:c r="AH316" s="38" t="n">
        <x:f>IF(E316="Fason",L316*S316,0)</x:f>
        <x:v>0</x:v>
      </x:c>
      <x:c r="AI316" s="38" t="n">
        <x:f>IF(E316="Kurum içi",AC316*AD316+AE316*AF316+AB316*12%,0)</x:f>
        <x:v>24734.896064399996</x:v>
      </x:c>
      <x:c r="AJ316" s="38" t="n">
        <x:f>V316*AG316</x:f>
        <x:v>1414.8476510811124</x:v>
      </x:c>
      <x:c r="AK316" s="38" t="n">
        <x:f>AB316*2%</x:f>
        <x:v>3508.2429014</x:v>
      </x:c>
      <x:c r="AL316" s="38" t="n">
        <x:f>AB316+AH316+AI316+AJ316+AK316</x:f>
        <x:v>205070.1316868811</x:v>
      </x:c>
      <x:c r="AM316" s="38" t="n">
        <x:f>AL316/V316</x:f>
        <x:v>830.514758015076</x:v>
      </x:c>
      <x:c r="AN316" s="40" t="n">
        <x:f>(W316+X316)/AL316*100</x:f>
        <x:v>72.29430686003906</x:v>
      </x:c>
      <x:c r="AO316" s="28" t="str">
        <x:v>R01-R20; ilgili satırdaki bölgesel fiyat ve maliyet varsayımları</x:v>
      </x:c>
      <x:c r="AP316" s="28" t="str">
        <x:v>Girdi miktarları, alım fiyatı değişimi, fason bedeli ve parti sonucu simüle edilmiştir; işletme kaydı değildir.</x:v>
      </x:c>
    </x:row>
    <x:row r="317" ht="22" customHeight="1">
      <x:c r="A317" t="str">
        <x:v>SUC-0316</x:v>
      </x:c>
      <x:c r="B317" s="36" t="n">
        <x:v>46293</x:v>
      </x:c>
      <x:c r="C317" t="str">
        <x:v>İç Anadolu</x:v>
      </x:c>
      <x:c r="D317" t="str">
        <x:v>ERZURUM_CI</x:v>
      </x:c>
      <x:c r="E317" t="str">
        <x:v>Kurum içi</x:v>
      </x:c>
      <x:c r="F317" s="42" t="str">
        <x:v>SENTETİK/SİMÜLE — gerçek parti kaydı değildir</x:v>
      </x:c>
      <x:c r="G317" s="38" t="n">
        <x:v>197.319</x:v>
      </x:c>
      <x:c r="H317" s="38" t="n">
        <x:v>37.462</x:v>
      </x:c>
      <x:c r="I317" s="38" t="n">
        <x:v>12.188</x:v>
      </x:c>
      <x:c r="J317" s="38" t="n">
        <x:v>3.49</x:v>
      </x:c>
      <x:c r="K317" s="38" t="n">
        <x:v>0.104</x:v>
      </x:c>
      <x:c r="L317" s="38" t="n">
        <x:f>SUM(G317:K317)</x:f>
        <x:v>250.56300000000002</x:v>
      </x:c>
      <x:c r="M317" s="38" t="n">
        <x:v>303.948</x:v>
      </x:c>
      <x:c r="N317" s="38" t="n">
        <x:v>595.59</x:v>
      </x:c>
      <x:c r="O317" s="38" t="n">
        <x:v>448.77</x:v>
      </x:c>
      <x:c r="P317" s="38" t="n">
        <x:v>669.9</x:v>
      </x:c>
      <x:c r="Q317" s="38" t="n">
        <x:v>19.88</x:v>
      </x:c>
      <x:c r="R317" s="38" t="n">
        <x:v>43.7475</x:v>
      </x:c>
      <x:c r="S317" s="38" t="n">
        <x:v>68.92</x:v>
      </x:c>
      <x:c r="T317" s="40" t="n">
        <x:v>18.28</x:v>
      </x:c>
      <x:c r="U317" s="40" t="n">
        <x:v>1.27</x:v>
      </x:c>
      <x:c r="V317" s="38" t="n">
        <x:f>L317*(1-T317/100)*(1-U317/100)</x:f>
        <x:v>202.15963053828</x:v>
      </x:c>
      <x:c r="W317" s="38" t="n">
        <x:f>G317*N317</x:f>
        <x:v>117521.22321</x:v>
      </x:c>
      <x:c r="X317" s="38" t="n">
        <x:f>H317*O317</x:f>
        <x:v>16811.82174</x:v>
      </x:c>
      <x:c r="Y317" s="38" t="n">
        <x:f>I317*P317</x:f>
        <x:v>8164.7412</x:v>
      </x:c>
      <x:c r="Z317" s="38" t="n">
        <x:f>J317*Q317+K317*P317</x:f>
        <x:v>139.05079999999998</x:v>
      </x:c>
      <x:c r="AA317" s="38" t="n">
        <x:f>M317*R317</x:f>
        <x:v>13296.96513</x:v>
      </x:c>
      <x:c r="AB317" s="38" t="n">
        <x:f>SUM(W317:AA317)</x:f>
        <x:v>155933.80208</x:v>
      </x:c>
      <x:c r="AC317" s="38" t="n">
        <x:v>17.24</x:v>
      </x:c>
      <x:c r="AD317" s="38" t="n">
        <x:v>174.33</x:v>
      </x:c>
      <x:c r="AE317" s="38" t="n">
        <x:v>105.82</x:v>
      </x:c>
      <x:c r="AF317" s="38" t="n">
        <x:v>4.8148</x:v>
      </x:c>
      <x:c r="AG317" s="38" t="n">
        <x:v>5.27</x:v>
      </x:c>
      <x:c r="AH317" s="38" t="n">
        <x:f>IF(E317="Fason",L317*S317,0)</x:f>
        <x:v>0</x:v>
      </x:c>
      <x:c r="AI317" s="38" t="n">
        <x:f>IF(E317="Kurum içi",AC317*AD317+AE317*AF317+AB317*12%,0)</x:f>
        <x:v>22227.007585599997</x:v>
      </x:c>
      <x:c r="AJ317" s="38" t="n">
        <x:f>V317*AG317</x:f>
        <x:v>1065.3812529367356</x:v>
      </x:c>
      <x:c r="AK317" s="38" t="n">
        <x:f>AB317*2%</x:f>
        <x:v>3118.6760415999997</x:v>
      </x:c>
      <x:c r="AL317" s="38" t="n">
        <x:f>AB317+AH317+AI317+AJ317+AK317</x:f>
        <x:v>182344.86696013671</x:v>
      </x:c>
      <x:c r="AM317" s="38" t="n">
        <x:f>AL317/V317</x:f>
        <x:v>901.9845677132297</x:v>
      </x:c>
      <x:c r="AN317" s="40" t="n">
        <x:f>(W317+X317)/AL317*100</x:f>
        <x:v>73.66977046815757</x:v>
      </x:c>
      <x:c r="AO317" s="28" t="str">
        <x:v>R01-R20; ilgili satırdaki bölgesel fiyat ve maliyet varsayımları</x:v>
      </x:c>
      <x:c r="AP317" s="28" t="str">
        <x:v>Girdi miktarları, alım fiyatı değişimi, fason bedeli ve parti sonucu simüle edilmiştir; işletme kaydı değildir.</x:v>
      </x:c>
    </x:row>
    <x:row r="318" ht="22" customHeight="1">
      <x:c r="A318" t="str">
        <x:v>SUC-0317</x:v>
      </x:c>
      <x:c r="B318" s="36" t="n">
        <x:v>46289</x:v>
      </x:c>
      <x:c r="C318" t="str">
        <x:v>İç Anadolu</x:v>
      </x:c>
      <x:c r="D318" t="str">
        <x:v>MEB_STANDART</x:v>
      </x:c>
      <x:c r="E318" t="str">
        <x:v>Kurum içi</x:v>
      </x:c>
      <x:c r="F318" s="42" t="str">
        <x:v>SENTETİK/SİMÜLE — gerçek parti kaydı değildir</x:v>
      </x:c>
      <x:c r="G318" s="38" t="n">
        <x:v>59.391</x:v>
      </x:c>
      <x:c r="H318" s="38" t="n">
        <x:v>18.426</x:v>
      </x:c>
      <x:c r="I318" s="38" t="n">
        <x:v>3.778</x:v>
      </x:c>
      <x:c r="J318" s="38" t="n">
        <x:v>2.086</x:v>
      </x:c>
      <x:c r="K318" s="38" t="n">
        <x:v>0.997</x:v>
      </x:c>
      <x:c r="L318" s="38" t="n">
        <x:f>SUM(G318:K318)</x:f>
        <x:v>84.678</x:v>
      </x:c>
      <x:c r="M318" s="38" t="n">
        <x:v>109.41</x:v>
      </x:c>
      <x:c r="N318" s="38" t="n">
        <x:v>588.59</x:v>
      </x:c>
      <x:c r="O318" s="38" t="n">
        <x:v>454.88</x:v>
      </x:c>
      <x:c r="P318" s="38" t="n">
        <x:v>400</x:v>
      </x:c>
      <x:c r="Q318" s="38" t="n">
        <x:v>19.88</x:v>
      </x:c>
      <x:c r="R318" s="38" t="n">
        <x:v>43.7475</x:v>
      </x:c>
      <x:c r="S318" s="38" t="n">
        <x:v>107.92</x:v>
      </x:c>
      <x:c r="T318" s="40" t="n">
        <x:v>29.06</x:v>
      </x:c>
      <x:c r="U318" s="40" t="n">
        <x:v>0.93</x:v>
      </x:c>
      <x:c r="V318" s="38" t="n">
        <x:f>L318*(1-T318/100)*(1-U318/100)</x:f>
        <x:v>59.51191686924</x:v>
      </x:c>
      <x:c r="W318" s="38" t="n">
        <x:f>G318*N318</x:f>
        <x:v>34956.94869</x:v>
      </x:c>
      <x:c r="X318" s="38" t="n">
        <x:f>H318*O318</x:f>
        <x:v>8381.61888</x:v>
      </x:c>
      <x:c r="Y318" s="38" t="n">
        <x:f>I318*P318</x:f>
        <x:v>1511.2</x:v>
      </x:c>
      <x:c r="Z318" s="38" t="n">
        <x:f>J318*Q318+K318*P318</x:f>
        <x:v>440.26968</x:v>
      </x:c>
      <x:c r="AA318" s="38" t="n">
        <x:f>M318*R318</x:f>
        <x:v>4786.413975</x:v>
      </x:c>
      <x:c r="AB318" s="38" t="n">
        <x:f>SUM(W318:AA318)</x:f>
        <x:v>50076.451225</x:v>
      </x:c>
      <x:c r="AC318" s="38" t="n">
        <x:v>3.53</x:v>
      </x:c>
      <x:c r="AD318" s="38" t="n">
        <x:v>174.33</x:v>
      </x:c>
      <x:c r="AE318" s="38" t="n">
        <x:v>37.87</x:v>
      </x:c>
      <x:c r="AF318" s="38" t="n">
        <x:v>4.8148</x:v>
      </x:c>
      <x:c r="AG318" s="38" t="n">
        <x:v>5.39</x:v>
      </x:c>
      <x:c r="AH318" s="38" t="n">
        <x:f>IF(E318="Fason",L318*S318,0)</x:f>
        <x:v>0</x:v>
      </x:c>
      <x:c r="AI318" s="38" t="n">
        <x:f>IF(E318="Kurum içi",AC318*AD318+AE318*AF318+AB318*12%,0)</x:f>
        <x:v>6806.895522999999</x:v>
      </x:c>
      <x:c r="AJ318" s="38" t="n">
        <x:f>V318*AG318</x:f>
        <x:v>320.76923192520354</x:v>
      </x:c>
      <x:c r="AK318" s="38" t="n">
        <x:f>AB318*2%</x:f>
        <x:v>1001.5290245</x:v>
      </x:c>
      <x:c r="AL318" s="38" t="n">
        <x:f>AB318+AH318+AI318+AJ318+AK318</x:f>
        <x:v>58205.6450044252</x:v>
      </x:c>
      <x:c r="AM318" s="38" t="n">
        <x:f>AL318/V318</x:f>
        <x:v>978.050247185199</x:v>
      </x:c>
      <x:c r="AN318" s="40" t="n">
        <x:f>(W318+X318)/AL318*100</x:f>
        <x:v>74.45767084396213</x:v>
      </x:c>
      <x:c r="AO318" s="28" t="str">
        <x:v>R01-R20; ilgili satırdaki bölgesel fiyat ve maliyet varsayımları</x:v>
      </x:c>
      <x:c r="AP318" s="28" t="str">
        <x:v>Girdi miktarları, alım fiyatı değişimi, fason bedeli ve parti sonucu simüle edilmiştir; işletme kaydı değildir.</x:v>
      </x:c>
    </x:row>
    <x:row r="319" ht="22" customHeight="1">
      <x:c r="A319" t="str">
        <x:v>SUC-0318</x:v>
      </x:c>
      <x:c r="B319" s="36" t="n">
        <x:v>46280</x:v>
      </x:c>
      <x:c r="C319" t="str">
        <x:v>İç Anadolu</x:v>
      </x:c>
      <x:c r="D319" t="str">
        <x:v>MEB_STANDART</x:v>
      </x:c>
      <x:c r="E319" t="str">
        <x:v>Kurum içi</x:v>
      </x:c>
      <x:c r="F319" s="42" t="str">
        <x:v>SENTETİK/SİMÜLE — gerçek parti kaydı değildir</x:v>
      </x:c>
      <x:c r="G319" s="38" t="n">
        <x:v>220.388</x:v>
      </x:c>
      <x:c r="H319" s="38" t="n">
        <x:v>66.911</x:v>
      </x:c>
      <x:c r="I319" s="38" t="n">
        <x:v>14.048</x:v>
      </x:c>
      <x:c r="J319" s="38" t="n">
        <x:v>7.778</x:v>
      </x:c>
      <x:c r="K319" s="38" t="n">
        <x:v>3.337</x:v>
      </x:c>
      <x:c r="L319" s="38" t="n">
        <x:f>SUM(G319:K319)</x:f>
        <x:v>312.462</x:v>
      </x:c>
      <x:c r="M319" s="38" t="n">
        <x:v>374.259</x:v>
      </x:c>
      <x:c r="N319" s="38" t="n">
        <x:v>591.94</x:v>
      </x:c>
      <x:c r="O319" s="38" t="n">
        <x:v>426.11</x:v>
      </x:c>
      <x:c r="P319" s="38" t="n">
        <x:v>669.9</x:v>
      </x:c>
      <x:c r="Q319" s="38" t="n">
        <x:v>19.88</x:v>
      </x:c>
      <x:c r="R319" s="38" t="n">
        <x:v>43.7475</x:v>
      </x:c>
      <x:c r="S319" s="38" t="n">
        <x:v>106.8</x:v>
      </x:c>
      <x:c r="T319" s="40" t="n">
        <x:v>19.9</x:v>
      </x:c>
      <x:c r="U319" s="40" t="n">
        <x:v>0.42</x:v>
      </x:c>
      <x:c r="V319" s="38" t="n">
        <x:f>L319*(1-T319/100)*(1-U319/100)</x:f>
        <x:v>249.2308773396</x:v>
      </x:c>
      <x:c r="W319" s="38" t="n">
        <x:f>G319*N319</x:f>
        <x:v>130456.47272000002</x:v>
      </x:c>
      <x:c r="X319" s="38" t="n">
        <x:f>H319*O319</x:f>
        <x:v>28511.446210000002</x:v>
      </x:c>
      <x:c r="Y319" s="38" t="n">
        <x:f>I319*P319</x:f>
        <x:v>9410.7552</x:v>
      </x:c>
      <x:c r="Z319" s="38" t="n">
        <x:f>J319*Q319+K319*P319</x:f>
        <x:v>2390.08294</x:v>
      </x:c>
      <x:c r="AA319" s="38" t="n">
        <x:f>M319*R319</x:f>
        <x:v>16372.8956025</x:v>
      </x:c>
      <x:c r="AB319" s="38" t="n">
        <x:f>SUM(W319:AA319)</x:f>
        <x:v>187141.6526725</x:v>
      </x:c>
      <x:c r="AC319" s="38" t="n">
        <x:v>13.45</x:v>
      </x:c>
      <x:c r="AD319" s="38" t="n">
        <x:v>174.33</x:v>
      </x:c>
      <x:c r="AE319" s="38" t="n">
        <x:v>76.83</x:v>
      </x:c>
      <x:c r="AF319" s="38" t="n">
        <x:v>4.8148</x:v>
      </x:c>
      <x:c r="AG319" s="38" t="n">
        <x:v>5.33</x:v>
      </x:c>
      <x:c r="AH319" s="38" t="n">
        <x:f>IF(E319="Fason",L319*S319,0)</x:f>
        <x:v>0</x:v>
      </x:c>
      <x:c r="AI319" s="38" t="n">
        <x:f>IF(E319="Kurum içi",AC319*AD319+AE319*AF319+AB319*12%,0)</x:f>
        <x:v>25171.6579047</x:v>
      </x:c>
      <x:c r="AJ319" s="38" t="n">
        <x:f>V319*AG319</x:f>
        <x:v>1328.400576220068</x:v>
      </x:c>
      <x:c r="AK319" s="38" t="n">
        <x:f>AB319*2%</x:f>
        <x:v>3742.83305345</x:v>
      </x:c>
      <x:c r="AL319" s="38" t="n">
        <x:f>AB319+AH319+AI319+AJ319+AK319</x:f>
        <x:v>217384.54420687008</x:v>
      </x:c>
      <x:c r="AM319" s="38" t="n">
        <x:f>AL319/V319</x:f>
        <x:v>872.221558288958</x:v>
      </x:c>
      <x:c r="AN319" s="40" t="n">
        <x:f>(W319+X319)/AL319*100</x:f>
        <x:v>73.12751672847591</x:v>
      </x:c>
      <x:c r="AO319" s="28" t="str">
        <x:v>R01-R20; ilgili satırdaki bölgesel fiyat ve maliyet varsayımları</x:v>
      </x:c>
      <x:c r="AP319" s="28" t="str">
        <x:v>Girdi miktarları, alım fiyatı değişimi, fason bedeli ve parti sonucu simüle edilmiştir; işletme kaydı değildir.</x:v>
      </x:c>
    </x:row>
    <x:row r="320" ht="22" customHeight="1">
      <x:c r="A320" t="str">
        <x:v>SUC-0319</x:v>
      </x:c>
      <x:c r="B320" s="36" t="n">
        <x:v>46283</x:v>
      </x:c>
      <x:c r="C320" t="str">
        <x:v>Karadeniz</x:v>
      </x:c>
      <x:c r="D320" t="str">
        <x:v>ERZURUM_CI</x:v>
      </x:c>
      <x:c r="E320" t="str">
        <x:v>Kurum içi</x:v>
      </x:c>
      <x:c r="F320" s="42" t="str">
        <x:v>SENTETİK/SİMÜLE — gerçek parti kaydı değildir</x:v>
      </x:c>
      <x:c r="G320" s="38" t="n">
        <x:v>367.898</x:v>
      </x:c>
      <x:c r="H320" s="38" t="n">
        <x:v>64.251</x:v>
      </x:c>
      <x:c r="I320" s="38" t="n">
        <x:v>22.884</x:v>
      </x:c>
      <x:c r="J320" s="38" t="n">
        <x:v>7.69</x:v>
      </x:c>
      <x:c r="K320" s="38" t="n">
        <x:v>0.183</x:v>
      </x:c>
      <x:c r="L320" s="38" t="n">
        <x:f>SUM(G320:K320)</x:f>
        <x:v>462.906</x:v>
      </x:c>
      <x:c r="M320" s="38" t="n">
        <x:v>591.098</x:v>
      </x:c>
      <x:c r="N320" s="38" t="n">
        <x:v>600.42</x:v>
      </x:c>
      <x:c r="O320" s="38" t="n">
        <x:v>445.25</x:v>
      </x:c>
      <x:c r="P320" s="38" t="n">
        <x:v>400</x:v>
      </x:c>
      <x:c r="Q320" s="38" t="n">
        <x:v>19.88</x:v>
      </x:c>
      <x:c r="R320" s="38" t="n">
        <x:v>43.7475</x:v>
      </x:c>
      <x:c r="S320" s="38" t="n">
        <x:v>93.21</x:v>
      </x:c>
      <x:c r="T320" s="40" t="n">
        <x:v>23.26</x:v>
      </x:c>
      <x:c r="U320" s="40" t="n">
        <x:v>0.94</x:v>
      </x:c>
      <x:c r="V320" s="38" t="n">
        <x:f>L320*(1-T320/100)*(1-U320/100)</x:f>
        <x:v>351.89486419464</x:v>
      </x:c>
      <x:c r="W320" s="38" t="n">
        <x:f>G320*N320</x:f>
        <x:v>220893.31716</x:v>
      </x:c>
      <x:c r="X320" s="38" t="n">
        <x:f>H320*O320</x:f>
        <x:v>28607.75775</x:v>
      </x:c>
      <x:c r="Y320" s="38" t="n">
        <x:f>I320*P320</x:f>
        <x:v>9153.6</x:v>
      </x:c>
      <x:c r="Z320" s="38" t="n">
        <x:f>J320*Q320+K320*P320</x:f>
        <x:v>226.0772</x:v>
      </x:c>
      <x:c r="AA320" s="38" t="n">
        <x:f>M320*R320</x:f>
        <x:v>25859.059755</x:v>
      </x:c>
      <x:c r="AB320" s="38" t="n">
        <x:f>SUM(W320:AA320)</x:f>
        <x:v>284739.811865</x:v>
      </x:c>
      <x:c r="AC320" s="38" t="n">
        <x:v>16.2</x:v>
      </x:c>
      <x:c r="AD320" s="38" t="n">
        <x:v>174.33</x:v>
      </x:c>
      <x:c r="AE320" s="38" t="n">
        <x:v>144.01</x:v>
      </x:c>
      <x:c r="AF320" s="38" t="n">
        <x:v>4.8148</x:v>
      </x:c>
      <x:c r="AG320" s="38" t="n">
        <x:v>5.31</x:v>
      </x:c>
      <x:c r="AH320" s="38" t="n">
        <x:f>IF(E320="Fason",L320*S320,0)</x:f>
        <x:v>0</x:v>
      </x:c>
      <x:c r="AI320" s="38" t="n">
        <x:f>IF(E320="Kurum içi",AC320*AD320+AE320*AF320+AB320*12%,0)</x:f>
        <x:v>37686.3027718</x:v>
      </x:c>
      <x:c r="AJ320" s="38" t="n">
        <x:f>V320*AG320</x:f>
        <x:v>1868.5617288735382</x:v>
      </x:c>
      <x:c r="AK320" s="38" t="n">
        <x:f>AB320*2%</x:f>
        <x:v>5694.7962373</x:v>
      </x:c>
      <x:c r="AL320" s="38" t="n">
        <x:f>AB320+AH320+AI320+AJ320+AK320</x:f>
        <x:v>329989.4726029735</x:v>
      </x:c>
      <x:c r="AM320" s="38" t="n">
        <x:f>AL320/V320</x:f>
        <x:v>937.7501810326219</x:v>
      </x:c>
      <x:c r="AN320" s="40" t="n">
        <x:f>(W320+X320)/AL320*100</x:f>
        <x:v>75.60879834799667</x:v>
      </x:c>
      <x:c r="AO320" s="28" t="str">
        <x:v>R01-R20; ilgili satırdaki bölgesel fiyat ve maliyet varsayımları</x:v>
      </x:c>
      <x:c r="AP320" s="28" t="str">
        <x:v>Girdi miktarları, alım fiyatı değişimi, fason bedeli ve parti sonucu simüle edilmiştir; işletme kaydı değildir.</x:v>
      </x:c>
    </x:row>
    <x:row r="321" ht="22" customHeight="1">
      <x:c r="A321" t="str">
        <x:v>SUC-0320</x:v>
      </x:c>
      <x:c r="B321" s="36" t="n">
        <x:v>46306</x:v>
      </x:c>
      <x:c r="C321" t="str">
        <x:v>Akdeniz</x:v>
      </x:c>
      <x:c r="D321" t="str">
        <x:v>ERZURUM_CI</x:v>
      </x:c>
      <x:c r="E321" t="str">
        <x:v>Fason</x:v>
      </x:c>
      <x:c r="F321" s="42" t="str">
        <x:v>SENTETİK/SİMÜLE — gerçek parti kaydı değildir</x:v>
      </x:c>
      <x:c r="G321" s="38" t="n">
        <x:v>74.661</x:v>
      </x:c>
      <x:c r="H321" s="38" t="n">
        <x:v>13.778</x:v>
      </x:c>
      <x:c r="I321" s="38" t="n">
        <x:v>4.151</x:v>
      </x:c>
      <x:c r="J321" s="38" t="n">
        <x:v>1.542</x:v>
      </x:c>
      <x:c r="K321" s="38" t="n">
        <x:v>0.206</x:v>
      </x:c>
      <x:c r="L321" s="38" t="n">
        <x:f>SUM(G321:K321)</x:f>
        <x:v>94.33800000000001</x:v>
      </x:c>
      <x:c r="M321" s="38" t="n">
        <x:v>121.377</x:v>
      </x:c>
      <x:c r="N321" s="38" t="n">
        <x:v>600.02</x:v>
      </x:c>
      <x:c r="O321" s="38" t="n">
        <x:v>445.03</x:v>
      </x:c>
      <x:c r="P321" s="38" t="n">
        <x:v>550</x:v>
      </x:c>
      <x:c r="Q321" s="38" t="n">
        <x:v>19.88</x:v>
      </x:c>
      <x:c r="R321" s="38" t="n">
        <x:v>43.7475</x:v>
      </x:c>
      <x:c r="S321" s="38" t="n">
        <x:v>115.13</x:v>
      </x:c>
      <x:c r="T321" s="40" t="n">
        <x:v>32.65</x:v>
      </x:c>
      <x:c r="U321" s="40" t="n">
        <x:v>1.17</x:v>
      </x:c>
      <x:c r="V321" s="38" t="n">
        <x:f>L321*(1-T321/100)*(1-U321/100)</x:f>
        <x:v>62.793264276900004</x:v>
      </x:c>
      <x:c r="W321" s="38" t="n">
        <x:f>G321*N321</x:f>
        <x:v>44798.09322</x:v>
      </x:c>
      <x:c r="X321" s="38" t="n">
        <x:f>H321*O321</x:f>
        <x:v>6131.62334</x:v>
      </x:c>
      <x:c r="Y321" s="38" t="n">
        <x:f>I321*P321</x:f>
        <x:v>2283.0499999999997</x:v>
      </x:c>
      <x:c r="Z321" s="38" t="n">
        <x:f>J321*Q321+K321*P321</x:f>
        <x:v>143.95496</x:v>
      </x:c>
      <x:c r="AA321" s="38" t="n">
        <x:f>M321*R321</x:f>
        <x:v>5309.9403075</x:v>
      </x:c>
      <x:c r="AB321" s="38" t="n">
        <x:f>SUM(W321:AA321)</x:f>
        <x:v>58666.66182750001</x:v>
      </x:c>
      <x:c r="AC321" s="38" t="n">
        <x:v>4.73</x:v>
      </x:c>
      <x:c r="AD321" s="38" t="n">
        <x:v>174.33</x:v>
      </x:c>
      <x:c r="AE321" s="38" t="n">
        <x:v>28.24</x:v>
      </x:c>
      <x:c r="AF321" s="38" t="n">
        <x:v>4.8148</x:v>
      </x:c>
      <x:c r="AG321" s="38" t="n">
        <x:v>5.31</x:v>
      </x:c>
      <x:c r="AH321" s="38" t="n">
        <x:f>IF(E321="Fason",L321*S321,0)</x:f>
        <x:v>10861.13394</x:v>
      </x:c>
      <x:c r="AI321" s="38" t="n">
        <x:f>IF(E321="Kurum içi",AC321*AD321+AE321*AF321+AB321*12%,0)</x:f>
        <x:v>0</x:v>
      </x:c>
      <x:c r="AJ321" s="38" t="n">
        <x:f>V321*AG321</x:f>
        <x:v>333.432233310339</x:v>
      </x:c>
      <x:c r="AK321" s="38" t="n">
        <x:f>AB321*2%</x:f>
        <x:v>1173.3332365500003</x:v>
      </x:c>
      <x:c r="AL321" s="38" t="n">
        <x:f>AB321+AH321+AI321+AJ321+AK321</x:f>
        <x:v>71034.56123736034</x:v>
      </x:c>
      <x:c r="AM321" s="38" t="n">
        <x:f>AL321/V321</x:f>
        <x:v>1131.244920221357</x:v>
      </x:c>
      <x:c r="AN321" s="40" t="n">
        <x:f>(W321+X321)/AL321*100</x:f>
        <x:v>71.69709458726652</x:v>
      </x:c>
      <x:c r="AO321" s="28" t="str">
        <x:v>R01-R20; ilgili satırdaki bölgesel fiyat ve maliyet varsayımları</x:v>
      </x:c>
      <x:c r="AP321" s="28" t="str">
        <x:v>Girdi miktarları, alım fiyatı değişimi, fason bedeli ve parti sonucu simüle edilmiştir; işletme kaydı değildir.</x:v>
      </x:c>
    </x:row>
    <x:row r="322" ht="22" customHeight="1">
      <x:c r="A322" t="str">
        <x:v>SUC-0321</x:v>
      </x:c>
      <x:c r="B322" s="36" t="n">
        <x:v>46315</x:v>
      </x:c>
      <x:c r="C322" t="str">
        <x:v>Güneydoğu Anadolu</x:v>
      </x:c>
      <x:c r="D322" t="str">
        <x:v>ERZURUM_CI</x:v>
      </x:c>
      <x:c r="E322" t="str">
        <x:v>Kurum içi</x:v>
      </x:c>
      <x:c r="F322" s="42" t="str">
        <x:v>SENTETİK/SİMÜLE — gerçek parti kaydı değildir</x:v>
      </x:c>
      <x:c r="G322" s="38" t="n">
        <x:v>149.372</x:v>
      </x:c>
      <x:c r="H322" s="38" t="n">
        <x:v>27.066</x:v>
      </x:c>
      <x:c r="I322" s="38" t="n">
        <x:v>9.02</x:v>
      </x:c>
      <x:c r="J322" s="38" t="n">
        <x:v>2.851</x:v>
      </x:c>
      <x:c r="K322" s="38" t="n">
        <x:v>0.16</x:v>
      </x:c>
      <x:c r="L322" s="38" t="n">
        <x:f>SUM(G322:K322)</x:f>
        <x:v>188.46900000000002</x:v>
      </x:c>
      <x:c r="M322" s="38" t="n">
        <x:v>245.276</x:v>
      </x:c>
      <x:c r="N322" s="38" t="n">
        <x:v>576.59</x:v>
      </x:c>
      <x:c r="O322" s="38" t="n">
        <x:v>452.14</x:v>
      </x:c>
      <x:c r="P322" s="38" t="n">
        <x:v>550</x:v>
      </x:c>
      <x:c r="Q322" s="38" t="n">
        <x:v>19.88</x:v>
      </x:c>
      <x:c r="R322" s="38" t="n">
        <x:v>43.7475</x:v>
      </x:c>
      <x:c r="S322" s="38" t="n">
        <x:v>103.33</x:v>
      </x:c>
      <x:c r="T322" s="40" t="n">
        <x:v>16.89</x:v>
      </x:c>
      <x:c r="U322" s="40" t="n">
        <x:v>1.45</x:v>
      </x:c>
      <x:c r="V322" s="38" t="n">
        <x:f>L322*(1-T322/100)*(1-U322/100)</x:f>
        <x:v>154.36535540445</x:v>
      </x:c>
      <x:c r="W322" s="38" t="n">
        <x:f>G322*N322</x:f>
        <x:v>86126.40148000001</x:v>
      </x:c>
      <x:c r="X322" s="38" t="n">
        <x:f>H322*O322</x:f>
        <x:v>12237.621239999999</x:v>
      </x:c>
      <x:c r="Y322" s="38" t="n">
        <x:f>I322*P322</x:f>
        <x:v>4961</x:v>
      </x:c>
      <x:c r="Z322" s="38" t="n">
        <x:f>J322*Q322+K322*P322</x:f>
        <x:v>144.67788</x:v>
      </x:c>
      <x:c r="AA322" s="38" t="n">
        <x:f>M322*R322</x:f>
        <x:v>10730.21181</x:v>
      </x:c>
      <x:c r="AB322" s="38" t="n">
        <x:f>SUM(W322:AA322)</x:f>
        <x:v>114199.91241000002</x:v>
      </x:c>
      <x:c r="AC322" s="38" t="n">
        <x:v>11.27</x:v>
      </x:c>
      <x:c r="AD322" s="38" t="n">
        <x:v>174.33</x:v>
      </x:c>
      <x:c r="AE322" s="38" t="n">
        <x:v>62.39</x:v>
      </x:c>
      <x:c r="AF322" s="38" t="n">
        <x:v>4.8148</x:v>
      </x:c>
      <x:c r="AG322" s="38" t="n">
        <x:v>5.16</x:v>
      </x:c>
      <x:c r="AH322" s="38" t="n">
        <x:f>IF(E322="Fason",L322*S322,0)</x:f>
        <x:v>0</x:v>
      </x:c>
      <x:c r="AI322" s="38" t="n">
        <x:f>IF(E322="Kurum içi",AC322*AD322+AE322*AF322+AB322*12%,0)</x:f>
        <x:v>15969.083961200002</x:v>
      </x:c>
      <x:c r="AJ322" s="38" t="n">
        <x:f>V322*AG322</x:f>
        <x:v>796.525233886962</x:v>
      </x:c>
      <x:c r="AK322" s="38" t="n">
        <x:f>AB322*2%</x:f>
        <x:v>2283.9982482000005</x:v>
      </x:c>
      <x:c r="AL322" s="38" t="n">
        <x:f>AB322+AH322+AI322+AJ322+AK322</x:f>
        <x:v>133249.51985328697</x:v>
      </x:c>
      <x:c r="AM322" s="38" t="n">
        <x:f>AL322/V322</x:f>
        <x:v>863.2087135365458</x:v>
      </x:c>
      <x:c r="AN322" s="40" t="n">
        <x:f>(W322+X322)/AL322*100</x:f>
        <x:v>73.81942000864447</x:v>
      </x:c>
      <x:c r="AO322" s="28" t="str">
        <x:v>R01-R20; ilgili satırdaki bölgesel fiyat ve maliyet varsayımları</x:v>
      </x:c>
      <x:c r="AP322" s="28" t="str">
        <x:v>Girdi miktarları, alım fiyatı değişimi, fason bedeli ve parti sonucu simüle edilmiştir; işletme kaydı değildir.</x:v>
      </x:c>
    </x:row>
    <x:row r="323" ht="22" customHeight="1">
      <x:c r="A323" t="str">
        <x:v>SUC-0322</x:v>
      </x:c>
      <x:c r="B323" s="36" t="n">
        <x:v>46266</x:v>
      </x:c>
      <x:c r="C323" t="str">
        <x:v>Güneydoğu Anadolu</x:v>
      </x:c>
      <x:c r="D323" t="str">
        <x:v>MEB_STANDART</x:v>
      </x:c>
      <x:c r="E323" t="str">
        <x:v>Fason</x:v>
      </x:c>
      <x:c r="F323" s="42" t="str">
        <x:v>SENTETİK/SİMÜLE — gerçek parti kaydı değildir</x:v>
      </x:c>
      <x:c r="G323" s="38" t="n">
        <x:v>199.142</x:v>
      </x:c>
      <x:c r="H323" s="38" t="n">
        <x:v>61.958</x:v>
      </x:c>
      <x:c r="I323" s="38" t="n">
        <x:v>12.227</x:v>
      </x:c>
      <x:c r="J323" s="38" t="n">
        <x:v>6.652</x:v>
      </x:c>
      <x:c r="K323" s="38" t="n">
        <x:v>3.112</x:v>
      </x:c>
      <x:c r="L323" s="38" t="n">
        <x:f>SUM(G323:K323)</x:f>
        <x:v>283.091</x:v>
      </x:c>
      <x:c r="M323" s="38" t="n">
        <x:v>359.57</x:v>
      </x:c>
      <x:c r="N323" s="38" t="n">
        <x:v>595.46</x:v>
      </x:c>
      <x:c r="O323" s="38" t="n">
        <x:v>430.18</x:v>
      </x:c>
      <x:c r="P323" s="38" t="n">
        <x:v>669.9</x:v>
      </x:c>
      <x:c r="Q323" s="38" t="n">
        <x:v>19.88</x:v>
      </x:c>
      <x:c r="R323" s="38" t="n">
        <x:v>43.7475</x:v>
      </x:c>
      <x:c r="S323" s="38" t="n">
        <x:v>105.19</x:v>
      </x:c>
      <x:c r="T323" s="40" t="n">
        <x:v>18.78</x:v>
      </x:c>
      <x:c r="U323" s="40" t="n">
        <x:v>0.94</x:v>
      </x:c>
      <x:c r="V323" s="38" t="n">
        <x:f>L323*(1-T323/100)*(1-U323/100)</x:f>
        <x:v>227.76520100412003</x:v>
      </x:c>
      <x:c r="W323" s="38" t="n">
        <x:f>G323*N323</x:f>
        <x:v>118581.09532000001</x:v>
      </x:c>
      <x:c r="X323" s="38" t="n">
        <x:f>H323*O323</x:f>
        <x:v>26653.09244</x:v>
      </x:c>
      <x:c r="Y323" s="38" t="n">
        <x:f>I323*P323</x:f>
        <x:v>8190.8673</x:v>
      </x:c>
      <x:c r="Z323" s="38" t="n">
        <x:f>J323*Q323+K323*P323</x:f>
        <x:v>2216.9705599999998</x:v>
      </x:c>
      <x:c r="AA323" s="38" t="n">
        <x:f>M323*R323</x:f>
        <x:v>15730.288575</x:v>
      </x:c>
      <x:c r="AB323" s="38" t="n">
        <x:f>SUM(W323:AA323)</x:f>
        <x:v>171372.314195</x:v>
      </x:c>
      <x:c r="AC323" s="38" t="n">
        <x:v>18.87</x:v>
      </x:c>
      <x:c r="AD323" s="38" t="n">
        <x:v>174.33</x:v>
      </x:c>
      <x:c r="AE323" s="38" t="n">
        <x:v>65.53</x:v>
      </x:c>
      <x:c r="AF323" s="38" t="n">
        <x:v>4.8148</x:v>
      </x:c>
      <x:c r="AG323" s="38" t="n">
        <x:v>5.23</x:v>
      </x:c>
      <x:c r="AH323" s="38" t="n">
        <x:f>IF(E323="Fason",L323*S323,0)</x:f>
        <x:v>29778.34229</x:v>
      </x:c>
      <x:c r="AI323" s="38" t="n">
        <x:f>IF(E323="Kurum içi",AC323*AD323+AE323*AF323+AB323*12%,0)</x:f>
        <x:v>0</x:v>
      </x:c>
      <x:c r="AJ323" s="38" t="n">
        <x:f>V323*AG323</x:f>
        <x:v>1191.212001251548</x:v>
      </x:c>
      <x:c r="AK323" s="38" t="n">
        <x:f>AB323*2%</x:f>
        <x:v>3427.4462839000003</x:v>
      </x:c>
      <x:c r="AL323" s="38" t="n">
        <x:f>AB323+AH323+AI323+AJ323+AK323</x:f>
        <x:v>205769.31477015157</x:v>
      </x:c>
      <x:c r="AM323" s="38" t="n">
        <x:f>AL323/V323</x:f>
        <x:v>903.4273623143573</x:v>
      </x:c>
      <x:c r="AN323" s="40" t="n">
        <x:f>(W323+X323)/AL323*100</x:f>
        <x:v>70.58107178042046</x:v>
      </x:c>
      <x:c r="AO323" s="28" t="str">
        <x:v>R01-R20; ilgili satırdaki bölgesel fiyat ve maliyet varsayımları</x:v>
      </x:c>
      <x:c r="AP323" s="28" t="str">
        <x:v>Girdi miktarları, alım fiyatı değişimi, fason bedeli ve parti sonucu simüle edilmiştir; işletme kaydı değildir.</x:v>
      </x:c>
    </x:row>
    <x:row r="324" ht="22" customHeight="1">
      <x:c r="A324" t="str">
        <x:v>SUC-0323</x:v>
      </x:c>
      <x:c r="B324" s="36" t="n">
        <x:v>46308</x:v>
      </x:c>
      <x:c r="C324" t="str">
        <x:v>Karadeniz</x:v>
      </x:c>
      <x:c r="D324" t="str">
        <x:v>ERZURUM_CI</x:v>
      </x:c>
      <x:c r="E324" t="str">
        <x:v>Kurum içi</x:v>
      </x:c>
      <x:c r="F324" s="42" t="str">
        <x:v>SENTETİK/SİMÜLE — gerçek parti kaydı değildir</x:v>
      </x:c>
      <x:c r="G324" s="38" t="n">
        <x:v>348.689</x:v>
      </x:c>
      <x:c r="H324" s="38" t="n">
        <x:v>61.489</x:v>
      </x:c>
      <x:c r="I324" s="38" t="n">
        <x:v>19.253</x:v>
      </x:c>
      <x:c r="J324" s="38" t="n">
        <x:v>6.337</x:v>
      </x:c>
      <x:c r="K324" s="38" t="n">
        <x:v>0.043</x:v>
      </x:c>
      <x:c r="L324" s="38" t="n">
        <x:f>SUM(G324:K324)</x:f>
        <x:v>435.811</x:v>
      </x:c>
      <x:c r="M324" s="38" t="n">
        <x:v>546.764</x:v>
      </x:c>
      <x:c r="N324" s="38" t="n">
        <x:v>621.71</x:v>
      </x:c>
      <x:c r="O324" s="38" t="n">
        <x:v>416.19</x:v>
      </x:c>
      <x:c r="P324" s="38" t="n">
        <x:v>400</x:v>
      </x:c>
      <x:c r="Q324" s="38" t="n">
        <x:v>19.88</x:v>
      </x:c>
      <x:c r="R324" s="38" t="n">
        <x:v>43.7475</x:v>
      </x:c>
      <x:c r="S324" s="38" t="n">
        <x:v>118.95</x:v>
      </x:c>
      <x:c r="T324" s="40" t="n">
        <x:v>25.58</x:v>
      </x:c>
      <x:c r="U324" s="40" t="n">
        <x:v>1.35</x:v>
      </x:c>
      <x:c r="V324" s="38" t="n">
        <x:f>L324*(1-T324/100)*(1-U324/100)</x:f>
        <x:v>319.9520838263</x:v>
      </x:c>
      <x:c r="W324" s="38" t="n">
        <x:f>G324*N324</x:f>
        <x:v>216783.43819000002</x:v>
      </x:c>
      <x:c r="X324" s="38" t="n">
        <x:f>H324*O324</x:f>
        <x:v>25591.10691</x:v>
      </x:c>
      <x:c r="Y324" s="38" t="n">
        <x:f>I324*P324</x:f>
        <x:v>7701.2</x:v>
      </x:c>
      <x:c r="Z324" s="38" t="n">
        <x:f>J324*Q324+K324*P324</x:f>
        <x:v>143.17955999999998</x:v>
      </x:c>
      <x:c r="AA324" s="38" t="n">
        <x:f>M324*R324</x:f>
        <x:v>23919.558090000002</x:v>
      </x:c>
      <x:c r="AB324" s="38" t="n">
        <x:f>SUM(W324:AA324)</x:f>
        <x:v>274138.48275</x:v>
      </x:c>
      <x:c r="AC324" s="38" t="n">
        <x:v>24.39</x:v>
      </x:c>
      <x:c r="AD324" s="38" t="n">
        <x:v>174.33</x:v>
      </x:c>
      <x:c r="AE324" s="38" t="n">
        <x:v>197.25</x:v>
      </x:c>
      <x:c r="AF324" s="38" t="n">
        <x:v>4.8148</x:v>
      </x:c>
      <x:c r="AG324" s="38" t="n">
        <x:v>5.18</x:v>
      </x:c>
      <x:c r="AH324" s="38" t="n">
        <x:f>IF(E324="Fason",L324*S324,0)</x:f>
        <x:v>0</x:v>
      </x:c>
      <x:c r="AI324" s="38" t="n">
        <x:f>IF(E324="Kurum içi",AC324*AD324+AE324*AF324+AB324*12%,0)</x:f>
        <x:v>38098.24593</x:v>
      </x:c>
      <x:c r="AJ324" s="38" t="n">
        <x:f>V324*AG324</x:f>
        <x:v>1657.3517942202338</x:v>
      </x:c>
      <x:c r="AK324" s="38" t="n">
        <x:f>AB324*2%</x:f>
        <x:v>5482.769655000001</x:v>
      </x:c>
      <x:c r="AL324" s="38" t="n">
        <x:f>AB324+AH324+AI324+AJ324+AK324</x:f>
        <x:v>319376.8501292202</x:v>
      </x:c>
      <x:c r="AM324" s="38" t="n">
        <x:f>AL324/V324</x:f>
        <x:v>998.2021254864148</x:v>
      </x:c>
      <x:c r="AN324" s="40" t="n">
        <x:f>(W324+X324)/AL324*100</x:f>
        <x:v>75.88982889709602</x:v>
      </x:c>
      <x:c r="AO324" s="28" t="str">
        <x:v>R01-R20; ilgili satırdaki bölgesel fiyat ve maliyet varsayımları</x:v>
      </x:c>
      <x:c r="AP324" s="28" t="str">
        <x:v>Girdi miktarları, alım fiyatı değişimi, fason bedeli ve parti sonucu simüle edilmiştir; işletme kaydı değildir.</x:v>
      </x:c>
    </x:row>
    <x:row r="325" ht="22" customHeight="1">
      <x:c r="A325" t="str">
        <x:v>SUC-0324</x:v>
      </x:c>
      <x:c r="B325" s="36" t="n">
        <x:v>46285</x:v>
      </x:c>
      <x:c r="C325" t="str">
        <x:v>Ege</x:v>
      </x:c>
      <x:c r="D325" t="str">
        <x:v>ERZURUM_CI</x:v>
      </x:c>
      <x:c r="E325" t="str">
        <x:v>Fason</x:v>
      </x:c>
      <x:c r="F325" s="42" t="str">
        <x:v>SENTETİK/SİMÜLE — gerçek parti kaydı değildir</x:v>
      </x:c>
      <x:c r="G325" s="38" t="n">
        <x:v>152.497</x:v>
      </x:c>
      <x:c r="H325" s="38" t="n">
        <x:v>26.264</x:v>
      </x:c>
      <x:c r="I325" s="38" t="n">
        <x:v>8.828</x:v>
      </x:c>
      <x:c r="J325" s="38" t="n">
        <x:v>2.82</x:v>
      </x:c>
      <x:c r="K325" s="38" t="n">
        <x:v>0.019</x:v>
      </x:c>
      <x:c r="L325" s="38" t="n">
        <x:f>SUM(G325:K325)</x:f>
        <x:v>190.42800000000003</x:v>
      </x:c>
      <x:c r="M325" s="38" t="n">
        <x:v>227.131</x:v>
      </x:c>
      <x:c r="N325" s="38" t="n">
        <x:v>589.32</x:v>
      </x:c>
      <x:c r="O325" s="38" t="n">
        <x:v>473.57</x:v>
      </x:c>
      <x:c r="P325" s="38" t="n">
        <x:v>550</x:v>
      </x:c>
      <x:c r="Q325" s="38" t="n">
        <x:v>19.88</x:v>
      </x:c>
      <x:c r="R325" s="38" t="n">
        <x:v>43.7475</x:v>
      </x:c>
      <x:c r="S325" s="38" t="n">
        <x:v>109.41</x:v>
      </x:c>
      <x:c r="T325" s="40" t="n">
        <x:v>25.15</x:v>
      </x:c>
      <x:c r="U325" s="40" t="n">
        <x:v>1.58</x:v>
      </x:c>
      <x:c r="V325" s="38" t="n">
        <x:f>L325*(1-T325/100)*(1-U325/100)</x:f>
        <x:v>140.2832993436</x:v>
      </x:c>
      <x:c r="W325" s="38" t="n">
        <x:f>G325*N325</x:f>
        <x:v>89869.53204000002</x:v>
      </x:c>
      <x:c r="X325" s="38" t="n">
        <x:f>H325*O325</x:f>
        <x:v>12437.84248</x:v>
      </x:c>
      <x:c r="Y325" s="38" t="n">
        <x:f>I325*P325</x:f>
        <x:v>4855.4</x:v>
      </x:c>
      <x:c r="Z325" s="38" t="n">
        <x:f>J325*Q325+K325*P325</x:f>
        <x:v>66.51159999999999</x:v>
      </x:c>
      <x:c r="AA325" s="38" t="n">
        <x:f>M325*R325</x:f>
        <x:v>9936.4134225</x:v>
      </x:c>
      <x:c r="AB325" s="38" t="n">
        <x:f>SUM(W325:AA325)</x:f>
        <x:v>117165.6995425</x:v>
      </x:c>
      <x:c r="AC325" s="38" t="n">
        <x:v>10.75</x:v>
      </x:c>
      <x:c r="AD325" s="38" t="n">
        <x:v>174.33</x:v>
      </x:c>
      <x:c r="AE325" s="38" t="n">
        <x:v>55.26</x:v>
      </x:c>
      <x:c r="AF325" s="38" t="n">
        <x:v>4.8148</x:v>
      </x:c>
      <x:c r="AG325" s="38" t="n">
        <x:v>5.85</x:v>
      </x:c>
      <x:c r="AH325" s="38" t="n">
        <x:f>IF(E325="Fason",L325*S325,0)</x:f>
        <x:v>20834.72748</x:v>
      </x:c>
      <x:c r="AI325" s="38" t="n">
        <x:f>IF(E325="Kurum içi",AC325*AD325+AE325*AF325+AB325*12%,0)</x:f>
        <x:v>0</x:v>
      </x:c>
      <x:c r="AJ325" s="38" t="n">
        <x:f>V325*AG325</x:f>
        <x:v>820.6573011600599</x:v>
      </x:c>
      <x:c r="AK325" s="38" t="n">
        <x:f>AB325*2%</x:f>
        <x:v>2343.31399085</x:v>
      </x:c>
      <x:c r="AL325" s="38" t="n">
        <x:f>AB325+AH325+AI325+AJ325+AK325</x:f>
        <x:v>141164.3983145101</x:v>
      </x:c>
      <x:c r="AM325" s="38" t="n">
        <x:f>AL325/V325</x:f>
        <x:v>1006.280854349968</x:v>
      </x:c>
      <x:c r="AN325" s="40" t="n">
        <x:f>(W325+X325)/AL325*100</x:f>
        <x:v>72.47392100383712</x:v>
      </x:c>
      <x:c r="AO325" s="28" t="str">
        <x:v>R01-R20; ilgili satırdaki bölgesel fiyat ve maliyet varsayımları</x:v>
      </x:c>
      <x:c r="AP325" s="28" t="str">
        <x:v>Girdi miktarları, alım fiyatı değişimi, fason bedeli ve parti sonucu simüle edilmiştir; işletme kaydı değildir.</x:v>
      </x:c>
    </x:row>
    <x:row r="326" ht="22" customHeight="1">
      <x:c r="A326" t="str">
        <x:v>SUC-0325</x:v>
      </x:c>
      <x:c r="B326" s="36" t="n">
        <x:v>46297</x:v>
      </x:c>
      <x:c r="C326" t="str">
        <x:v>Güneydoğu Anadolu</x:v>
      </x:c>
      <x:c r="D326" t="str">
        <x:v>MEB_STANDART</x:v>
      </x:c>
      <x:c r="E326" t="str">
        <x:v>Kurum içi</x:v>
      </x:c>
      <x:c r="F326" s="42" t="str">
        <x:v>SENTETİK/SİMÜLE — gerçek parti kaydı değildir</x:v>
      </x:c>
      <x:c r="G326" s="38" t="n">
        <x:v>344.982</x:v>
      </x:c>
      <x:c r="H326" s="38" t="n">
        <x:v>113.132</x:v>
      </x:c>
      <x:c r="I326" s="38" t="n">
        <x:v>22.935</x:v>
      </x:c>
      <x:c r="J326" s="38" t="n">
        <x:v>13.271</x:v>
      </x:c>
      <x:c r="K326" s="38" t="n">
        <x:v>4.292</x:v>
      </x:c>
      <x:c r="L326" s="38" t="n">
        <x:f>SUM(G326:K326)</x:f>
        <x:v>498.612</x:v>
      </x:c>
      <x:c r="M326" s="38" t="n">
        <x:v>648.06</x:v>
      </x:c>
      <x:c r="N326" s="38" t="n">
        <x:v>586.17</x:v>
      </x:c>
      <x:c r="O326" s="38" t="n">
        <x:v>416.88</x:v>
      </x:c>
      <x:c r="P326" s="38" t="n">
        <x:v>400</x:v>
      </x:c>
      <x:c r="Q326" s="38" t="n">
        <x:v>19.88</x:v>
      </x:c>
      <x:c r="R326" s="38" t="n">
        <x:v>43.7475</x:v>
      </x:c>
      <x:c r="S326" s="38" t="n">
        <x:v>121.16</x:v>
      </x:c>
      <x:c r="T326" s="40" t="n">
        <x:v>22.57</x:v>
      </x:c>
      <x:c r="U326" s="40" t="n">
        <x:v>1.77</x:v>
      </x:c>
      <x:c r="V326" s="38" t="n">
        <x:f>L326*(1-T326/100)*(1-U326/100)</x:f>
        <x:v>379.24173929268</x:v>
      </x:c>
      <x:c r="W326" s="38" t="n">
        <x:f>G326*N326</x:f>
        <x:v>202218.09894</x:v>
      </x:c>
      <x:c r="X326" s="38" t="n">
        <x:f>H326*O326</x:f>
        <x:v>47162.468160000004</x:v>
      </x:c>
      <x:c r="Y326" s="38" t="n">
        <x:f>I326*P326</x:f>
        <x:v>9174</x:v>
      </x:c>
      <x:c r="Z326" s="38" t="n">
        <x:f>J326*Q326+K326*P326</x:f>
        <x:v>1980.6274799999999</x:v>
      </x:c>
      <x:c r="AA326" s="38" t="n">
        <x:f>M326*R326</x:f>
        <x:v>28351.004849999998</x:v>
      </x:c>
      <x:c r="AB326" s="38" t="n">
        <x:f>SUM(W326:AA326)</x:f>
        <x:v>288886.19943</x:v>
      </x:c>
      <x:c r="AC326" s="38" t="n">
        <x:v>32.54</x:v>
      </x:c>
      <x:c r="AD326" s="38" t="n">
        <x:v>174.33</x:v>
      </x:c>
      <x:c r="AE326" s="38" t="n">
        <x:v>174.22</x:v>
      </x:c>
      <x:c r="AF326" s="38" t="n">
        <x:v>4.8148</x:v>
      </x:c>
      <x:c r="AG326" s="38" t="n">
        <x:v>5.85</x:v>
      </x:c>
      <x:c r="AH326" s="38" t="n">
        <x:f>IF(E326="Fason",L326*S326,0)</x:f>
        <x:v>0</x:v>
      </x:c>
      <x:c r="AI326" s="38" t="n">
        <x:f>IF(E326="Kurum içi",AC326*AD326+AE326*AF326+AB326*12%,0)</x:f>
        <x:v>41177.876587599996</x:v>
      </x:c>
      <x:c r="AJ326" s="38" t="n">
        <x:f>V326*AG326</x:f>
        <x:v>2218.564174862178</x:v>
      </x:c>
      <x:c r="AK326" s="38" t="n">
        <x:f>AB326*2%</x:f>
        <x:v>5777.7239886</x:v>
      </x:c>
      <x:c r="AL326" s="38" t="n">
        <x:f>AB326+AH326+AI326+AJ326+AK326</x:f>
        <x:v>338060.36418106215</x:v>
      </x:c>
      <x:c r="AM326" s="38" t="n">
        <x:f>AL326/V326</x:f>
        <x:v>891.4112798121198</x:v>
      </x:c>
      <x:c r="AN326" s="40" t="n">
        <x:f>(W326+X326)/AL326*100</x:f>
        <x:v>73.7680584661602</x:v>
      </x:c>
      <x:c r="AO326" s="28" t="str">
        <x:v>R01-R20; ilgili satırdaki bölgesel fiyat ve maliyet varsayımları</x:v>
      </x:c>
      <x:c r="AP326" s="28" t="str">
        <x:v>Girdi miktarları, alım fiyatı değişimi, fason bedeli ve parti sonucu simüle edilmiştir; işletme kaydı değildir.</x:v>
      </x:c>
    </x:row>
    <x:row r="327" ht="22" customHeight="1">
      <x:c r="A327" t="str">
        <x:v>SUC-0326</x:v>
      </x:c>
      <x:c r="B327" s="36" t="n">
        <x:v>46307</x:v>
      </x:c>
      <x:c r="C327" t="str">
        <x:v>Doğu Anadolu</x:v>
      </x:c>
      <x:c r="D327" t="str">
        <x:v>MEB_STANDART</x:v>
      </x:c>
      <x:c r="E327" t="str">
        <x:v>Fason</x:v>
      </x:c>
      <x:c r="F327" s="42" t="str">
        <x:v>SENTETİK/SİMÜLE — gerçek parti kaydı değildir</x:v>
      </x:c>
      <x:c r="G327" s="38" t="n">
        <x:v>109.634</x:v>
      </x:c>
      <x:c r="H327" s="38" t="n">
        <x:v>34.533</x:v>
      </x:c>
      <x:c r="I327" s="38" t="n">
        <x:v>7.411</x:v>
      </x:c>
      <x:c r="J327" s="38" t="n">
        <x:v>3.673</x:v>
      </x:c>
      <x:c r="K327" s="38" t="n">
        <x:v>1.58</x:v>
      </x:c>
      <x:c r="L327" s="38" t="n">
        <x:f>SUM(G327:K327)</x:f>
        <x:v>156.83100000000002</x:v>
      </x:c>
      <x:c r="M327" s="38" t="n">
        <x:v>211.836</x:v>
      </x:c>
      <x:c r="N327" s="38" t="n">
        <x:v>594.4</x:v>
      </x:c>
      <x:c r="O327" s="38" t="n">
        <x:v>436.9</x:v>
      </x:c>
      <x:c r="P327" s="38" t="n">
        <x:v>669.9</x:v>
      </x:c>
      <x:c r="Q327" s="38" t="n">
        <x:v>19.88</x:v>
      </x:c>
      <x:c r="R327" s="38" t="n">
        <x:v>43.7475</x:v>
      </x:c>
      <x:c r="S327" s="38" t="n">
        <x:v>113.5</x:v>
      </x:c>
      <x:c r="T327" s="40" t="n">
        <x:v>27.28</x:v>
      </x:c>
      <x:c r="U327" s="40" t="n">
        <x:v>0.57</x:v>
      </x:c>
      <x:c r="V327" s="38" t="n">
        <x:f>L327*(1-T327/100)*(1-U327/100)</x:f>
        <x:v>113.39743243176002</x:v>
      </x:c>
      <x:c r="W327" s="38" t="n">
        <x:f>G327*N327</x:f>
        <x:v>65166.4496</x:v>
      </x:c>
      <x:c r="X327" s="38" t="n">
        <x:f>H327*O327</x:f>
        <x:v>15087.4677</x:v>
      </x:c>
      <x:c r="Y327" s="38" t="n">
        <x:f>I327*P327</x:f>
        <x:v>4964.6289</x:v>
      </x:c>
      <x:c r="Z327" s="38" t="n">
        <x:f>J327*Q327+K327*P327</x:f>
        <x:v>1131.46124</x:v>
      </x:c>
      <x:c r="AA327" s="38" t="n">
        <x:f>M327*R327</x:f>
        <x:v>9267.29541</x:v>
      </x:c>
      <x:c r="AB327" s="38" t="n">
        <x:f>SUM(W327:AA327)</x:f>
        <x:v>95617.30285000001</x:v>
      </x:c>
      <x:c r="AC327" s="38" t="n">
        <x:v>8.77</x:v>
      </x:c>
      <x:c r="AD327" s="38" t="n">
        <x:v>174.33</x:v>
      </x:c>
      <x:c r="AE327" s="38" t="n">
        <x:v>53.2</x:v>
      </x:c>
      <x:c r="AF327" s="38" t="n">
        <x:v>4.8148</x:v>
      </x:c>
      <x:c r="AG327" s="38" t="n">
        <x:v>5.21</x:v>
      </x:c>
      <x:c r="AH327" s="38" t="n">
        <x:f>IF(E327="Fason",L327*S327,0)</x:f>
        <x:v>17800.3185</x:v>
      </x:c>
      <x:c r="AI327" s="38" t="n">
        <x:f>IF(E327="Kurum içi",AC327*AD327+AE327*AF327+AB327*12%,0)</x:f>
        <x:v>0</x:v>
      </x:c>
      <x:c r="AJ327" s="38" t="n">
        <x:f>V327*AG327</x:f>
        <x:v>590.8006229694697</x:v>
      </x:c>
      <x:c r="AK327" s="38" t="n">
        <x:f>AB327*2%</x:f>
        <x:v>1912.3460570000002</x:v>
      </x:c>
      <x:c r="AL327" s="38" t="n">
        <x:f>AB327+AH327+AI327+AJ327+AK327</x:f>
        <x:v>115920.76802996948</x:v>
      </x:c>
      <x:c r="AM327" s="38" t="n">
        <x:f>AL327/V327</x:f>
        <x:v>1022.2521404946972</x:v>
      </x:c>
      <x:c r="AN327" s="40" t="n">
        <x:f>(W327+X327)/AL327*100</x:f>
        <x:v>69.231699085406</x:v>
      </x:c>
      <x:c r="AO327" s="28" t="str">
        <x:v>R01-R20; ilgili satırdaki bölgesel fiyat ve maliyet varsayımları</x:v>
      </x:c>
      <x:c r="AP327" s="28" t="str">
        <x:v>Girdi miktarları, alım fiyatı değişimi, fason bedeli ve parti sonucu simüle edilmiştir; işletme kaydı değildir.</x:v>
      </x:c>
    </x:row>
    <x:row r="328" ht="22" customHeight="1">
      <x:c r="A328" t="str">
        <x:v>SUC-0327</x:v>
      </x:c>
      <x:c r="B328" s="36" t="n">
        <x:v>46280</x:v>
      </x:c>
      <x:c r="C328" t="str">
        <x:v>Ege</x:v>
      </x:c>
      <x:c r="D328" t="str">
        <x:v>MEB_STANDART</x:v>
      </x:c>
      <x:c r="E328" t="str">
        <x:v>Kurum içi</x:v>
      </x:c>
      <x:c r="F328" s="42" t="str">
        <x:v>SENTETİK/SİMÜLE — gerçek parti kaydı değildir</x:v>
      </x:c>
      <x:c r="G328" s="38" t="n">
        <x:v>332.939</x:v>
      </x:c>
      <x:c r="H328" s="38" t="n">
        <x:v>105.772</x:v>
      </x:c>
      <x:c r="I328" s="38" t="n">
        <x:v>21.442</x:v>
      </x:c>
      <x:c r="J328" s="38" t="n">
        <x:v>11.995</x:v>
      </x:c>
      <x:c r="K328" s="38" t="n">
        <x:v>4.237</x:v>
      </x:c>
      <x:c r="L328" s="38" t="n">
        <x:f>SUM(G328:K328)</x:f>
        <x:v>476.38500000000005</x:v>
      </x:c>
      <x:c r="M328" s="38" t="n">
        <x:v>606.427</x:v>
      </x:c>
      <x:c r="N328" s="38" t="n">
        <x:v>597.48</x:v>
      </x:c>
      <x:c r="O328" s="38" t="n">
        <x:v>436.29</x:v>
      </x:c>
      <x:c r="P328" s="38" t="n">
        <x:v>669.9</x:v>
      </x:c>
      <x:c r="Q328" s="38" t="n">
        <x:v>19.88</x:v>
      </x:c>
      <x:c r="R328" s="38" t="n">
        <x:v>43.7475</x:v>
      </x:c>
      <x:c r="S328" s="38" t="n">
        <x:v>106.88</x:v>
      </x:c>
      <x:c r="T328" s="40" t="n">
        <x:v>19.81</x:v>
      </x:c>
      <x:c r="U328" s="40" t="n">
        <x:v>0.44</x:v>
      </x:c>
      <x:c r="V328" s="38" t="n">
        <x:f>L328*(1-T328/100)*(1-U328/100)</x:f>
        <x:v>380.33227372140004</x:v>
      </x:c>
      <x:c r="W328" s="38" t="n">
        <x:f>G328*N328</x:f>
        <x:v>198924.39372000002</x:v>
      </x:c>
      <x:c r="X328" s="38" t="n">
        <x:f>H328*O328</x:f>
        <x:v>46147.265880000006</x:v>
      </x:c>
      <x:c r="Y328" s="38" t="n">
        <x:f>I328*P328</x:f>
        <x:v>14363.995799999999</x:v>
      </x:c>
      <x:c r="Z328" s="38" t="n">
        <x:f>J328*Q328+K328*P328</x:f>
        <x:v>3076.8269</x:v>
      </x:c>
      <x:c r="AA328" s="38" t="n">
        <x:f>M328*R328</x:f>
        <x:v>26529.6651825</x:v>
      </x:c>
      <x:c r="AB328" s="38" t="n">
        <x:f>SUM(W328:AA328)</x:f>
        <x:v>289042.14748250006</x:v>
      </x:c>
      <x:c r="AC328" s="38" t="n">
        <x:v>28.19</x:v>
      </x:c>
      <x:c r="AD328" s="38" t="n">
        <x:v>174.33</x:v>
      </x:c>
      <x:c r="AE328" s="38" t="n">
        <x:v>105.14</x:v>
      </x:c>
      <x:c r="AF328" s="38" t="n">
        <x:v>4.8148</x:v>
      </x:c>
      <x:c r="AG328" s="38" t="n">
        <x:v>5.42</x:v>
      </x:c>
      <x:c r="AH328" s="38" t="n">
        <x:f>IF(E328="Fason",L328*S328,0)</x:f>
        <x:v>0</x:v>
      </x:c>
      <x:c r="AI328" s="38" t="n">
        <x:f>IF(E328="Kurum içi",AC328*AD328+AE328*AF328+AB328*12%,0)</x:f>
        <x:v>40105.64846990001</x:v>
      </x:c>
      <x:c r="AJ328" s="38" t="n">
        <x:f>V328*AG328</x:f>
        <x:v>2061.400923569988</x:v>
      </x:c>
      <x:c r="AK328" s="38" t="n">
        <x:f>AB328*2%</x:f>
        <x:v>5780.842949650001</x:v>
      </x:c>
      <x:c r="AL328" s="38" t="n">
        <x:f>AB328+AH328+AI328+AJ328+AK328</x:f>
        <x:v>336990.0398256201</x:v>
      </x:c>
      <x:c r="AM328" s="38" t="n">
        <x:f>AL328/V328</x:f>
        <x:v>886.0411358949546</x:v>
      </x:c>
      <x:c r="AN328" s="40" t="n">
        <x:f>(W328+X328)/AL328*100</x:f>
        <x:v>72.72371009149575</x:v>
      </x:c>
      <x:c r="AO328" s="28" t="str">
        <x:v>R01-R20; ilgili satırdaki bölgesel fiyat ve maliyet varsayımları</x:v>
      </x:c>
      <x:c r="AP328" s="28" t="str">
        <x:v>Girdi miktarları, alım fiyatı değişimi, fason bedeli ve parti sonucu simüle edilmiştir; işletme kaydı değildir.</x:v>
      </x:c>
    </x:row>
    <x:row r="329" ht="22" customHeight="1">
      <x:c r="A329" t="str">
        <x:v>SUC-0328</x:v>
      </x:c>
      <x:c r="B329" s="36" t="n">
        <x:v>46307</x:v>
      </x:c>
      <x:c r="C329" t="str">
        <x:v>İç Anadolu</x:v>
      </x:c>
      <x:c r="D329" t="str">
        <x:v>MEB_STANDART</x:v>
      </x:c>
      <x:c r="E329" t="str">
        <x:v>Fason</x:v>
      </x:c>
      <x:c r="F329" s="42" t="str">
        <x:v>SENTETİK/SİMÜLE — gerçek parti kaydı değildir</x:v>
      </x:c>
      <x:c r="G329" s="38" t="n">
        <x:v>255.657</x:v>
      </x:c>
      <x:c r="H329" s="38" t="n">
        <x:v>78.472</x:v>
      </x:c>
      <x:c r="I329" s="38" t="n">
        <x:v>17.325</x:v>
      </x:c>
      <x:c r="J329" s="38" t="n">
        <x:v>8.945</x:v>
      </x:c>
      <x:c r="K329" s="38" t="n">
        <x:v>4.086</x:v>
      </x:c>
      <x:c r="L329" s="38" t="n">
        <x:f>SUM(G329:K329)</x:f>
        <x:v>364.485</x:v>
      </x:c>
      <x:c r="M329" s="38" t="n">
        <x:v>455.841</x:v>
      </x:c>
      <x:c r="N329" s="38" t="n">
        <x:v>597.98</x:v>
      </x:c>
      <x:c r="O329" s="38" t="n">
        <x:v>446.57</x:v>
      </x:c>
      <x:c r="P329" s="38" t="n">
        <x:v>550</x:v>
      </x:c>
      <x:c r="Q329" s="38" t="n">
        <x:v>19.88</x:v>
      </x:c>
      <x:c r="R329" s="38" t="n">
        <x:v>43.7475</x:v>
      </x:c>
      <x:c r="S329" s="38" t="n">
        <x:v>124.68</x:v>
      </x:c>
      <x:c r="T329" s="40" t="n">
        <x:v>19.48</x:v>
      </x:c>
      <x:c r="U329" s="40" t="n">
        <x:v>0.76</x:v>
      </x:c>
      <x:c r="V329" s="38" t="n">
        <x:f>L329*(1-T329/100)*(1-U329/100)</x:f>
        <x:v>291.25284875280005</x:v>
      </x:c>
      <x:c r="W329" s="38" t="n">
        <x:f>G329*N329</x:f>
        <x:v>152877.77286</x:v>
      </x:c>
      <x:c r="X329" s="38" t="n">
        <x:f>H329*O329</x:f>
        <x:v>35043.24103999999</x:v>
      </x:c>
      <x:c r="Y329" s="38" t="n">
        <x:f>I329*P329</x:f>
        <x:v>9528.75</x:v>
      </x:c>
      <x:c r="Z329" s="38" t="n">
        <x:f>J329*Q329+K329*P329</x:f>
        <x:v>2425.1266</x:v>
      </x:c>
      <x:c r="AA329" s="38" t="n">
        <x:f>M329*R329</x:f>
        <x:v>19941.9041475</x:v>
      </x:c>
      <x:c r="AB329" s="38" t="n">
        <x:f>SUM(W329:AA329)</x:f>
        <x:v>219816.79464749998</x:v>
      </x:c>
      <x:c r="AC329" s="38" t="n">
        <x:v>15.82</x:v>
      </x:c>
      <x:c r="AD329" s="38" t="n">
        <x:v>174.33</x:v>
      </x:c>
      <x:c r="AE329" s="38" t="n">
        <x:v>120.23</x:v>
      </x:c>
      <x:c r="AF329" s="38" t="n">
        <x:v>4.8148</x:v>
      </x:c>
      <x:c r="AG329" s="38" t="n">
        <x:v>5.42</x:v>
      </x:c>
      <x:c r="AH329" s="38" t="n">
        <x:f>IF(E329="Fason",L329*S329,0)</x:f>
        <x:v>45443.9898</x:v>
      </x:c>
      <x:c r="AI329" s="38" t="n">
        <x:f>IF(E329="Kurum içi",AC329*AD329+AE329*AF329+AB329*12%,0)</x:f>
        <x:v>0</x:v>
      </x:c>
      <x:c r="AJ329" s="38" t="n">
        <x:f>V329*AG329</x:f>
        <x:v>1578.5904402401763</x:v>
      </x:c>
      <x:c r="AK329" s="38" t="n">
        <x:f>AB329*2%</x:f>
        <x:v>4396.33589295</x:v>
      </x:c>
      <x:c r="AL329" s="38" t="n">
        <x:f>AB329+AH329+AI329+AJ329+AK329</x:f>
        <x:v>271235.71078069013</x:v>
      </x:c>
      <x:c r="AM329" s="38" t="n">
        <x:f>AL329/V329</x:f>
        <x:v>931.2723015145531</x:v>
      </x:c>
      <x:c r="AN329" s="40" t="n">
        <x:f>(W329+X329)/AL329*100</x:f>
        <x:v>69.2832862454255</x:v>
      </x:c>
      <x:c r="AO329" s="28" t="str">
        <x:v>R01-R20; ilgili satırdaki bölgesel fiyat ve maliyet varsayımları</x:v>
      </x:c>
      <x:c r="AP329" s="28" t="str">
        <x:v>Girdi miktarları, alım fiyatı değişimi, fason bedeli ve parti sonucu simüle edilmiştir; işletme kaydı değildir.</x:v>
      </x:c>
    </x:row>
    <x:row r="330" ht="22" customHeight="1">
      <x:c r="A330" t="str">
        <x:v>SUC-0329</x:v>
      </x:c>
      <x:c r="B330" s="36" t="n">
        <x:v>46290</x:v>
      </x:c>
      <x:c r="C330" t="str">
        <x:v>Akdeniz</x:v>
      </x:c>
      <x:c r="D330" t="str">
        <x:v>ERZURUM_CI</x:v>
      </x:c>
      <x:c r="E330" t="str">
        <x:v>Fason</x:v>
      </x:c>
      <x:c r="F330" s="42" t="str">
        <x:v>SENTETİK/SİMÜLE — gerçek parti kaydı değildir</x:v>
      </x:c>
      <x:c r="G330" s="38" t="n">
        <x:v>168.311</x:v>
      </x:c>
      <x:c r="H330" s="38" t="n">
        <x:v>28.87</x:v>
      </x:c>
      <x:c r="I330" s="38" t="n">
        <x:v>10.099</x:v>
      </x:c>
      <x:c r="J330" s="38" t="n">
        <x:v>3.213</x:v>
      </x:c>
      <x:c r="K330" s="38" t="n">
        <x:v>0.35</x:v>
      </x:c>
      <x:c r="L330" s="38" t="n">
        <x:f>SUM(G330:K330)</x:f>
        <x:v>210.843</x:v>
      </x:c>
      <x:c r="M330" s="38" t="n">
        <x:v>259.823</x:v>
      </x:c>
      <x:c r="N330" s="38" t="n">
        <x:v>595.44</x:v>
      </x:c>
      <x:c r="O330" s="38" t="n">
        <x:v>447.61</x:v>
      </x:c>
      <x:c r="P330" s="38" t="n">
        <x:v>550</x:v>
      </x:c>
      <x:c r="Q330" s="38" t="n">
        <x:v>19.88</x:v>
      </x:c>
      <x:c r="R330" s="38" t="n">
        <x:v>43.7475</x:v>
      </x:c>
      <x:c r="S330" s="38" t="n">
        <x:v>82.88</x:v>
      </x:c>
      <x:c r="T330" s="40" t="n">
        <x:v>15.72</x:v>
      </x:c>
      <x:c r="U330" s="40" t="n">
        <x:v>0.55</x:v>
      </x:c>
      <x:c r="V330" s="38" t="n">
        <x:f>L330*(1-T330/100)*(1-U330/100)</x:f>
        <x:v>176.7211387578</x:v>
      </x:c>
      <x:c r="W330" s="38" t="n">
        <x:f>G330*N330</x:f>
        <x:v>100219.10184000002</x:v>
      </x:c>
      <x:c r="X330" s="38" t="n">
        <x:f>H330*O330</x:f>
        <x:v>12922.5007</x:v>
      </x:c>
      <x:c r="Y330" s="38" t="n">
        <x:f>I330*P330</x:f>
        <x:v>5554.45</x:v>
      </x:c>
      <x:c r="Z330" s="38" t="n">
        <x:f>J330*Q330+K330*P330</x:f>
        <x:v>256.37444</x:v>
      </x:c>
      <x:c r="AA330" s="38" t="n">
        <x:f>M330*R330</x:f>
        <x:v>11366.6066925</x:v>
      </x:c>
      <x:c r="AB330" s="38" t="n">
        <x:f>SUM(W330:AA330)</x:f>
        <x:v>130319.03367250002</x:v>
      </x:c>
      <x:c r="AC330" s="38" t="n">
        <x:v>12.49</x:v>
      </x:c>
      <x:c r="AD330" s="38" t="n">
        <x:v>174.33</x:v>
      </x:c>
      <x:c r="AE330" s="38" t="n">
        <x:v>91.5</x:v>
      </x:c>
      <x:c r="AF330" s="38" t="n">
        <x:v>4.8148</x:v>
      </x:c>
      <x:c r="AG330" s="38" t="n">
        <x:v>5.65</x:v>
      </x:c>
      <x:c r="AH330" s="38" t="n">
        <x:f>IF(E330="Fason",L330*S330,0)</x:f>
        <x:v>17474.66784</x:v>
      </x:c>
      <x:c r="AI330" s="38" t="n">
        <x:f>IF(E330="Kurum içi",AC330*AD330+AE330*AF330+AB330*12%,0)</x:f>
        <x:v>0</x:v>
      </x:c>
      <x:c r="AJ330" s="38" t="n">
        <x:f>V330*AG330</x:f>
        <x:v>998.47443398157</x:v>
      </x:c>
      <x:c r="AK330" s="38" t="n">
        <x:f>AB330*2%</x:f>
        <x:v>2606.3806734500004</x:v>
      </x:c>
      <x:c r="AL330" s="38" t="n">
        <x:f>AB330+AH330+AI330+AJ330+AK330</x:f>
        <x:v>151398.55661993162</x:v>
      </x:c>
      <x:c r="AM330" s="38" t="n">
        <x:f>AL330/V330</x:f>
        <x:v>856.7088107519866</x:v>
      </x:c>
      <x:c r="AN330" s="40" t="n">
        <x:f>(W330+X330)/AL330*100</x:f>
        <x:v>74.7309651201159</x:v>
      </x:c>
      <x:c r="AO330" s="28" t="str">
        <x:v>R01-R20; ilgili satırdaki bölgesel fiyat ve maliyet varsayımları</x:v>
      </x:c>
      <x:c r="AP330" s="28" t="str">
        <x:v>Girdi miktarları, alım fiyatı değişimi, fason bedeli ve parti sonucu simüle edilmiştir; işletme kaydı değildir.</x:v>
      </x:c>
    </x:row>
    <x:row r="331" ht="22" customHeight="1">
      <x:c r="A331" t="str">
        <x:v>SUC-0330</x:v>
      </x:c>
      <x:c r="B331" s="36" t="n">
        <x:v>46273</x:v>
      </x:c>
      <x:c r="C331" t="str">
        <x:v>Karadeniz</x:v>
      </x:c>
      <x:c r="D331" t="str">
        <x:v>MEB_STANDART</x:v>
      </x:c>
      <x:c r="E331" t="str">
        <x:v>Kurum içi</x:v>
      </x:c>
      <x:c r="F331" s="42" t="str">
        <x:v>SENTETİK/SİMÜLE — gerçek parti kaydı değildir</x:v>
      </x:c>
      <x:c r="G331" s="38" t="n">
        <x:v>42.202</x:v>
      </x:c>
      <x:c r="H331" s="38" t="n">
        <x:v>13.254</x:v>
      </x:c>
      <x:c r="I331" s="38" t="n">
        <x:v>2.894</x:v>
      </x:c>
      <x:c r="J331" s="38" t="n">
        <x:v>1.473</x:v>
      </x:c>
      <x:c r="K331" s="38" t="n">
        <x:v>0.566</x:v>
      </x:c>
      <x:c r="L331" s="38" t="n">
        <x:f>SUM(G331:K331)</x:f>
        <x:v>60.388999999999996</x:v>
      </x:c>
      <x:c r="M331" s="38" t="n">
        <x:v>71.005</x:v>
      </x:c>
      <x:c r="N331" s="38" t="n">
        <x:v>617.49</x:v>
      </x:c>
      <x:c r="O331" s="38" t="n">
        <x:v>470.12</x:v>
      </x:c>
      <x:c r="P331" s="38" t="n">
        <x:v>400</x:v>
      </x:c>
      <x:c r="Q331" s="38" t="n">
        <x:v>19.88</x:v>
      </x:c>
      <x:c r="R331" s="38" t="n">
        <x:v>43.7475</x:v>
      </x:c>
      <x:c r="S331" s="38" t="n">
        <x:v>78.02</x:v>
      </x:c>
      <x:c r="T331" s="40" t="n">
        <x:v>31.88</x:v>
      </x:c>
      <x:c r="U331" s="40" t="n">
        <x:v>1.8</x:v>
      </x:c>
      <x:c r="V331" s="38" t="n">
        <x:f>L331*(1-T331/100)*(1-U331/100)</x:f>
        <x:v>40.396521037599996</x:v>
      </x:c>
      <x:c r="W331" s="38" t="n">
        <x:f>G331*N331</x:f>
        <x:v>26059.31298</x:v>
      </x:c>
      <x:c r="X331" s="38" t="n">
        <x:f>H331*O331</x:f>
        <x:v>6230.97048</x:v>
      </x:c>
      <x:c r="Y331" s="38" t="n">
        <x:f>I331*P331</x:f>
        <x:v>1157.6000000000001</x:v>
      </x:c>
      <x:c r="Z331" s="38" t="n">
        <x:f>J331*Q331+K331*P331</x:f>
        <x:v>255.68323999999998</x:v>
      </x:c>
      <x:c r="AA331" s="38" t="n">
        <x:f>M331*R331</x:f>
        <x:v>3106.2912375</x:v>
      </x:c>
      <x:c r="AB331" s="38" t="n">
        <x:f>SUM(W331:AA331)</x:f>
        <x:v>36809.8579375</x:v>
      </x:c>
      <x:c r="AC331" s="38" t="n">
        <x:v>2.9</x:v>
      </x:c>
      <x:c r="AD331" s="38" t="n">
        <x:v>174.33</x:v>
      </x:c>
      <x:c r="AE331" s="38" t="n">
        <x:v>20.29</x:v>
      </x:c>
      <x:c r="AF331" s="38" t="n">
        <x:v>4.8148</x:v>
      </x:c>
      <x:c r="AG331" s="38" t="n">
        <x:v>5.56</x:v>
      </x:c>
      <x:c r="AH331" s="38" t="n">
        <x:f>IF(E331="Fason",L331*S331,0)</x:f>
        <x:v>0</x:v>
      </x:c>
      <x:c r="AI331" s="38" t="n">
        <x:f>IF(E331="Kurum içi",AC331*AD331+AE331*AF331+AB331*12%,0)</x:f>
        <x:v>5020.4322445</x:v>
      </x:c>
      <x:c r="AJ331" s="38" t="n">
        <x:f>V331*AG331</x:f>
        <x:v>224.60465696905595</x:v>
      </x:c>
      <x:c r="AK331" s="38" t="n">
        <x:f>AB331*2%</x:f>
        <x:v>736.19715875</x:v>
      </x:c>
      <x:c r="AL331" s="38" t="n">
        <x:f>AB331+AH331+AI331+AJ331+AK331</x:f>
        <x:v>42791.09199771906</x:v>
      </x:c>
      <x:c r="AM331" s="38" t="n">
        <x:f>AL331/V331</x:f>
        <x:v>1059.2766629059531</x:v>
      </x:c>
      <x:c r="AN331" s="40" t="n">
        <x:f>(W331+X331)/AL331*100</x:f>
        <x:v>75.46029314166884</x:v>
      </x:c>
      <x:c r="AO331" s="28" t="str">
        <x:v>R01-R20; ilgili satırdaki bölgesel fiyat ve maliyet varsayımları</x:v>
      </x:c>
      <x:c r="AP331" s="28" t="str">
        <x:v>Girdi miktarları, alım fiyatı değişimi, fason bedeli ve parti sonucu simüle edilmiştir; işletme kaydı değildir.</x:v>
      </x:c>
    </x:row>
    <x:row r="332" ht="22" customHeight="1">
      <x:c r="A332" t="str">
        <x:v>SUC-0331</x:v>
      </x:c>
      <x:c r="B332" s="36" t="n">
        <x:v>46291</x:v>
      </x:c>
      <x:c r="C332" t="str">
        <x:v>Doğu Anadolu</x:v>
      </x:c>
      <x:c r="D332" t="str">
        <x:v>MEB_STANDART</x:v>
      </x:c>
      <x:c r="E332" t="str">
        <x:v>Kurum içi</x:v>
      </x:c>
      <x:c r="F332" s="42" t="str">
        <x:v>SENTETİK/SİMÜLE — gerçek parti kaydı değildir</x:v>
      </x:c>
      <x:c r="G332" s="38" t="n">
        <x:v>140.212</x:v>
      </x:c>
      <x:c r="H332" s="38" t="n">
        <x:v>44.867</x:v>
      </x:c>
      <x:c r="I332" s="38" t="n">
        <x:v>9.205</x:v>
      </x:c>
      <x:c r="J332" s="38" t="n">
        <x:v>4.975</x:v>
      </x:c>
      <x:c r="K332" s="38" t="n">
        <x:v>2.309</x:v>
      </x:c>
      <x:c r="L332" s="38" t="n">
        <x:f>SUM(G332:K332)</x:f>
        <x:v>201.56799999999998</x:v>
      </x:c>
      <x:c r="M332" s="38" t="n">
        <x:v>235.808</x:v>
      </x:c>
      <x:c r="N332" s="38" t="n">
        <x:v>585.11</x:v>
      </x:c>
      <x:c r="O332" s="38" t="n">
        <x:v>434.75</x:v>
      </x:c>
      <x:c r="P332" s="38" t="n">
        <x:v>669.9</x:v>
      </x:c>
      <x:c r="Q332" s="38" t="n">
        <x:v>19.88</x:v>
      </x:c>
      <x:c r="R332" s="38" t="n">
        <x:v>43.7475</x:v>
      </x:c>
      <x:c r="S332" s="38" t="n">
        <x:v>95.54</x:v>
      </x:c>
      <x:c r="T332" s="40" t="n">
        <x:v>20.33</x:v>
      </x:c>
      <x:c r="U332" s="40" t="n">
        <x:v>0.92</x:v>
      </x:c>
      <x:c r="V332" s="38" t="n">
        <x:f>L332*(1-T332/100)*(1-U332/100)</x:f>
        <x:v>159.11180472447998</x:v>
      </x:c>
      <x:c r="W332" s="38" t="n">
        <x:f>G332*N332</x:f>
        <x:v>82039.44331999999</x:v>
      </x:c>
      <x:c r="X332" s="38" t="n">
        <x:f>H332*O332</x:f>
        <x:v>19505.928249999997</x:v>
      </x:c>
      <x:c r="Y332" s="38" t="n">
        <x:f>I332*P332</x:f>
        <x:v>6166.4295</x:v>
      </x:c>
      <x:c r="Z332" s="38" t="n">
        <x:f>J332*Q332+K332*P332</x:f>
        <x:v>1645.7021</x:v>
      </x:c>
      <x:c r="AA332" s="38" t="n">
        <x:f>M332*R332</x:f>
        <x:v>10316.01048</x:v>
      </x:c>
      <x:c r="AB332" s="38" t="n">
        <x:f>SUM(W332:AA332)</x:f>
        <x:v>119673.51364999998</x:v>
      </x:c>
      <x:c r="AC332" s="38" t="n">
        <x:v>7.92</x:v>
      </x:c>
      <x:c r="AD332" s="38" t="n">
        <x:v>174.33</x:v>
      </x:c>
      <x:c r="AE332" s="38" t="n">
        <x:v>53.39</x:v>
      </x:c>
      <x:c r="AF332" s="38" t="n">
        <x:v>4.8148</x:v>
      </x:c>
      <x:c r="AG332" s="38" t="n">
        <x:v>5.48</x:v>
      </x:c>
      <x:c r="AH332" s="38" t="n">
        <x:f>IF(E332="Fason",L332*S332,0)</x:f>
        <x:v>0</x:v>
      </x:c>
      <x:c r="AI332" s="38" t="n">
        <x:f>IF(E332="Kurum içi",AC332*AD332+AE332*AF332+AB332*12%,0)</x:f>
        <x:v>15998.577409999998</x:v>
      </x:c>
      <x:c r="AJ332" s="38" t="n">
        <x:f>V332*AG332</x:f>
        <x:v>871.9326898901504</x:v>
      </x:c>
      <x:c r="AK332" s="38" t="n">
        <x:f>AB332*2%</x:f>
        <x:v>2393.4702729999995</x:v>
      </x:c>
      <x:c r="AL332" s="38" t="n">
        <x:f>AB332+AH332+AI332+AJ332+AK332</x:f>
        <x:v>138937.49402289014</x:v>
      </x:c>
      <x:c r="AM332" s="38" t="n">
        <x:f>AL332/V332</x:f>
        <x:v>873.2067005554746</x:v>
      </x:c>
      <x:c r="AN332" s="40" t="n">
        <x:f>(W332+X332)/AL332*100</x:f>
        <x:v>73.08709019414893</x:v>
      </x:c>
      <x:c r="AO332" s="28" t="str">
        <x:v>R01-R20; ilgili satırdaki bölgesel fiyat ve maliyet varsayımları</x:v>
      </x:c>
      <x:c r="AP332" s="28" t="str">
        <x:v>Girdi miktarları, alım fiyatı değişimi, fason bedeli ve parti sonucu simüle edilmiştir; işletme kaydı değildir.</x:v>
      </x:c>
    </x:row>
    <x:row r="333" ht="22" customHeight="1">
      <x:c r="A333" t="str">
        <x:v>SUC-0332</x:v>
      </x:c>
      <x:c r="B333" s="36" t="n">
        <x:v>46293</x:v>
      </x:c>
      <x:c r="C333" t="str">
        <x:v>Güneydoğu Anadolu</x:v>
      </x:c>
      <x:c r="D333" t="str">
        <x:v>MEB_STANDART</x:v>
      </x:c>
      <x:c r="E333" t="str">
        <x:v>Kurum içi</x:v>
      </x:c>
      <x:c r="F333" s="42" t="str">
        <x:v>SENTETİK/SİMÜLE — gerçek parti kaydı değildir</x:v>
      </x:c>
      <x:c r="G333" s="38" t="n">
        <x:v>284.519</x:v>
      </x:c>
      <x:c r="H333" s="38" t="n">
        <x:v>91.686</x:v>
      </x:c>
      <x:c r="I333" s="38" t="n">
        <x:v>19.718</x:v>
      </x:c>
      <x:c r="J333" s="38" t="n">
        <x:v>9.856</x:v>
      </x:c>
      <x:c r="K333" s="38" t="n">
        <x:v>4.136</x:v>
      </x:c>
      <x:c r="L333" s="38" t="n">
        <x:f>SUM(G333:K333)</x:f>
        <x:v>409.9150000000001</x:v>
      </x:c>
      <x:c r="M333" s="38" t="n">
        <x:v>510.072</x:v>
      </x:c>
      <x:c r="N333" s="38" t="n">
        <x:v>597.72</x:v>
      </x:c>
      <x:c r="O333" s="38" t="n">
        <x:v>457.45</x:v>
      </x:c>
      <x:c r="P333" s="38" t="n">
        <x:v>400</x:v>
      </x:c>
      <x:c r="Q333" s="38" t="n">
        <x:v>19.88</x:v>
      </x:c>
      <x:c r="R333" s="38" t="n">
        <x:v>43.7475</x:v>
      </x:c>
      <x:c r="S333" s="38" t="n">
        <x:v>73.08</x:v>
      </x:c>
      <x:c r="T333" s="40" t="n">
        <x:v>27.85</x:v>
      </x:c>
      <x:c r="U333" s="40" t="n">
        <x:v>1.57</x:v>
      </x:c>
      <x:c r="V333" s="38" t="n">
        <x:f>L333*(1-T333/100)*(1-U333/100)</x:f>
        <x:v>291.11033984175003</x:v>
      </x:c>
      <x:c r="W333" s="38" t="n">
        <x:f>G333*N333</x:f>
        <x:v>170062.69668000002</x:v>
      </x:c>
      <x:c r="X333" s="38" t="n">
        <x:f>H333*O333</x:f>
        <x:v>41941.7607</x:v>
      </x:c>
      <x:c r="Y333" s="38" t="n">
        <x:f>I333*P333</x:f>
        <x:v>7887.2</x:v>
      </x:c>
      <x:c r="Z333" s="38" t="n">
        <x:f>J333*Q333+K333*P333</x:f>
        <x:v>1850.3372800000002</x:v>
      </x:c>
      <x:c r="AA333" s="38" t="n">
        <x:f>M333*R333</x:f>
        <x:v>22314.37482</x:v>
      </x:c>
      <x:c r="AB333" s="38" t="n">
        <x:f>SUM(W333:AA333)</x:f>
        <x:v>244056.36948000005</x:v>
      </x:c>
      <x:c r="AC333" s="38" t="n">
        <x:v>27.26</x:v>
      </x:c>
      <x:c r="AD333" s="38" t="n">
        <x:v>174.33</x:v>
      </x:c>
      <x:c r="AE333" s="38" t="n">
        <x:v>146.89</x:v>
      </x:c>
      <x:c r="AF333" s="38" t="n">
        <x:v>4.8148</x:v>
      </x:c>
      <x:c r="AG333" s="38" t="n">
        <x:v>5.7</x:v>
      </x:c>
      <x:c r="AH333" s="38" t="n">
        <x:f>IF(E333="Fason",L333*S333,0)</x:f>
        <x:v>0</x:v>
      </x:c>
      <x:c r="AI333" s="38" t="n">
        <x:f>IF(E333="Kurum içi",AC333*AD333+AE333*AF333+AB333*12%,0)</x:f>
        <x:v>34746.246109600004</x:v>
      </x:c>
      <x:c r="AJ333" s="38" t="n">
        <x:f>V333*AG333</x:f>
        <x:v>1659.3289370979753</x:v>
      </x:c>
      <x:c r="AK333" s="38" t="n">
        <x:f>AB333*2%</x:f>
        <x:v>4881.127389600001</x:v>
      </x:c>
      <x:c r="AL333" s="38" t="n">
        <x:f>AB333+AH333+AI333+AJ333+AK333</x:f>
        <x:v>285343.071916298</x:v>
      </x:c>
      <x:c r="AM333" s="38" t="n">
        <x:f>AL333/V333</x:f>
        <x:v>980.1887218139103</x:v>
      </x:c>
      <x:c r="AN333" s="40" t="n">
        <x:f>(W333+X333)/AL333*100</x:f>
        <x:v>74.2980917518786</x:v>
      </x:c>
      <x:c r="AO333" s="28" t="str">
        <x:v>R01-R20; ilgili satırdaki bölgesel fiyat ve maliyet varsayımları</x:v>
      </x:c>
      <x:c r="AP333" s="28" t="str">
        <x:v>Girdi miktarları, alım fiyatı değişimi, fason bedeli ve parti sonucu simüle edilmiştir; işletme kaydı değildir.</x:v>
      </x:c>
    </x:row>
    <x:row r="334" ht="22" customHeight="1">
      <x:c r="A334" t="str">
        <x:v>SUC-0333</x:v>
      </x:c>
      <x:c r="B334" s="36" t="n">
        <x:v>46313</x:v>
      </x:c>
      <x:c r="C334" t="str">
        <x:v>Güneydoğu Anadolu</x:v>
      </x:c>
      <x:c r="D334" t="str">
        <x:v>MEB_STANDART</x:v>
      </x:c>
      <x:c r="E334" t="str">
        <x:v>Kurum içi</x:v>
      </x:c>
      <x:c r="F334" s="42" t="str">
        <x:v>SENTETİK/SİMÜLE — gerçek parti kaydı değildir</x:v>
      </x:c>
      <x:c r="G334" s="38" t="n">
        <x:v>72.733</x:v>
      </x:c>
      <x:c r="H334" s="38" t="n">
        <x:v>23.907</x:v>
      </x:c>
      <x:c r="I334" s="38" t="n">
        <x:v>4.983</x:v>
      </x:c>
      <x:c r="J334" s="38" t="n">
        <x:v>2.595</x:v>
      </x:c>
      <x:c r="K334" s="38" t="n">
        <x:v>1.2</x:v>
      </x:c>
      <x:c r="L334" s="38" t="n">
        <x:f>SUM(G334:K334)</x:f>
        <x:v>105.418</x:v>
      </x:c>
      <x:c r="M334" s="38" t="n">
        <x:v>129.685</x:v>
      </x:c>
      <x:c r="N334" s="38" t="n">
        <x:v>586.29</x:v>
      </x:c>
      <x:c r="O334" s="38" t="n">
        <x:v>413.66</x:v>
      </x:c>
      <x:c r="P334" s="38" t="n">
        <x:v>669.9</x:v>
      </x:c>
      <x:c r="Q334" s="38" t="n">
        <x:v>19.88</x:v>
      </x:c>
      <x:c r="R334" s="38" t="n">
        <x:v>43.7475</x:v>
      </x:c>
      <x:c r="S334" s="38" t="n">
        <x:v>74.96</x:v>
      </x:c>
      <x:c r="T334" s="40" t="n">
        <x:v>20.32</x:v>
      </x:c>
      <x:c r="U334" s="40" t="n">
        <x:v>1.2</x:v>
      </x:c>
      <x:c r="V334" s="38" t="n">
        <x:f>L334*(1-T334/100)*(1-U334/100)</x:f>
        <x:v>82.9890976512</x:v>
      </x:c>
      <x:c r="W334" s="38" t="n">
        <x:f>G334*N334</x:f>
        <x:v>42642.63057</x:v>
      </x:c>
      <x:c r="X334" s="38" t="n">
        <x:f>H334*O334</x:f>
        <x:v>9889.369620000001</x:v>
      </x:c>
      <x:c r="Y334" s="38" t="n">
        <x:f>I334*P334</x:f>
        <x:v>3338.1116999999995</x:v>
      </x:c>
      <x:c r="Z334" s="38" t="n">
        <x:f>J334*Q334+K334*P334</x:f>
        <x:v>855.4686</x:v>
      </x:c>
      <x:c r="AA334" s="38" t="n">
        <x:f>M334*R334</x:f>
        <x:v>5673.3945375</x:v>
      </x:c>
      <x:c r="AB334" s="38" t="n">
        <x:f>SUM(W334:AA334)</x:f>
        <x:v>62398.97502750001</x:v>
      </x:c>
      <x:c r="AC334" s="38" t="n">
        <x:v>7.03</x:v>
      </x:c>
      <x:c r="AD334" s="38" t="n">
        <x:v>174.33</x:v>
      </x:c>
      <x:c r="AE334" s="38" t="n">
        <x:v>26.29</x:v>
      </x:c>
      <x:c r="AF334" s="38" t="n">
        <x:v>4.8148</x:v>
      </x:c>
      <x:c r="AG334" s="38" t="n">
        <x:v>5.17</x:v>
      </x:c>
      <x:c r="AH334" s="38" t="n">
        <x:f>IF(E334="Fason",L334*S334,0)</x:f>
        <x:v>0</x:v>
      </x:c>
      <x:c r="AI334" s="38" t="n">
        <x:f>IF(E334="Kurum içi",AC334*AD334+AE334*AF334+AB334*12%,0)</x:f>
        <x:v>8839.9979953</x:v>
      </x:c>
      <x:c r="AJ334" s="38" t="n">
        <x:f>V334*AG334</x:f>
        <x:v>429.053634856704</x:v>
      </x:c>
      <x:c r="AK334" s="38" t="n">
        <x:f>AB334*2%</x:f>
        <x:v>1247.9795005500002</x:v>
      </x:c>
      <x:c r="AL334" s="38" t="n">
        <x:f>AB334+AH334+AI334+AJ334+AK334</x:f>
        <x:v>72916.00615820673</x:v>
      </x:c>
      <x:c r="AM334" s="38" t="n">
        <x:f>AL334/V334</x:f>
        <x:v>878.6215083898118</x:v>
      </x:c>
      <x:c r="AN334" s="40" t="n">
        <x:f>(W334+X334)/AL334*100</x:f>
        <x:v>72.04453858323055</x:v>
      </x:c>
      <x:c r="AO334" s="28" t="str">
        <x:v>R01-R20; ilgili satırdaki bölgesel fiyat ve maliyet varsayımları</x:v>
      </x:c>
      <x:c r="AP334" s="28" t="str">
        <x:v>Girdi miktarları, alım fiyatı değişimi, fason bedeli ve parti sonucu simüle edilmiştir; işletme kaydı değildir.</x:v>
      </x:c>
    </x:row>
    <x:row r="335" ht="22" customHeight="1">
      <x:c r="A335" t="str">
        <x:v>SUC-0334</x:v>
      </x:c>
      <x:c r="B335" s="36" t="n">
        <x:v>46308</x:v>
      </x:c>
      <x:c r="C335" t="str">
        <x:v>Doğu Anadolu</x:v>
      </x:c>
      <x:c r="D335" t="str">
        <x:v>MEB_STANDART</x:v>
      </x:c>
      <x:c r="E335" t="str">
        <x:v>Kurum içi</x:v>
      </x:c>
      <x:c r="F335" s="42" t="str">
        <x:v>SENTETİK/SİMÜLE — gerçek parti kaydı değildir</x:v>
      </x:c>
      <x:c r="G335" s="38" t="n">
        <x:v>211.586</x:v>
      </x:c>
      <x:c r="H335" s="38" t="n">
        <x:v>66.918</x:v>
      </x:c>
      <x:c r="I335" s="38" t="n">
        <x:v>14.186</x:v>
      </x:c>
      <x:c r="J335" s="38" t="n">
        <x:v>7.675</x:v>
      </x:c>
      <x:c r="K335" s="38" t="n">
        <x:v>3.378</x:v>
      </x:c>
      <x:c r="L335" s="38" t="n">
        <x:f>SUM(G335:K335)</x:f>
        <x:v>303.743</x:v>
      </x:c>
      <x:c r="M335" s="38" t="n">
        <x:v>354.653</x:v>
      </x:c>
      <x:c r="N335" s="38" t="n">
        <x:v>576.55</x:v>
      </x:c>
      <x:c r="O335" s="38" t="n">
        <x:v>450.26</x:v>
      </x:c>
      <x:c r="P335" s="38" t="n">
        <x:v>400</x:v>
      </x:c>
      <x:c r="Q335" s="38" t="n">
        <x:v>19.88</x:v>
      </x:c>
      <x:c r="R335" s="38" t="n">
        <x:v>43.7475</x:v>
      </x:c>
      <x:c r="S335" s="38" t="n">
        <x:v>115.02</x:v>
      </x:c>
      <x:c r="T335" s="40" t="n">
        <x:v>19.95</x:v>
      </x:c>
      <x:c r="U335" s="40" t="n">
        <x:v>1.33</x:v>
      </x:c>
      <x:c r="V335" s="38" t="n">
        <x:f>L335*(1-T335/100)*(1-U335/100)</x:f>
        <x:v>239.91242608905</x:v>
      </x:c>
      <x:c r="W335" s="38" t="n">
        <x:f>G335*N335</x:f>
        <x:v>121989.9083</x:v>
      </x:c>
      <x:c r="X335" s="38" t="n">
        <x:f>H335*O335</x:f>
        <x:v>30130.49868</x:v>
      </x:c>
      <x:c r="Y335" s="38" t="n">
        <x:f>I335*P335</x:f>
        <x:v>5674.4</x:v>
      </x:c>
      <x:c r="Z335" s="38" t="n">
        <x:f>J335*Q335+K335*P335</x:f>
        <x:v>1503.779</x:v>
      </x:c>
      <x:c r="AA335" s="38" t="n">
        <x:f>M335*R335</x:f>
        <x:v>15515.182117500002</x:v>
      </x:c>
      <x:c r="AB335" s="38" t="n">
        <x:f>SUM(W335:AA335)</x:f>
        <x:v>174813.7680975</x:v>
      </x:c>
      <x:c r="AC335" s="38" t="n">
        <x:v>13.9</x:v>
      </x:c>
      <x:c r="AD335" s="38" t="n">
        <x:v>174.33</x:v>
      </x:c>
      <x:c r="AE335" s="38" t="n">
        <x:v>126.14</x:v>
      </x:c>
      <x:c r="AF335" s="38" t="n">
        <x:v>4.8148</x:v>
      </x:c>
      <x:c r="AG335" s="38" t="n">
        <x:v>5.51</x:v>
      </x:c>
      <x:c r="AH335" s="38" t="n">
        <x:f>IF(E335="Fason",L335*S335,0)</x:f>
        <x:v>0</x:v>
      </x:c>
      <x:c r="AI335" s="38" t="n">
        <x:f>IF(E335="Kurum içi",AC335*AD335+AE335*AF335+AB335*12%,0)</x:f>
        <x:v>24008.178043699998</x:v>
      </x:c>
      <x:c r="AJ335" s="38" t="n">
        <x:f>V335*AG335</x:f>
        <x:v>1321.9174677506655</x:v>
      </x:c>
      <x:c r="AK335" s="38" t="n">
        <x:f>AB335*2%</x:f>
        <x:v>3496.27536195</x:v>
      </x:c>
      <x:c r="AL335" s="38" t="n">
        <x:f>AB335+AH335+AI335+AJ335+AK335</x:f>
        <x:v>203640.13897090068</x:v>
      </x:c>
      <x:c r="AM335" s="38" t="n">
        <x:f>AL335/V335</x:f>
        <x:v>848.8103025364519</x:v>
      </x:c>
      <x:c r="AN335" s="40" t="n">
        <x:f>(W335+X335)/AL335*100</x:f>
        <x:v>74.70060065208331</x:v>
      </x:c>
      <x:c r="AO335" s="28" t="str">
        <x:v>R01-R20; ilgili satırdaki bölgesel fiyat ve maliyet varsayımları</x:v>
      </x:c>
      <x:c r="AP335" s="28" t="str">
        <x:v>Girdi miktarları, alım fiyatı değişimi, fason bedeli ve parti sonucu simüle edilmiştir; işletme kaydı değildir.</x:v>
      </x:c>
    </x:row>
    <x:row r="336" ht="22" customHeight="1">
      <x:c r="A336" t="str">
        <x:v>SUC-0335</x:v>
      </x:c>
      <x:c r="B336" s="36" t="n">
        <x:v>46300</x:v>
      </x:c>
      <x:c r="C336" t="str">
        <x:v>Marmara</x:v>
      </x:c>
      <x:c r="D336" t="str">
        <x:v>MEB_STANDART</x:v>
      </x:c>
      <x:c r="E336" t="str">
        <x:v>Kurum içi</x:v>
      </x:c>
      <x:c r="F336" s="42" t="str">
        <x:v>SENTETİK/SİMÜLE — gerçek parti kaydı değildir</x:v>
      </x:c>
      <x:c r="G336" s="38" t="n">
        <x:v>122.51</x:v>
      </x:c>
      <x:c r="H336" s="38" t="n">
        <x:v>37.623</x:v>
      </x:c>
      <x:c r="I336" s="38" t="n">
        <x:v>7.633</x:v>
      </x:c>
      <x:c r="J336" s="38" t="n">
        <x:v>4.498</x:v>
      </x:c>
      <x:c r="K336" s="38" t="n">
        <x:v>1.826</x:v>
      </x:c>
      <x:c r="L336" s="38" t="n">
        <x:f>SUM(G336:K336)</x:f>
        <x:v>174.09</x:v>
      </x:c>
      <x:c r="M336" s="38" t="n">
        <x:v>227.109</x:v>
      </x:c>
      <x:c r="N336" s="38" t="n">
        <x:v>619.4</x:v>
      </x:c>
      <x:c r="O336" s="38" t="n">
        <x:v>479.43</x:v>
      </x:c>
      <x:c r="P336" s="38" t="n">
        <x:v>400</x:v>
      </x:c>
      <x:c r="Q336" s="38" t="n">
        <x:v>19.88</x:v>
      </x:c>
      <x:c r="R336" s="38" t="n">
        <x:v>43.7475</x:v>
      </x:c>
      <x:c r="S336" s="38" t="n">
        <x:v>123.19</x:v>
      </x:c>
      <x:c r="T336" s="40" t="n">
        <x:v>18.93</x:v>
      </x:c>
      <x:c r="U336" s="40" t="n">
        <x:v>1.73</x:v>
      </x:c>
      <x:c r="V336" s="38" t="n">
        <x:f>L336*(1-T336/100)*(1-U336/100)</x:f>
        <x:v>138.6931316001</x:v>
      </x:c>
      <x:c r="W336" s="38" t="n">
        <x:f>G336*N336</x:f>
        <x:v>75882.694</x:v>
      </x:c>
      <x:c r="X336" s="38" t="n">
        <x:f>H336*O336</x:f>
        <x:v>18037.59489</x:v>
      </x:c>
      <x:c r="Y336" s="38" t="n">
        <x:f>I336*P336</x:f>
        <x:v>3053.2</x:v>
      </x:c>
      <x:c r="Z336" s="38" t="n">
        <x:f>J336*Q336+K336*P336</x:f>
        <x:v>819.82024</x:v>
      </x:c>
      <x:c r="AA336" s="38" t="n">
        <x:f>M336*R336</x:f>
        <x:v>9935.4509775</x:v>
      </x:c>
      <x:c r="AB336" s="38" t="n">
        <x:f>SUM(W336:AA336)</x:f>
        <x:v>107728.7601075</x:v>
      </x:c>
      <x:c r="AC336" s="38" t="n">
        <x:v>10.09</x:v>
      </x:c>
      <x:c r="AD336" s="38" t="n">
        <x:v>174.33</x:v>
      </x:c>
      <x:c r="AE336" s="38" t="n">
        <x:v>43.62</x:v>
      </x:c>
      <x:c r="AF336" s="38" t="n">
        <x:v>4.8148</x:v>
      </x:c>
      <x:c r="AG336" s="38" t="n">
        <x:v>5.78</x:v>
      </x:c>
      <x:c r="AH336" s="38" t="n">
        <x:f>IF(E336="Fason",L336*S336,0)</x:f>
        <x:v>0</x:v>
      </x:c>
      <x:c r="AI336" s="38" t="n">
        <x:f>IF(E336="Kurum içi",AC336*AD336+AE336*AF336+AB336*12%,0)</x:f>
        <x:v>14896.4624889</x:v>
      </x:c>
      <x:c r="AJ336" s="38" t="n">
        <x:f>V336*AG336</x:f>
        <x:v>801.6463006485781</x:v>
      </x:c>
      <x:c r="AK336" s="38" t="n">
        <x:f>AB336*2%</x:f>
        <x:v>2154.57520215</x:v>
      </x:c>
      <x:c r="AL336" s="38" t="n">
        <x:f>AB336+AH336+AI336+AJ336+AK336</x:f>
        <x:v>125581.44409919856</x:v>
      </x:c>
      <x:c r="AM336" s="38" t="n">
        <x:f>AL336/V336</x:f>
        <x:v>905.46260402637</x:v>
      </x:c>
      <x:c r="AN336" s="40" t="n">
        <x:f>(W336+X336)/AL336*100</x:f>
        <x:v>74.78834915754832</x:v>
      </x:c>
      <x:c r="AO336" s="28" t="str">
        <x:v>R01-R20; ilgili satırdaki bölgesel fiyat ve maliyet varsayımları</x:v>
      </x:c>
      <x:c r="AP336" s="28" t="str">
        <x:v>Girdi miktarları, alım fiyatı değişimi, fason bedeli ve parti sonucu simüle edilmiştir; işletme kaydı değildir.</x:v>
      </x:c>
    </x:row>
    <x:row r="337" ht="22" customHeight="1">
      <x:c r="A337" t="str">
        <x:v>SUC-0336</x:v>
      </x:c>
      <x:c r="B337" s="36" t="n">
        <x:v>46315</x:v>
      </x:c>
      <x:c r="C337" t="str">
        <x:v>Güneydoğu Anadolu</x:v>
      </x:c>
      <x:c r="D337" t="str">
        <x:v>MEB_STANDART</x:v>
      </x:c>
      <x:c r="E337" t="str">
        <x:v>Fason</x:v>
      </x:c>
      <x:c r="F337" s="42" t="str">
        <x:v>SENTETİK/SİMÜLE — gerçek parti kaydı değildir</x:v>
      </x:c>
      <x:c r="G337" s="38" t="n">
        <x:v>259.993</x:v>
      </x:c>
      <x:c r="H337" s="38" t="n">
        <x:v>81.329</x:v>
      </x:c>
      <x:c r="I337" s="38" t="n">
        <x:v>17.245</x:v>
      </x:c>
      <x:c r="J337" s="38" t="n">
        <x:v>9.242</x:v>
      </x:c>
      <x:c r="K337" s="38" t="n">
        <x:v>4.217</x:v>
      </x:c>
      <x:c r="L337" s="38" t="n">
        <x:f>SUM(G337:K337)</x:f>
        <x:v>372.026</x:v>
      </x:c>
      <x:c r="M337" s="38" t="n">
        <x:v>436.94</x:v>
      </x:c>
      <x:c r="N337" s="38" t="n">
        <x:v>600.26</x:v>
      </x:c>
      <x:c r="O337" s="38" t="n">
        <x:v>471.08</x:v>
      </x:c>
      <x:c r="P337" s="38" t="n">
        <x:v>550</x:v>
      </x:c>
      <x:c r="Q337" s="38" t="n">
        <x:v>19.88</x:v>
      </x:c>
      <x:c r="R337" s="38" t="n">
        <x:v>43.7475</x:v>
      </x:c>
      <x:c r="S337" s="38" t="n">
        <x:v>103.47</x:v>
      </x:c>
      <x:c r="T337" s="40" t="n">
        <x:v>16.37</x:v>
      </x:c>
      <x:c r="U337" s="40" t="n">
        <x:v>0.75</x:v>
      </x:c>
      <x:c r="V337" s="38" t="n">
        <x:f>L337*(1-T337/100)*(1-U337/100)</x:f>
        <x:v>308.7919037215001</x:v>
      </x:c>
      <x:c r="W337" s="38" t="n">
        <x:f>G337*N337</x:f>
        <x:v>156063.39818</x:v>
      </x:c>
      <x:c r="X337" s="38" t="n">
        <x:f>H337*O337</x:f>
        <x:v>38312.465319999996</x:v>
      </x:c>
      <x:c r="Y337" s="38" t="n">
        <x:f>I337*P337</x:f>
        <x:v>9484.75</x:v>
      </x:c>
      <x:c r="Z337" s="38" t="n">
        <x:f>J337*Q337+K337*P337</x:f>
        <x:v>2503.08096</x:v>
      </x:c>
      <x:c r="AA337" s="38" t="n">
        <x:f>M337*R337</x:f>
        <x:v>19115.03265</x:v>
      </x:c>
      <x:c r="AB337" s="38" t="n">
        <x:f>SUM(W337:AA337)</x:f>
        <x:v>225478.72710999998</x:v>
      </x:c>
      <x:c r="AC337" s="38" t="n">
        <x:v>14.11</x:v>
      </x:c>
      <x:c r="AD337" s="38" t="n">
        <x:v>174.33</x:v>
      </x:c>
      <x:c r="AE337" s="38" t="n">
        <x:v>98.67</x:v>
      </x:c>
      <x:c r="AF337" s="38" t="n">
        <x:v>4.8148</x:v>
      </x:c>
      <x:c r="AG337" s="38" t="n">
        <x:v>5.17</x:v>
      </x:c>
      <x:c r="AH337" s="38" t="n">
        <x:f>IF(E337="Fason",L337*S337,0)</x:f>
        <x:v>38493.53022</x:v>
      </x:c>
      <x:c r="AI337" s="38" t="n">
        <x:f>IF(E337="Kurum içi",AC337*AD337+AE337*AF337+AB337*12%,0)</x:f>
        <x:v>0</x:v>
      </x:c>
      <x:c r="AJ337" s="38" t="n">
        <x:f>V337*AG337</x:f>
        <x:v>1596.4541422401555</x:v>
      </x:c>
      <x:c r="AK337" s="38" t="n">
        <x:f>AB337*2%</x:f>
        <x:v>4509.5745422</x:v>
      </x:c>
      <x:c r="AL337" s="38" t="n">
        <x:f>AB337+AH337+AI337+AJ337+AK337</x:f>
        <x:v>270078.2860144402</x:v>
      </x:c>
      <x:c r="AM337" s="38" t="n">
        <x:f>AL337/V337</x:f>
        <x:v>874.6287799631697</x:v>
      </x:c>
      <x:c r="AN337" s="40" t="n">
        <x:f>(W337+X337)/AL337*100</x:f>
        <x:v>71.97019292754521</x:v>
      </x:c>
      <x:c r="AO337" s="28" t="str">
        <x:v>R01-R20; ilgili satırdaki bölgesel fiyat ve maliyet varsayımları</x:v>
      </x:c>
      <x:c r="AP337" s="28" t="str">
        <x:v>Girdi miktarları, alım fiyatı değişimi, fason bedeli ve parti sonucu simüle edilmiştir; işletme kaydı değildir.</x:v>
      </x:c>
    </x:row>
    <x:row r="338" ht="22" customHeight="1">
      <x:c r="A338" t="str">
        <x:v>SUC-0337</x:v>
      </x:c>
      <x:c r="B338" s="36" t="n">
        <x:v>46292</x:v>
      </x:c>
      <x:c r="C338" t="str">
        <x:v>Doğu Anadolu</x:v>
      </x:c>
      <x:c r="D338" t="str">
        <x:v>ERZURUM_CI</x:v>
      </x:c>
      <x:c r="E338" t="str">
        <x:v>Kurum içi</x:v>
      </x:c>
      <x:c r="F338" s="42" t="str">
        <x:v>SENTETİK/SİMÜLE — gerçek parti kaydı değildir</x:v>
      </x:c>
      <x:c r="G338" s="38" t="n">
        <x:v>304.612</x:v>
      </x:c>
      <x:c r="H338" s="38" t="n">
        <x:v>55.051</x:v>
      </x:c>
      <x:c r="I338" s="38" t="n">
        <x:v>18.958</x:v>
      </x:c>
      <x:c r="J338" s="38" t="n">
        <x:v>5.561</x:v>
      </x:c>
      <x:c r="K338" s="38" t="n">
        <x:v>0.739</x:v>
      </x:c>
      <x:c r="L338" s="38" t="n">
        <x:f>SUM(G338:K338)</x:f>
        <x:v>384.92099999999994</x:v>
      </x:c>
      <x:c r="M338" s="38" t="n">
        <x:v>473.602</x:v>
      </x:c>
      <x:c r="N338" s="38" t="n">
        <x:v>605.22</x:v>
      </x:c>
      <x:c r="O338" s="38" t="n">
        <x:v>437.36</x:v>
      </x:c>
      <x:c r="P338" s="38" t="n">
        <x:v>400</x:v>
      </x:c>
      <x:c r="Q338" s="38" t="n">
        <x:v>19.88</x:v>
      </x:c>
      <x:c r="R338" s="38" t="n">
        <x:v>43.7475</x:v>
      </x:c>
      <x:c r="S338" s="38" t="n">
        <x:v>116.82</x:v>
      </x:c>
      <x:c r="T338" s="40" t="n">
        <x:v>29.57</x:v>
      </x:c>
      <x:c r="U338" s="40" t="n">
        <x:v>1.32</x:v>
      </x:c>
      <x:c r="V338" s="38" t="n">
        <x:f>L338*(1-T338/100)*(1-U338/100)</x:f>
        <x:v>267.5213421440399</x:v>
      </x:c>
      <x:c r="W338" s="38" t="n">
        <x:f>G338*N338</x:f>
        <x:v>184357.27464000002</x:v>
      </x:c>
      <x:c r="X338" s="38" t="n">
        <x:f>H338*O338</x:f>
        <x:v>24077.10536</x:v>
      </x:c>
      <x:c r="Y338" s="38" t="n">
        <x:f>I338*P338</x:f>
        <x:v>7583.199999999999</x:v>
      </x:c>
      <x:c r="Z338" s="38" t="n">
        <x:f>J338*Q338+K338*P338</x:f>
        <x:v>406.15268000000003</x:v>
      </x:c>
      <x:c r="AA338" s="38" t="n">
        <x:f>M338*R338</x:f>
        <x:v>20718.903495</x:v>
      </x:c>
      <x:c r="AB338" s="38" t="n">
        <x:f>SUM(W338:AA338)</x:f>
        <x:v>237142.63617500002</x:v>
      </x:c>
      <x:c r="AC338" s="38" t="n">
        <x:v>25.05</x:v>
      </x:c>
      <x:c r="AD338" s="38" t="n">
        <x:v>174.33</x:v>
      </x:c>
      <x:c r="AE338" s="38" t="n">
        <x:v>177.83</x:v>
      </x:c>
      <x:c r="AF338" s="38" t="n">
        <x:v>4.8148</x:v>
      </x:c>
      <x:c r="AG338" s="38" t="n">
        <x:v>5.36</x:v>
      </x:c>
      <x:c r="AH338" s="38" t="n">
        <x:f>IF(E338="Fason",L338*S338,0)</x:f>
        <x:v>0</x:v>
      </x:c>
      <x:c r="AI338" s="38" t="n">
        <x:f>IF(E338="Kurum içi",AC338*AD338+AE338*AF338+AB338*12%,0)</x:f>
        <x:v>33680.298725</x:v>
      </x:c>
      <x:c r="AJ338" s="38" t="n">
        <x:f>V338*AG338</x:f>
        <x:v>1433.914393892054</x:v>
      </x:c>
      <x:c r="AK338" s="38" t="n">
        <x:f>AB338*2%</x:f>
        <x:v>4742.8527235</x:v>
      </x:c>
      <x:c r="AL338" s="38" t="n">
        <x:f>AB338+AH338+AI338+AJ338+AK338</x:f>
        <x:v>276999.70201739203</x:v>
      </x:c>
      <x:c r="AM338" s="38" t="n">
        <x:f>AL338/V338</x:f>
        <x:v>1035.4302942613406</x:v>
      </x:c>
      <x:c r="AN338" s="40" t="n">
        <x:f>(W338+X338)/AL338*100</x:f>
        <x:v>75.2471495391403</x:v>
      </x:c>
      <x:c r="AO338" s="28" t="str">
        <x:v>R01-R20; ilgili satırdaki bölgesel fiyat ve maliyet varsayımları</x:v>
      </x:c>
      <x:c r="AP338" s="28" t="str">
        <x:v>Girdi miktarları, alım fiyatı değişimi, fason bedeli ve parti sonucu simüle edilmiştir; işletme kaydı değildir.</x:v>
      </x:c>
    </x:row>
    <x:row r="339" ht="22" customHeight="1">
      <x:c r="A339" t="str">
        <x:v>SUC-0338</x:v>
      </x:c>
      <x:c r="B339" s="36" t="n">
        <x:v>46284</x:v>
      </x:c>
      <x:c r="C339" t="str">
        <x:v>İç Anadolu</x:v>
      </x:c>
      <x:c r="D339" t="str">
        <x:v>ERZURUM_CI</x:v>
      </x:c>
      <x:c r="E339" t="str">
        <x:v>Kurum içi</x:v>
      </x:c>
      <x:c r="F339" s="42" t="str">
        <x:v>SENTETİK/SİMÜLE — gerçek parti kaydı değildir</x:v>
      </x:c>
      <x:c r="G339" s="38" t="n">
        <x:v>311.15</x:v>
      </x:c>
      <x:c r="H339" s="38" t="n">
        <x:v>56.135</x:v>
      </x:c>
      <x:c r="I339" s="38" t="n">
        <x:v>18.011</x:v>
      </x:c>
      <x:c r="J339" s="38" t="n">
        <x:v>5.743</x:v>
      </x:c>
      <x:c r="K339" s="38" t="n">
        <x:v>0.243</x:v>
      </x:c>
      <x:c r="L339" s="38" t="n">
        <x:f>SUM(G339:K339)</x:f>
        <x:v>391.282</x:v>
      </x:c>
      <x:c r="M339" s="38" t="n">
        <x:v>467.295</x:v>
      </x:c>
      <x:c r="N339" s="38" t="n">
        <x:v>598.5</x:v>
      </x:c>
      <x:c r="O339" s="38" t="n">
        <x:v>451.24</x:v>
      </x:c>
      <x:c r="P339" s="38" t="n">
        <x:v>550</x:v>
      </x:c>
      <x:c r="Q339" s="38" t="n">
        <x:v>19.88</x:v>
      </x:c>
      <x:c r="R339" s="38" t="n">
        <x:v>43.7475</x:v>
      </x:c>
      <x:c r="S339" s="38" t="n">
        <x:v>88.19</x:v>
      </x:c>
      <x:c r="T339" s="40" t="n">
        <x:v>30.61</x:v>
      </x:c>
      <x:c r="U339" s="40" t="n">
        <x:v>1.13</x:v>
      </x:c>
      <x:c r="V339" s="38" t="n">
        <x:f>L339*(1-T339/100)*(1-U339/100)</x:f>
        <x:v>268.44251024825996</x:v>
      </x:c>
      <x:c r="W339" s="38" t="n">
        <x:f>G339*N339</x:f>
        <x:v>186223.275</x:v>
      </x:c>
      <x:c r="X339" s="38" t="n">
        <x:f>H339*O339</x:f>
        <x:v>25330.3574</x:v>
      </x:c>
      <x:c r="Y339" s="38" t="n">
        <x:f>I339*P339</x:f>
        <x:v>9906.05</x:v>
      </x:c>
      <x:c r="Z339" s="38" t="n">
        <x:f>J339*Q339+K339*P339</x:f>
        <x:v>247.82084</x:v>
      </x:c>
      <x:c r="AA339" s="38" t="n">
        <x:f>M339*R339</x:f>
        <x:v>20442.9880125</x:v>
      </x:c>
      <x:c r="AB339" s="38" t="n">
        <x:f>SUM(W339:AA339)</x:f>
        <x:v>242150.49125249998</x:v>
      </x:c>
      <x:c r="AC339" s="38" t="n">
        <x:v>19.89</x:v>
      </x:c>
      <x:c r="AD339" s="38" t="n">
        <x:v>174.33</x:v>
      </x:c>
      <x:c r="AE339" s="38" t="n">
        <x:v>164.07</x:v>
      </x:c>
      <x:c r="AF339" s="38" t="n">
        <x:v>4.8148</x:v>
      </x:c>
      <x:c r="AG339" s="38" t="n">
        <x:v>5.3</x:v>
      </x:c>
      <x:c r="AH339" s="38" t="n">
        <x:f>IF(E339="Fason",L339*S339,0)</x:f>
        <x:v>0</x:v>
      </x:c>
      <x:c r="AI339" s="38" t="n">
        <x:f>IF(E339="Kurum içi",AC339*AD339+AE339*AF339+AB339*12%,0)</x:f>
        <x:v>33315.4468863</x:v>
      </x:c>
      <x:c r="AJ339" s="38" t="n">
        <x:f>V339*AG339</x:f>
        <x:v>1422.7453043157777</x:v>
      </x:c>
      <x:c r="AK339" s="38" t="n">
        <x:f>AB339*2%</x:f>
        <x:v>4843.00982505</x:v>
      </x:c>
      <x:c r="AL339" s="38" t="n">
        <x:f>AB339+AH339+AI339+AJ339+AK339</x:f>
        <x:v>281731.69326816575</x:v>
      </x:c>
      <x:c r="AM339" s="38" t="n">
        <x:f>AL339/V339</x:f>
        <x:v>1049.5047636367867</x:v>
      </x:c>
      <x:c r="AN339" s="40" t="n">
        <x:f>(W339+X339)/AL339*100</x:f>
        <x:v>75.09046282507985</x:v>
      </x:c>
      <x:c r="AO339" s="28" t="str">
        <x:v>R01-R20; ilgili satırdaki bölgesel fiyat ve maliyet varsayımları</x:v>
      </x:c>
      <x:c r="AP339" s="28" t="str">
        <x:v>Girdi miktarları, alım fiyatı değişimi, fason bedeli ve parti sonucu simüle edilmiştir; işletme kaydı değildir.</x:v>
      </x:c>
    </x:row>
    <x:row r="340" ht="22" customHeight="1">
      <x:c r="A340" t="str">
        <x:v>SUC-0339</x:v>
      </x:c>
      <x:c r="B340" s="36" t="n">
        <x:v>46288</x:v>
      </x:c>
      <x:c r="C340" t="str">
        <x:v>İç Anadolu</x:v>
      </x:c>
      <x:c r="D340" t="str">
        <x:v>MEB_STANDART</x:v>
      </x:c>
      <x:c r="E340" t="str">
        <x:v>Kurum içi</x:v>
      </x:c>
      <x:c r="F340" s="42" t="str">
        <x:v>SENTETİK/SİMÜLE — gerçek parti kaydı değildir</x:v>
      </x:c>
      <x:c r="G340" s="38" t="n">
        <x:v>124.999</x:v>
      </x:c>
      <x:c r="H340" s="38" t="n">
        <x:v>40.324</x:v>
      </x:c>
      <x:c r="I340" s="38" t="n">
        <x:v>7.488</x:v>
      </x:c>
      <x:c r="J340" s="38" t="n">
        <x:v>4.765</x:v>
      </x:c>
      <x:c r="K340" s="38" t="n">
        <x:v>1.56</x:v>
      </x:c>
      <x:c r="L340" s="38" t="n">
        <x:f>SUM(G340:K340)</x:f>
        <x:v>179.13599999999997</x:v>
      </x:c>
      <x:c r="M340" s="38" t="n">
        <x:v>213.107</x:v>
      </x:c>
      <x:c r="N340" s="38" t="n">
        <x:v>581.03</x:v>
      </x:c>
      <x:c r="O340" s="38" t="n">
        <x:v>446.3</x:v>
      </x:c>
      <x:c r="P340" s="38" t="n">
        <x:v>400</x:v>
      </x:c>
      <x:c r="Q340" s="38" t="n">
        <x:v>19.88</x:v>
      </x:c>
      <x:c r="R340" s="38" t="n">
        <x:v>43.7475</x:v>
      </x:c>
      <x:c r="S340" s="38" t="n">
        <x:v>94.61</x:v>
      </x:c>
      <x:c r="T340" s="40" t="n">
        <x:v>20.38</x:v>
      </x:c>
      <x:c r="U340" s="40" t="n">
        <x:v>0.57</x:v>
      </x:c>
      <x:c r="V340" s="38" t="n">
        <x:f>L340*(1-T340/100)*(1-U340/100)</x:f>
        <x:v>141.81510312575995</x:v>
      </x:c>
      <x:c r="W340" s="38" t="n">
        <x:f>G340*N340</x:f>
        <x:v>72628.16897</x:v>
      </x:c>
      <x:c r="X340" s="38" t="n">
        <x:f>H340*O340</x:f>
        <x:v>17996.6012</x:v>
      </x:c>
      <x:c r="Y340" s="38" t="n">
        <x:f>I340*P340</x:f>
        <x:v>2995.2000000000003</x:v>
      </x:c>
      <x:c r="Z340" s="38" t="n">
        <x:f>J340*Q340+K340*P340</x:f>
        <x:v>718.7282</x:v>
      </x:c>
      <x:c r="AA340" s="38" t="n">
        <x:f>M340*R340</x:f>
        <x:v>9322.8984825</x:v>
      </x:c>
      <x:c r="AB340" s="38" t="n">
        <x:f>SUM(W340:AA340)</x:f>
        <x:v>103661.59685249999</x:v>
      </x:c>
      <x:c r="AC340" s="38" t="n">
        <x:v>6.98</x:v>
      </x:c>
      <x:c r="AD340" s="38" t="n">
        <x:v>174.33</x:v>
      </x:c>
      <x:c r="AE340" s="38" t="n">
        <x:v>48.94</x:v>
      </x:c>
      <x:c r="AF340" s="38" t="n">
        <x:v>4.8148</x:v>
      </x:c>
      <x:c r="AG340" s="38" t="n">
        <x:v>5.59</x:v>
      </x:c>
      <x:c r="AH340" s="38" t="n">
        <x:f>IF(E340="Fason",L340*S340,0)</x:f>
        <x:v>0</x:v>
      </x:c>
      <x:c r="AI340" s="38" t="n">
        <x:f>IF(E340="Kurum içi",AC340*AD340+AE340*AF340+AB340*12%,0)</x:f>
        <x:v>13891.851334299998</x:v>
      </x:c>
      <x:c r="AJ340" s="38" t="n">
        <x:f>V340*AG340</x:f>
        <x:v>792.7464264729981</x:v>
      </x:c>
      <x:c r="AK340" s="38" t="n">
        <x:f>AB340*2%</x:f>
        <x:v>2073.23193705</x:v>
      </x:c>
      <x:c r="AL340" s="38" t="n">
        <x:f>AB340+AH340+AI340+AJ340+AK340</x:f>
        <x:v>120419.42655032298</x:v>
      </x:c>
      <x:c r="AM340" s="38" t="n">
        <x:f>AL340/V340</x:f>
        <x:v>849.1297745878059</x:v>
      </x:c>
      <x:c r="AN340" s="40" t="n">
        <x:f>(W340+X340)/AL340*100</x:f>
        <x:v>75.2575998459253</x:v>
      </x:c>
      <x:c r="AO340" s="28" t="str">
        <x:v>R01-R20; ilgili satırdaki bölgesel fiyat ve maliyet varsayımları</x:v>
      </x:c>
      <x:c r="AP340" s="28" t="str">
        <x:v>Girdi miktarları, alım fiyatı değişimi, fason bedeli ve parti sonucu simüle edilmiştir; işletme kaydı değildir.</x:v>
      </x:c>
    </x:row>
    <x:row r="341" ht="22" customHeight="1">
      <x:c r="A341" t="str">
        <x:v>SUC-0340</x:v>
      </x:c>
      <x:c r="B341" s="36" t="n">
        <x:v>46284</x:v>
      </x:c>
      <x:c r="C341" t="str">
        <x:v>Marmara</x:v>
      </x:c>
      <x:c r="D341" t="str">
        <x:v>ERZURUM_CI</x:v>
      </x:c>
      <x:c r="E341" t="str">
        <x:v>Kurum içi</x:v>
      </x:c>
      <x:c r="F341" s="42" t="str">
        <x:v>SENTETİK/SİMÜLE — gerçek parti kaydı değildir</x:v>
      </x:c>
      <x:c r="G341" s="38" t="n">
        <x:v>184.637</x:v>
      </x:c>
      <x:c r="H341" s="38" t="n">
        <x:v>33.713</x:v>
      </x:c>
      <x:c r="I341" s="38" t="n">
        <x:v>10.57</x:v>
      </x:c>
      <x:c r="J341" s="38" t="n">
        <x:v>3.622</x:v>
      </x:c>
      <x:c r="K341" s="38" t="n">
        <x:v>0.023</x:v>
      </x:c>
      <x:c r="L341" s="38" t="n">
        <x:f>SUM(G341:K341)</x:f>
        <x:v>232.56499999999997</x:v>
      </x:c>
      <x:c r="M341" s="38" t="n">
        <x:v>298.197</x:v>
      </x:c>
      <x:c r="N341" s="38" t="n">
        <x:v>612.27</x:v>
      </x:c>
      <x:c r="O341" s="38" t="n">
        <x:v>439.31</x:v>
      </x:c>
      <x:c r="P341" s="38" t="n">
        <x:v>669.9</x:v>
      </x:c>
      <x:c r="Q341" s="38" t="n">
        <x:v>19.88</x:v>
      </x:c>
      <x:c r="R341" s="38" t="n">
        <x:v>43.7475</x:v>
      </x:c>
      <x:c r="S341" s="38" t="n">
        <x:v>120.86</x:v>
      </x:c>
      <x:c r="T341" s="40" t="n">
        <x:v>23.41</x:v>
      </x:c>
      <x:c r="U341" s="40" t="n">
        <x:v>0.75</x:v>
      </x:c>
      <x:c r="V341" s="38" t="n">
        <x:f>L341*(1-T341/100)*(1-U341/100)</x:f>
        <x:v>176.78562199874997</x:v>
      </x:c>
      <x:c r="W341" s="38" t="n">
        <x:f>G341*N341</x:f>
        <x:v>113047.69599</x:v>
      </x:c>
      <x:c r="X341" s="38" t="n">
        <x:f>H341*O341</x:f>
        <x:v>14810.45803</x:v>
      </x:c>
      <x:c r="Y341" s="38" t="n">
        <x:f>I341*P341</x:f>
        <x:v>7080.843</x:v>
      </x:c>
      <x:c r="Z341" s="38" t="n">
        <x:f>J341*Q341+K341*P341</x:f>
        <x:v>87.41306</x:v>
      </x:c>
      <x:c r="AA341" s="38" t="n">
        <x:f>M341*R341</x:f>
        <x:v>13045.373257500001</x:v>
      </x:c>
      <x:c r="AB341" s="38" t="n">
        <x:f>SUM(W341:AA341)</x:f>
        <x:v>148071.78333749998</x:v>
      </x:c>
      <x:c r="AC341" s="38" t="n">
        <x:v>14.63</x:v>
      </x:c>
      <x:c r="AD341" s="38" t="n">
        <x:v>174.33</x:v>
      </x:c>
      <x:c r="AE341" s="38" t="n">
        <x:v>68.4</x:v>
      </x:c>
      <x:c r="AF341" s="38" t="n">
        <x:v>4.8148</x:v>
      </x:c>
      <x:c r="AG341" s="38" t="n">
        <x:v>5.52</x:v>
      </x:c>
      <x:c r="AH341" s="38" t="n">
        <x:f>IF(E341="Fason",L341*S341,0)</x:f>
        <x:v>0</x:v>
      </x:c>
      <x:c r="AI341" s="38" t="n">
        <x:f>IF(E341="Kurum içi",AC341*AD341+AE341*AF341+AB341*12%,0)</x:f>
        <x:v>20648.3942205</x:v>
      </x:c>
      <x:c r="AJ341" s="38" t="n">
        <x:f>V341*AG341</x:f>
        <x:v>975.8566334330998</x:v>
      </x:c>
      <x:c r="AK341" s="38" t="n">
        <x:f>AB341*2%</x:f>
        <x:v>2961.4356667499997</x:v>
      </x:c>
      <x:c r="AL341" s="38" t="n">
        <x:f>AB341+AH341+AI341+AJ341+AK341</x:f>
        <x:v>172657.4698581831</x:v>
      </x:c>
      <x:c r="AM341" s="38" t="n">
        <x:f>AL341/V341</x:f>
        <x:v>976.6488241866407</x:v>
      </x:c>
      <x:c r="AN341" s="40" t="n">
        <x:f>(W341+X341)/AL341*100</x:f>
        <x:v>74.0530682657517</x:v>
      </x:c>
      <x:c r="AO341" s="28" t="str">
        <x:v>R01-R20; ilgili satırdaki bölgesel fiyat ve maliyet varsayımları</x:v>
      </x:c>
      <x:c r="AP341" s="28" t="str">
        <x:v>Girdi miktarları, alım fiyatı değişimi, fason bedeli ve parti sonucu simüle edilmiştir; işletme kaydı değildir.</x:v>
      </x:c>
    </x:row>
    <x:row r="342" ht="22" customHeight="1">
      <x:c r="A342" t="str">
        <x:v>SUC-0341</x:v>
      </x:c>
      <x:c r="B342" s="36" t="n">
        <x:v>46284</x:v>
      </x:c>
      <x:c r="C342" t="str">
        <x:v>Karadeniz</x:v>
      </x:c>
      <x:c r="D342" t="str">
        <x:v>ERZURUM_CI</x:v>
      </x:c>
      <x:c r="E342" t="str">
        <x:v>Kurum içi</x:v>
      </x:c>
      <x:c r="F342" s="42" t="str">
        <x:v>SENTETİK/SİMÜLE — gerçek parti kaydı değildir</x:v>
      </x:c>
      <x:c r="G342" s="38" t="n">
        <x:v>90.184</x:v>
      </x:c>
      <x:c r="H342" s="38" t="n">
        <x:v>16.626</x:v>
      </x:c>
      <x:c r="I342" s="38" t="n">
        <x:v>5.274</x:v>
      </x:c>
      <x:c r="J342" s="38" t="n">
        <x:v>1.725</x:v>
      </x:c>
      <x:c r="K342" s="38" t="n">
        <x:v>0.204</x:v>
      </x:c>
      <x:c r="L342" s="38" t="n">
        <x:f>SUM(G342:K342)</x:f>
        <x:v>114.01299999999999</x:v>
      </x:c>
      <x:c r="M342" s="38" t="n">
        <x:v>140.768</x:v>
      </x:c>
      <x:c r="N342" s="38" t="n">
        <x:v>595.29</x:v>
      </x:c>
      <x:c r="O342" s="38" t="n">
        <x:v>411.37</x:v>
      </x:c>
      <x:c r="P342" s="38" t="n">
        <x:v>669.9</x:v>
      </x:c>
      <x:c r="Q342" s="38" t="n">
        <x:v>19.88</x:v>
      </x:c>
      <x:c r="R342" s="38" t="n">
        <x:v>43.7475</x:v>
      </x:c>
      <x:c r="S342" s="38" t="n">
        <x:v>65.22</x:v>
      </x:c>
      <x:c r="T342" s="40" t="n">
        <x:v>17.83</x:v>
      </x:c>
      <x:c r="U342" s="40" t="n">
        <x:v>1.51</x:v>
      </x:c>
      <x:c r="V342" s="38" t="n">
        <x:f>L342*(1-T342/100)*(1-U342/100)</x:f>
        <x:v>92.26984642029</x:v>
      </x:c>
      <x:c r="W342" s="38" t="n">
        <x:f>G342*N342</x:f>
        <x:v>53685.63335999999</x:v>
      </x:c>
      <x:c r="X342" s="38" t="n">
        <x:f>H342*O342</x:f>
        <x:v>6839.437620000001</x:v>
      </x:c>
      <x:c r="Y342" s="38" t="n">
        <x:f>I342*P342</x:f>
        <x:v>3533.0526</x:v>
      </x:c>
      <x:c r="Z342" s="38" t="n">
        <x:f>J342*Q342+K342*P342</x:f>
        <x:v>170.9526</x:v>
      </x:c>
      <x:c r="AA342" s="38" t="n">
        <x:f>M342*R342</x:f>
        <x:v>6158.24808</x:v>
      </x:c>
      <x:c r="AB342" s="38" t="n">
        <x:f>SUM(W342:AA342)</x:f>
        <x:v>70387.32426</x:v>
      </x:c>
      <x:c r="AC342" s="38" t="n">
        <x:v>4.5</x:v>
      </x:c>
      <x:c r="AD342" s="38" t="n">
        <x:v>174.33</x:v>
      </x:c>
      <x:c r="AE342" s="38" t="n">
        <x:v>37.37</x:v>
      </x:c>
      <x:c r="AF342" s="38" t="n">
        <x:v>4.8148</x:v>
      </x:c>
      <x:c r="AG342" s="38" t="n">
        <x:v>5.2</x:v>
      </x:c>
      <x:c r="AH342" s="38" t="n">
        <x:f>IF(E342="Fason",L342*S342,0)</x:f>
        <x:v>0</x:v>
      </x:c>
      <x:c r="AI342" s="38" t="n">
        <x:f>IF(E342="Kurum içi",AC342*AD342+AE342*AF342+AB342*12%,0)</x:f>
        <x:v>9410.8929872</x:v>
      </x:c>
      <x:c r="AJ342" s="38" t="n">
        <x:f>V342*AG342</x:f>
        <x:v>479.803201385508</x:v>
      </x:c>
      <x:c r="AK342" s="38" t="n">
        <x:f>AB342*2%</x:f>
        <x:v>1407.7464851999998</x:v>
      </x:c>
      <x:c r="AL342" s="38" t="n">
        <x:f>AB342+AH342+AI342+AJ342+AK342</x:f>
        <x:v>81685.7669337855</x:v>
      </x:c>
      <x:c r="AM342" s="38" t="n">
        <x:f>AL342/V342</x:f>
        <x:v>885.2921089919895</x:v>
      </x:c>
      <x:c r="AN342" s="40" t="n">
        <x:f>(W342+X342)/AL342*100</x:f>
        <x:v>74.09500241218477</x:v>
      </x:c>
      <x:c r="AO342" s="28" t="str">
        <x:v>R01-R20; ilgili satırdaki bölgesel fiyat ve maliyet varsayımları</x:v>
      </x:c>
      <x:c r="AP342" s="28" t="str">
        <x:v>Girdi miktarları, alım fiyatı değişimi, fason bedeli ve parti sonucu simüle edilmiştir; işletme kaydı değildir.</x:v>
      </x:c>
    </x:row>
    <x:row r="343" ht="22" customHeight="1">
      <x:c r="A343" t="str">
        <x:v>SUC-0342</x:v>
      </x:c>
      <x:c r="B343" s="36" t="n">
        <x:v>46306</x:v>
      </x:c>
      <x:c r="C343" t="str">
        <x:v>İç Anadolu</x:v>
      </x:c>
      <x:c r="D343" t="str">
        <x:v>MEB_STANDART</x:v>
      </x:c>
      <x:c r="E343" t="str">
        <x:v>Kurum içi</x:v>
      </x:c>
      <x:c r="F343" s="42" t="str">
        <x:v>SENTETİK/SİMÜLE — gerçek parti kaydı değildir</x:v>
      </x:c>
      <x:c r="G343" s="38" t="n">
        <x:v>101.664</x:v>
      </x:c>
      <x:c r="H343" s="38" t="n">
        <x:v>31.855</x:v>
      </x:c>
      <x:c r="I343" s="38" t="n">
        <x:v>6.268</x:v>
      </x:c>
      <x:c r="J343" s="38" t="n">
        <x:v>3.867</x:v>
      </x:c>
      <x:c r="K343" s="38" t="n">
        <x:v>1.714</x:v>
      </x:c>
      <x:c r="L343" s="38" t="n">
        <x:f>SUM(G343:K343)</x:f>
        <x:v>145.368</x:v>
      </x:c>
      <x:c r="M343" s="38" t="n">
        <x:v>185.619</x:v>
      </x:c>
      <x:c r="N343" s="38" t="n">
        <x:v>590.68</x:v>
      </x:c>
      <x:c r="O343" s="38" t="n">
        <x:v>458.95</x:v>
      </x:c>
      <x:c r="P343" s="38" t="n">
        <x:v>550</x:v>
      </x:c>
      <x:c r="Q343" s="38" t="n">
        <x:v>19.88</x:v>
      </x:c>
      <x:c r="R343" s="38" t="n">
        <x:v>43.7475</x:v>
      </x:c>
      <x:c r="S343" s="38" t="n">
        <x:v>120.37</x:v>
      </x:c>
      <x:c r="T343" s="40" t="n">
        <x:v>18.27</x:v>
      </x:c>
      <x:c r="U343" s="40" t="n">
        <x:v>0.82</x:v>
      </x:c>
      <x:c r="V343" s="38" t="n">
        <x:f>L343*(1-T343/100)*(1-U343/100)</x:f>
        <x:v>117.83503041552</x:v>
      </x:c>
      <x:c r="W343" s="38" t="n">
        <x:f>G343*N343</x:f>
        <x:v>60050.89152</x:v>
      </x:c>
      <x:c r="X343" s="38" t="n">
        <x:f>H343*O343</x:f>
        <x:v>14619.85225</x:v>
      </x:c>
      <x:c r="Y343" s="38" t="n">
        <x:f>I343*P343</x:f>
        <x:v>3447.4</x:v>
      </x:c>
      <x:c r="Z343" s="38" t="n">
        <x:f>J343*Q343+K343*P343</x:f>
        <x:v>1019.5759599999999</x:v>
      </x:c>
      <x:c r="AA343" s="38" t="n">
        <x:f>M343*R343</x:f>
        <x:v>8120.3672025000005</x:v>
      </x:c>
      <x:c r="AB343" s="38" t="n">
        <x:f>SUM(W343:AA343)</x:f>
        <x:v>87258.0869325</x:v>
      </x:c>
      <x:c r="AC343" s="38" t="n">
        <x:v>6.89</x:v>
      </x:c>
      <x:c r="AD343" s="38" t="n">
        <x:v>174.33</x:v>
      </x:c>
      <x:c r="AE343" s="38" t="n">
        <x:v>39.61</x:v>
      </x:c>
      <x:c r="AF343" s="38" t="n">
        <x:v>4.8148</x:v>
      </x:c>
      <x:c r="AG343" s="38" t="n">
        <x:v>5.54</x:v>
      </x:c>
      <x:c r="AH343" s="38" t="n">
        <x:f>IF(E343="Fason",L343*S343,0)</x:f>
        <x:v>0</x:v>
      </x:c>
      <x:c r="AI343" s="38" t="n">
        <x:f>IF(E343="Kurum içi",AC343*AD343+AE343*AF343+AB343*12%,0)</x:f>
        <x:v>11862.8183599</x:v>
      </x:c>
      <x:c r="AJ343" s="38" t="n">
        <x:f>V343*AG343</x:f>
        <x:v>652.8060685019808</x:v>
      </x:c>
      <x:c r="AK343" s="38" t="n">
        <x:f>AB343*2%</x:f>
        <x:v>1745.16173865</x:v>
      </x:c>
      <x:c r="AL343" s="38" t="n">
        <x:f>AB343+AH343+AI343+AJ343+AK343</x:f>
        <x:v>101518.87309955197</x:v>
      </x:c>
      <x:c r="AM343" s="38" t="n">
        <x:f>AL343/V343</x:f>
        <x:v>861.5338982097888</x:v>
      </x:c>
      <x:c r="AN343" s="40" t="n">
        <x:f>(W343+X343)/AL343*100</x:f>
        <x:v>73.55355855533973</x:v>
      </x:c>
      <x:c r="AO343" s="28" t="str">
        <x:v>R01-R20; ilgili satırdaki bölgesel fiyat ve maliyet varsayımları</x:v>
      </x:c>
      <x:c r="AP343" s="28" t="str">
        <x:v>Girdi miktarları, alım fiyatı değişimi, fason bedeli ve parti sonucu simüle edilmiştir; işletme kaydı değildir.</x:v>
      </x:c>
    </x:row>
    <x:row r="344" ht="22" customHeight="1">
      <x:c r="A344" t="str">
        <x:v>SUC-0343</x:v>
      </x:c>
      <x:c r="B344" s="36" t="n">
        <x:v>46282</x:v>
      </x:c>
      <x:c r="C344" t="str">
        <x:v>Karadeniz</x:v>
      </x:c>
      <x:c r="D344" t="str">
        <x:v>MEB_STANDART</x:v>
      </x:c>
      <x:c r="E344" t="str">
        <x:v>Kurum içi</x:v>
      </x:c>
      <x:c r="F344" s="42" t="str">
        <x:v>SENTETİK/SİMÜLE — gerçek parti kaydı değildir</x:v>
      </x:c>
      <x:c r="G344" s="38" t="n">
        <x:v>113.901</x:v>
      </x:c>
      <x:c r="H344" s="38" t="n">
        <x:v>34.754</x:v>
      </x:c>
      <x:c r="I344" s="38" t="n">
        <x:v>7.459</x:v>
      </x:c>
      <x:c r="J344" s="38" t="n">
        <x:v>3.755</x:v>
      </x:c>
      <x:c r="K344" s="38" t="n">
        <x:v>1.581</x:v>
      </x:c>
      <x:c r="L344" s="38" t="n">
        <x:f>SUM(G344:K344)</x:f>
        <x:v>161.45</x:v>
      </x:c>
      <x:c r="M344" s="38" t="n">
        <x:v>201.767</x:v>
      </x:c>
      <x:c r="N344" s="38" t="n">
        <x:v>586.54</x:v>
      </x:c>
      <x:c r="O344" s="38" t="n">
        <x:v>478.94</x:v>
      </x:c>
      <x:c r="P344" s="38" t="n">
        <x:v>400</x:v>
      </x:c>
      <x:c r="Q344" s="38" t="n">
        <x:v>19.88</x:v>
      </x:c>
      <x:c r="R344" s="38" t="n">
        <x:v>43.7475</x:v>
      </x:c>
      <x:c r="S344" s="38" t="n">
        <x:v>94.01</x:v>
      </x:c>
      <x:c r="T344" s="40" t="n">
        <x:v>24.17</x:v>
      </x:c>
      <x:c r="U344" s="40" t="n">
        <x:v>1.1</x:v>
      </x:c>
      <x:c r="V344" s="38" t="n">
        <x:f>L344*(1-T344/100)*(1-U344/100)</x:f>
        <x:v>121.08083211499999</x:v>
      </x:c>
      <x:c r="W344" s="38" t="n">
        <x:f>G344*N344</x:f>
        <x:v>66807.49253999999</x:v>
      </x:c>
      <x:c r="X344" s="38" t="n">
        <x:f>H344*O344</x:f>
        <x:v>16645.080759999997</x:v>
      </x:c>
      <x:c r="Y344" s="38" t="n">
        <x:f>I344*P344</x:f>
        <x:v>2983.6</x:v>
      </x:c>
      <x:c r="Z344" s="38" t="n">
        <x:f>J344*Q344+K344*P344</x:f>
        <x:v>707.0494</x:v>
      </x:c>
      <x:c r="AA344" s="38" t="n">
        <x:f>M344*R344</x:f>
        <x:v>8826.801832500001</x:v>
      </x:c>
      <x:c r="AB344" s="38" t="n">
        <x:f>SUM(W344:AA344)</x:f>
        <x:v>95970.0245325</x:v>
      </x:c>
      <x:c r="AC344" s="38" t="n">
        <x:v>10.94</x:v>
      </x:c>
      <x:c r="AD344" s="38" t="n">
        <x:v>174.33</x:v>
      </x:c>
      <x:c r="AE344" s="38" t="n">
        <x:v>71.57</x:v>
      </x:c>
      <x:c r="AF344" s="38" t="n">
        <x:v>4.8148</x:v>
      </x:c>
      <x:c r="AG344" s="38" t="n">
        <x:v>5.54</x:v>
      </x:c>
      <x:c r="AH344" s="38" t="n">
        <x:f>IF(E344="Fason",L344*S344,0)</x:f>
        <x:v>0</x:v>
      </x:c>
      <x:c r="AI344" s="38" t="n">
        <x:f>IF(E344="Kurum içi",AC344*AD344+AE344*AF344+AB344*12%,0)</x:f>
        <x:v>13768.168379899998</x:v>
      </x:c>
      <x:c r="AJ344" s="38" t="n">
        <x:f>V344*AG344</x:f>
        <x:v>670.7878099170999</x:v>
      </x:c>
      <x:c r="AK344" s="38" t="n">
        <x:f>AB344*2%</x:f>
        <x:v>1919.40049065</x:v>
      </x:c>
      <x:c r="AL344" s="38" t="n">
        <x:f>AB344+AH344+AI344+AJ344+AK344</x:f>
        <x:v>112328.38121296711</x:v>
      </x:c>
      <x:c r="AM344" s="38" t="n">
        <x:f>AL344/V344</x:f>
        <x:v>927.7139845411701</x:v>
      </x:c>
      <x:c r="AN344" s="40" t="n">
        <x:f>(W344+X344)/AL344*100</x:f>
        <x:v>74.29339976134747</x:v>
      </x:c>
      <x:c r="AO344" s="28" t="str">
        <x:v>R01-R20; ilgili satırdaki bölgesel fiyat ve maliyet varsayımları</x:v>
      </x:c>
      <x:c r="AP344" s="28" t="str">
        <x:v>Girdi miktarları, alım fiyatı değişimi, fason bedeli ve parti sonucu simüle edilmiştir; işletme kaydı değildir.</x:v>
      </x:c>
    </x:row>
    <x:row r="345" ht="22" customHeight="1">
      <x:c r="A345" t="str">
        <x:v>SUC-0344</x:v>
      </x:c>
      <x:c r="B345" s="36" t="n">
        <x:v>46315</x:v>
      </x:c>
      <x:c r="C345" t="str">
        <x:v>Karadeniz</x:v>
      </x:c>
      <x:c r="D345" t="str">
        <x:v>MEB_STANDART</x:v>
      </x:c>
      <x:c r="E345" t="str">
        <x:v>Fason</x:v>
      </x:c>
      <x:c r="F345" s="42" t="str">
        <x:v>SENTETİK/SİMÜLE — gerçek parti kaydı değildir</x:v>
      </x:c>
      <x:c r="G345" s="38" t="n">
        <x:v>52.573</x:v>
      </x:c>
      <x:c r="H345" s="38" t="n">
        <x:v>16.381</x:v>
      </x:c>
      <x:c r="I345" s="38" t="n">
        <x:v>3.241</x:v>
      </x:c>
      <x:c r="J345" s="38" t="n">
        <x:v>1.898</x:v>
      </x:c>
      <x:c r="K345" s="38" t="n">
        <x:v>0.76</x:v>
      </x:c>
      <x:c r="L345" s="38" t="n">
        <x:f>SUM(G345:K345)</x:f>
        <x:v>74.85300000000001</x:v>
      </x:c>
      <x:c r="M345" s="38" t="n">
        <x:v>91.722</x:v>
      </x:c>
      <x:c r="N345" s="38" t="n">
        <x:v>606.43</x:v>
      </x:c>
      <x:c r="O345" s="38" t="n">
        <x:v>473.93</x:v>
      </x:c>
      <x:c r="P345" s="38" t="n">
        <x:v>669.9</x:v>
      </x:c>
      <x:c r="Q345" s="38" t="n">
        <x:v>19.88</x:v>
      </x:c>
      <x:c r="R345" s="38" t="n">
        <x:v>43.7475</x:v>
      </x:c>
      <x:c r="S345" s="38" t="n">
        <x:v>97.6</x:v>
      </x:c>
      <x:c r="T345" s="40" t="n">
        <x:v>32.97</x:v>
      </x:c>
      <x:c r="U345" s="40" t="n">
        <x:v>0.87</x:v>
      </x:c>
      <x:c r="V345" s="38" t="n">
        <x:f>L345*(1-T345/100)*(1-U345/100)</x:f>
        <x:v>49.73745239667</x:v>
      </x:c>
      <x:c r="W345" s="38" t="n">
        <x:f>G345*N345</x:f>
        <x:v>31881.84439</x:v>
      </x:c>
      <x:c r="X345" s="38" t="n">
        <x:f>H345*O345</x:f>
        <x:v>7763.44733</x:v>
      </x:c>
      <x:c r="Y345" s="38" t="n">
        <x:f>I345*P345</x:f>
        <x:v>2171.1459</x:v>
      </x:c>
      <x:c r="Z345" s="38" t="n">
        <x:f>J345*Q345+K345*P345</x:f>
        <x:v>546.85624</x:v>
      </x:c>
      <x:c r="AA345" s="38" t="n">
        <x:f>M345*R345</x:f>
        <x:v>4012.608195</x:v>
      </x:c>
      <x:c r="AB345" s="38" t="n">
        <x:f>SUM(W345:AA345)</x:f>
        <x:v>46375.902055000006</x:v>
      </x:c>
      <x:c r="AC345" s="38" t="n">
        <x:v>4.94</x:v>
      </x:c>
      <x:c r="AD345" s="38" t="n">
        <x:v>174.33</x:v>
      </x:c>
      <x:c r="AE345" s="38" t="n">
        <x:v>19.9</x:v>
      </x:c>
      <x:c r="AF345" s="38" t="n">
        <x:v>4.8148</x:v>
      </x:c>
      <x:c r="AG345" s="38" t="n">
        <x:v>5.72</x:v>
      </x:c>
      <x:c r="AH345" s="38" t="n">
        <x:f>IF(E345="Fason",L345*S345,0)</x:f>
        <x:v>7305.652800000001</x:v>
      </x:c>
      <x:c r="AI345" s="38" t="n">
        <x:f>IF(E345="Kurum içi",AC345*AD345+AE345*AF345+AB345*12%,0)</x:f>
        <x:v>0</x:v>
      </x:c>
      <x:c r="AJ345" s="38" t="n">
        <x:f>V345*AG345</x:f>
        <x:v>284.4982277089524</x:v>
      </x:c>
      <x:c r="AK345" s="38" t="n">
        <x:f>AB345*2%</x:f>
        <x:v>927.5180411000001</x:v>
      </x:c>
      <x:c r="AL345" s="38" t="n">
        <x:f>AB345+AH345+AI345+AJ345+AK345</x:f>
        <x:v>54893.57112380896</x:v>
      </x:c>
      <x:c r="AM345" s="38" t="n">
        <x:f>AL345/V345</x:f>
        <x:v>1103.666723538984</x:v>
      </x:c>
      <x:c r="AN345" s="40" t="n">
        <x:f>(W345+X345)/AL345*100</x:f>
        <x:v>72.22210344191777</x:v>
      </x:c>
      <x:c r="AO345" s="28" t="str">
        <x:v>R01-R20; ilgili satırdaki bölgesel fiyat ve maliyet varsayımları</x:v>
      </x:c>
      <x:c r="AP345" s="28" t="str">
        <x:v>Girdi miktarları, alım fiyatı değişimi, fason bedeli ve parti sonucu simüle edilmiştir; işletme kaydı değildir.</x:v>
      </x:c>
    </x:row>
    <x:row r="346" ht="22" customHeight="1">
      <x:c r="A346" t="str">
        <x:v>SUC-0345</x:v>
      </x:c>
      <x:c r="B346" s="36" t="n">
        <x:v>46317</x:v>
      </x:c>
      <x:c r="C346" t="str">
        <x:v>Ege</x:v>
      </x:c>
      <x:c r="D346" t="str">
        <x:v>MEB_STANDART</x:v>
      </x:c>
      <x:c r="E346" t="str">
        <x:v>Kurum içi</x:v>
      </x:c>
      <x:c r="F346" s="42" t="str">
        <x:v>SENTETİK/SİMÜLE — gerçek parti kaydı değildir</x:v>
      </x:c>
      <x:c r="G346" s="38" t="n">
        <x:v>57.377</x:v>
      </x:c>
      <x:c r="H346" s="38" t="n">
        <x:v>17.774</x:v>
      </x:c>
      <x:c r="I346" s="38" t="n">
        <x:v>3.805</x:v>
      </x:c>
      <x:c r="J346" s="38" t="n">
        <x:v>2.236</x:v>
      </x:c>
      <x:c r="K346" s="38" t="n">
        <x:v>0.844</x:v>
      </x:c>
      <x:c r="L346" s="38" t="n">
        <x:f>SUM(G346:K346)</x:f>
        <x:v>82.03600000000002</x:v>
      </x:c>
      <x:c r="M346" s="38" t="n">
        <x:v>109.726</x:v>
      </x:c>
      <x:c r="N346" s="38" t="n">
        <x:v>589.63</x:v>
      </x:c>
      <x:c r="O346" s="38" t="n">
        <x:v>467.99</x:v>
      </x:c>
      <x:c r="P346" s="38" t="n">
        <x:v>400</x:v>
      </x:c>
      <x:c r="Q346" s="38" t="n">
        <x:v>19.88</x:v>
      </x:c>
      <x:c r="R346" s="38" t="n">
        <x:v>43.7475</x:v>
      </x:c>
      <x:c r="S346" s="38" t="n">
        <x:v>76.84</x:v>
      </x:c>
      <x:c r="T346" s="40" t="n">
        <x:v>25.2</x:v>
      </x:c>
      <x:c r="U346" s="40" t="n">
        <x:v>1.05</x:v>
      </x:c>
      <x:c r="V346" s="38" t="n">
        <x:f>L346*(1-T346/100)*(1-U346/100)</x:f>
        <x:v>60.718617256000016</x:v>
      </x:c>
      <x:c r="W346" s="38" t="n">
        <x:f>G346*N346</x:f>
        <x:v>33831.20051</x:v>
      </x:c>
      <x:c r="X346" s="38" t="n">
        <x:f>H346*O346</x:f>
        <x:v>8318.05426</x:v>
      </x:c>
      <x:c r="Y346" s="38" t="n">
        <x:f>I346*P346</x:f>
        <x:v>1522</x:v>
      </x:c>
      <x:c r="Z346" s="38" t="n">
        <x:f>J346*Q346+K346*P346</x:f>
        <x:v>382.05168</x:v>
      </x:c>
      <x:c r="AA346" s="38" t="n">
        <x:f>M346*R346</x:f>
        <x:v>4800.238185</x:v>
      </x:c>
      <x:c r="AB346" s="38" t="n">
        <x:f>SUM(W346:AA346)</x:f>
        <x:v>48853.544635</x:v>
      </x:c>
      <x:c r="AC346" s="38" t="n">
        <x:v>4.93</x:v>
      </x:c>
      <x:c r="AD346" s="38" t="n">
        <x:v>174.33</x:v>
      </x:c>
      <x:c r="AE346" s="38" t="n">
        <x:v>33.11</x:v>
      </x:c>
      <x:c r="AF346" s="38" t="n">
        <x:v>4.8148</x:v>
      </x:c>
      <x:c r="AG346" s="38" t="n">
        <x:v>5.43</x:v>
      </x:c>
      <x:c r="AH346" s="38" t="n">
        <x:f>IF(E346="Fason",L346*S346,0)</x:f>
        <x:v>0</x:v>
      </x:c>
      <x:c r="AI346" s="38" t="n">
        <x:f>IF(E346="Kurum içi",AC346*AD346+AE346*AF346+AB346*12%,0)</x:f>
        <x:v>6881.290284199999</x:v>
      </x:c>
      <x:c r="AJ346" s="38" t="n">
        <x:f>V346*AG346</x:f>
        <x:v>329.7020917000801</x:v>
      </x:c>
      <x:c r="AK346" s="38" t="n">
        <x:f>AB346*2%</x:f>
        <x:v>977.0708927</x:v>
      </x:c>
      <x:c r="AL346" s="38" t="n">
        <x:f>AB346+AH346+AI346+AJ346+AK346</x:f>
        <x:v>57041.607903600074</x:v>
      </x:c>
      <x:c r="AM346" s="38" t="n">
        <x:f>AL346/V346</x:f>
        <x:v>939.4418134244223</x:v>
      </x:c>
      <x:c r="AN346" s="40" t="n">
        <x:f>(W346+X346)/AL346*100</x:f>
        <x:v>73.89212246827255</x:v>
      </x:c>
      <x:c r="AO346" s="28" t="str">
        <x:v>R01-R20; ilgili satırdaki bölgesel fiyat ve maliyet varsayımları</x:v>
      </x:c>
      <x:c r="AP346" s="28" t="str">
        <x:v>Girdi miktarları, alım fiyatı değişimi, fason bedeli ve parti sonucu simüle edilmiştir; işletme kaydı değildir.</x:v>
      </x:c>
    </x:row>
    <x:row r="347" ht="22" customHeight="1">
      <x:c r="A347" t="str">
        <x:v>SUC-0346</x:v>
      </x:c>
      <x:c r="B347" s="36" t="n">
        <x:v>46297</x:v>
      </x:c>
      <x:c r="C347" t="str">
        <x:v>İç Anadolu</x:v>
      </x:c>
      <x:c r="D347" t="str">
        <x:v>MEB_STANDART</x:v>
      </x:c>
      <x:c r="E347" t="str">
        <x:v>Kurum içi</x:v>
      </x:c>
      <x:c r="F347" s="42" t="str">
        <x:v>SENTETİK/SİMÜLE — gerçek parti kaydı değildir</x:v>
      </x:c>
      <x:c r="G347" s="38" t="n">
        <x:v>221.996</x:v>
      </x:c>
      <x:c r="H347" s="38" t="n">
        <x:v>70.777</x:v>
      </x:c>
      <x:c r="I347" s="38" t="n">
        <x:v>14.122</x:v>
      </x:c>
      <x:c r="J347" s="38" t="n">
        <x:v>8.082</x:v>
      </x:c>
      <x:c r="K347" s="38" t="n">
        <x:v>3.476</x:v>
      </x:c>
      <x:c r="L347" s="38" t="n">
        <x:f>SUM(G347:K347)</x:f>
        <x:v>318.45300000000003</x:v>
      </x:c>
      <x:c r="M347" s="38" t="n">
        <x:v>435.841</x:v>
      </x:c>
      <x:c r="N347" s="38" t="n">
        <x:v>597.19</x:v>
      </x:c>
      <x:c r="O347" s="38" t="n">
        <x:v>452.2</x:v>
      </x:c>
      <x:c r="P347" s="38" t="n">
        <x:v>669.9</x:v>
      </x:c>
      <x:c r="Q347" s="38" t="n">
        <x:v>19.88</x:v>
      </x:c>
      <x:c r="R347" s="38" t="n">
        <x:v>43.7475</x:v>
      </x:c>
      <x:c r="S347" s="38" t="n">
        <x:v>116.97</x:v>
      </x:c>
      <x:c r="T347" s="40" t="n">
        <x:v>17.9</x:v>
      </x:c>
      <x:c r="U347" s="40" t="n">
        <x:v>1.72</x:v>
      </x:c>
      <x:c r="V347" s="38" t="n">
        <x:f>L347*(1-T347/100)*(1-U347/100)</x:f>
        <x:v>256.95297449640003</x:v>
      </x:c>
      <x:c r="W347" s="38" t="n">
        <x:f>G347*N347</x:f>
        <x:v>132573.79124000002</x:v>
      </x:c>
      <x:c r="X347" s="38" t="n">
        <x:f>H347*O347</x:f>
        <x:v>32005.3594</x:v>
      </x:c>
      <x:c r="Y347" s="38" t="n">
        <x:f>I347*P347</x:f>
        <x:v>9460.3278</x:v>
      </x:c>
      <x:c r="Z347" s="38" t="n">
        <x:f>J347*Q347+K347*P347</x:f>
        <x:v>2489.24256</x:v>
      </x:c>
      <x:c r="AA347" s="38" t="n">
        <x:f>M347*R347</x:f>
        <x:v>19066.9541475</x:v>
      </x:c>
      <x:c r="AB347" s="38" t="n">
        <x:f>SUM(W347:AA347)</x:f>
        <x:v>195595.6751475</x:v>
      </x:c>
      <x:c r="AC347" s="38" t="n">
        <x:v>20.27</x:v>
      </x:c>
      <x:c r="AD347" s="38" t="n">
        <x:v>174.33</x:v>
      </x:c>
      <x:c r="AE347" s="38" t="n">
        <x:v>144.36</x:v>
      </x:c>
      <x:c r="AF347" s="38" t="n">
        <x:v>4.8148</x:v>
      </x:c>
      <x:c r="AG347" s="38" t="n">
        <x:v>5.62</x:v>
      </x:c>
      <x:c r="AH347" s="38" t="n">
        <x:f>IF(E347="Fason",L347*S347,0)</x:f>
        <x:v>0</x:v>
      </x:c>
      <x:c r="AI347" s="38" t="n">
        <x:f>IF(E347="Kurum içi",AC347*AD347+AE347*AF347+AB347*12%,0)</x:f>
        <x:v>27700.214645699998</x:v>
      </x:c>
      <x:c r="AJ347" s="38" t="n">
        <x:f>V347*AG347</x:f>
        <x:v>1444.075716669768</x:v>
      </x:c>
      <x:c r="AK347" s="38" t="n">
        <x:f>AB347*2%</x:f>
        <x:v>3911.9135029500003</x:v>
      </x:c>
      <x:c r="AL347" s="38" t="n">
        <x:f>AB347+AH347+AI347+AJ347+AK347</x:f>
        <x:v>228651.87901281976</x:v>
      </x:c>
      <x:c r="AM347" s="38" t="n">
        <x:f>AL347/V347</x:f>
        <x:v>889.8588524260233</x:v>
      </x:c>
      <x:c r="AN347" s="40" t="n">
        <x:f>(W347+X347)/AL347*100</x:f>
        <x:v>71.97804424374426</x:v>
      </x:c>
      <x:c r="AO347" s="28" t="str">
        <x:v>R01-R20; ilgili satırdaki bölgesel fiyat ve maliyet varsayımları</x:v>
      </x:c>
      <x:c r="AP347" s="28" t="str">
        <x:v>Girdi miktarları, alım fiyatı değişimi, fason bedeli ve parti sonucu simüle edilmiştir; işletme kaydı değildir.</x:v>
      </x:c>
    </x:row>
    <x:row r="348" ht="22" customHeight="1">
      <x:c r="A348" t="str">
        <x:v>SUC-0347</x:v>
      </x:c>
      <x:c r="B348" s="36" t="n">
        <x:v>46276</x:v>
      </x:c>
      <x:c r="C348" t="str">
        <x:v>Akdeniz</x:v>
      </x:c>
      <x:c r="D348" t="str">
        <x:v>ERZURUM_CI</x:v>
      </x:c>
      <x:c r="E348" t="str">
        <x:v>Fason</x:v>
      </x:c>
      <x:c r="F348" s="42" t="str">
        <x:v>SENTETİK/SİMÜLE — gerçek parti kaydı değildir</x:v>
      </x:c>
      <x:c r="G348" s="38" t="n">
        <x:v>50.53</x:v>
      </x:c>
      <x:c r="H348" s="38" t="n">
        <x:v>8.853</x:v>
      </x:c>
      <x:c r="I348" s="38" t="n">
        <x:v>3.087</x:v>
      </x:c>
      <x:c r="J348" s="38" t="n">
        <x:v>1.066</x:v>
      </x:c>
      <x:c r="K348" s="38" t="n">
        <x:v>0.107</x:v>
      </x:c>
      <x:c r="L348" s="38" t="n">
        <x:f>SUM(G348:K348)</x:f>
        <x:v>63.64300000000001</x:v>
      </x:c>
      <x:c r="M348" s="38" t="n">
        <x:v>82.374</x:v>
      </x:c>
      <x:c r="N348" s="38" t="n">
        <x:v>573.27</x:v>
      </x:c>
      <x:c r="O348" s="38" t="n">
        <x:v>475.39</x:v>
      </x:c>
      <x:c r="P348" s="38" t="n">
        <x:v>669.9</x:v>
      </x:c>
      <x:c r="Q348" s="38" t="n">
        <x:v>19.88</x:v>
      </x:c>
      <x:c r="R348" s="38" t="n">
        <x:v>43.7475</x:v>
      </x:c>
      <x:c r="S348" s="38" t="n">
        <x:v>100.5</x:v>
      </x:c>
      <x:c r="T348" s="40" t="n">
        <x:v>16.52</x:v>
      </x:c>
      <x:c r="U348" s="40" t="n">
        <x:v>0.76</x:v>
      </x:c>
      <x:c r="V348" s="38" t="n">
        <x:f>L348*(1-T348/100)*(1-U348/100)</x:f>
        <x:v>52.725394659360006</x:v>
      </x:c>
      <x:c r="W348" s="38" t="n">
        <x:f>G348*N348</x:f>
        <x:v>28967.3331</x:v>
      </x:c>
      <x:c r="X348" s="38" t="n">
        <x:f>H348*O348</x:f>
        <x:v>4208.62767</x:v>
      </x:c>
      <x:c r="Y348" s="38" t="n">
        <x:f>I348*P348</x:f>
        <x:v>2067.9813</x:v>
      </x:c>
      <x:c r="Z348" s="38" t="n">
        <x:f>J348*Q348+K348*P348</x:f>
        <x:v>92.87138</x:v>
      </x:c>
      <x:c r="AA348" s="38" t="n">
        <x:f>M348*R348</x:f>
        <x:v>3603.656565</x:v>
      </x:c>
      <x:c r="AB348" s="38" t="n">
        <x:f>SUM(W348:AA348)</x:f>
        <x:v>38940.47001499999</x:v>
      </x:c>
      <x:c r="AC348" s="38" t="n">
        <x:v>3.07</x:v>
      </x:c>
      <x:c r="AD348" s="38" t="n">
        <x:v>174.33</x:v>
      </x:c>
      <x:c r="AE348" s="38" t="n">
        <x:v>20.13</x:v>
      </x:c>
      <x:c r="AF348" s="38" t="n">
        <x:v>4.8148</x:v>
      </x:c>
      <x:c r="AG348" s="38" t="n">
        <x:v>5.76</x:v>
      </x:c>
      <x:c r="AH348" s="38" t="n">
        <x:f>IF(E348="Fason",L348*S348,0)</x:f>
        <x:v>6396.121500000001</x:v>
      </x:c>
      <x:c r="AI348" s="38" t="n">
        <x:f>IF(E348="Kurum içi",AC348*AD348+AE348*AF348+AB348*12%,0)</x:f>
        <x:v>0</x:v>
      </x:c>
      <x:c r="AJ348" s="38" t="n">
        <x:f>V348*AG348</x:f>
        <x:v>303.6982732379136</x:v>
      </x:c>
      <x:c r="AK348" s="38" t="n">
        <x:f>AB348*2%</x:f>
        <x:v>778.8094002999999</x:v>
      </x:c>
      <x:c r="AL348" s="38" t="n">
        <x:f>AB348+AH348+AI348+AJ348+AK348</x:f>
        <x:v>46419.099188537904</x:v>
      </x:c>
      <x:c r="AM348" s="38" t="n">
        <x:f>AL348/V348</x:f>
        <x:v>880.3935843142601</x:v>
      </x:c>
      <x:c r="AN348" s="40" t="n">
        <x:f>(W348+X348)/AL348*100</x:f>
        <x:v>71.47049673508532</x:v>
      </x:c>
      <x:c r="AO348" s="28" t="str">
        <x:v>R01-R20; ilgili satırdaki bölgesel fiyat ve maliyet varsayımları</x:v>
      </x:c>
      <x:c r="AP348" s="28" t="str">
        <x:v>Girdi miktarları, alım fiyatı değişimi, fason bedeli ve parti sonucu simüle edilmiştir; işletme kaydı değildir.</x:v>
      </x:c>
    </x:row>
    <x:row r="349" ht="22" customHeight="1">
      <x:c r="A349" t="str">
        <x:v>SUC-0348</x:v>
      </x:c>
      <x:c r="B349" s="36" t="n">
        <x:v>46306</x:v>
      </x:c>
      <x:c r="C349" t="str">
        <x:v>Karadeniz</x:v>
      </x:c>
      <x:c r="D349" t="str">
        <x:v>MEB_STANDART</x:v>
      </x:c>
      <x:c r="E349" t="str">
        <x:v>Fason</x:v>
      </x:c>
      <x:c r="F349" s="42" t="str">
        <x:v>SENTETİK/SİMÜLE — gerçek parti kaydı değildir</x:v>
      </x:c>
      <x:c r="G349" s="38" t="n">
        <x:v>55.433</x:v>
      </x:c>
      <x:c r="H349" s="38" t="n">
        <x:v>16.906</x:v>
      </x:c>
      <x:c r="I349" s="38" t="n">
        <x:v>3.397</x:v>
      </x:c>
      <x:c r="J349" s="38" t="n">
        <x:v>2.058</x:v>
      </x:c>
      <x:c r="K349" s="38" t="n">
        <x:v>0.892</x:v>
      </x:c>
      <x:c r="L349" s="38" t="n">
        <x:f>SUM(G349:K349)</x:f>
        <x:v>78.686</x:v>
      </x:c>
      <x:c r="M349" s="38" t="n">
        <x:v>103.87</x:v>
      </x:c>
      <x:c r="N349" s="38" t="n">
        <x:v>594.4</x:v>
      </x:c>
      <x:c r="O349" s="38" t="n">
        <x:v>417.91</x:v>
      </x:c>
      <x:c r="P349" s="38" t="n">
        <x:v>400</x:v>
      </x:c>
      <x:c r="Q349" s="38" t="n">
        <x:v>19.88</x:v>
      </x:c>
      <x:c r="R349" s="38" t="n">
        <x:v>43.7475</x:v>
      </x:c>
      <x:c r="S349" s="38" t="n">
        <x:v>97.16</x:v>
      </x:c>
      <x:c r="T349" s="40" t="n">
        <x:v>19.35</x:v>
      </x:c>
      <x:c r="U349" s="40" t="n">
        <x:v>0.68</x:v>
      </x:c>
      <x:c r="V349" s="38" t="n">
        <x:f>L349*(1-T349/100)*(1-U349/100)</x:f>
        <x:v>63.028729238800004</x:v>
      </x:c>
      <x:c r="W349" s="38" t="n">
        <x:f>G349*N349</x:f>
        <x:v>32949.3752</x:v>
      </x:c>
      <x:c r="X349" s="38" t="n">
        <x:f>H349*O349</x:f>
        <x:v>7065.18646</x:v>
      </x:c>
      <x:c r="Y349" s="38" t="n">
        <x:f>I349*P349</x:f>
        <x:v>1358.8</x:v>
      </x:c>
      <x:c r="Z349" s="38" t="n">
        <x:f>J349*Q349+K349*P349</x:f>
        <x:v>397.71304</x:v>
      </x:c>
      <x:c r="AA349" s="38" t="n">
        <x:f>M349*R349</x:f>
        <x:v>4544.052825000001</x:v>
      </x:c>
      <x:c r="AB349" s="38" t="n">
        <x:f>SUM(W349:AA349)</x:f>
        <x:v>46315.127525</x:v>
      </x:c>
      <x:c r="AC349" s="38" t="n">
        <x:v>3.93</x:v>
      </x:c>
      <x:c r="AD349" s="38" t="n">
        <x:v>174.33</x:v>
      </x:c>
      <x:c r="AE349" s="38" t="n">
        <x:v>29.33</x:v>
      </x:c>
      <x:c r="AF349" s="38" t="n">
        <x:v>4.8148</x:v>
      </x:c>
      <x:c r="AG349" s="38" t="n">
        <x:v>5.89</x:v>
      </x:c>
      <x:c r="AH349" s="38" t="n">
        <x:f>IF(E349="Fason",L349*S349,0)</x:f>
        <x:v>7645.13176</x:v>
      </x:c>
      <x:c r="AI349" s="38" t="n">
        <x:f>IF(E349="Kurum içi",AC349*AD349+AE349*AF349+AB349*12%,0)</x:f>
        <x:v>0</x:v>
      </x:c>
      <x:c r="AJ349" s="38" t="n">
        <x:f>V349*AG349</x:f>
        <x:v>371.239215216532</x:v>
      </x:c>
      <x:c r="AK349" s="38" t="n">
        <x:f>AB349*2%</x:f>
        <x:v>926.3025505</x:v>
      </x:c>
      <x:c r="AL349" s="38" t="n">
        <x:f>AB349+AH349+AI349+AJ349+AK349</x:f>
        <x:v>55257.80105071654</x:v>
      </x:c>
      <x:c r="AM349" s="38" t="n">
        <x:f>AL349/V349</x:f>
        <x:v>876.7081570272285</x:v>
      </x:c>
      <x:c r="AN349" s="40" t="n">
        <x:f>(W349+X349)/AL349*100</x:f>
        <x:v>72.41432141549383</x:v>
      </x:c>
      <x:c r="AO349" s="28" t="str">
        <x:v>R01-R20; ilgili satırdaki bölgesel fiyat ve maliyet varsayımları</x:v>
      </x:c>
      <x:c r="AP349" s="28" t="str">
        <x:v>Girdi miktarları, alım fiyatı değişimi, fason bedeli ve parti sonucu simüle edilmiştir; işletme kaydı değildir.</x:v>
      </x:c>
    </x:row>
    <x:row r="350" ht="22" customHeight="1">
      <x:c r="A350" t="str">
        <x:v>SUC-0349</x:v>
      </x:c>
      <x:c r="B350" s="36" t="n">
        <x:v>46311</x:v>
      </x:c>
      <x:c r="C350" t="str">
        <x:v>Karadeniz</x:v>
      </x:c>
      <x:c r="D350" t="str">
        <x:v>MEB_STANDART</x:v>
      </x:c>
      <x:c r="E350" t="str">
        <x:v>Kurum içi</x:v>
      </x:c>
      <x:c r="F350" s="42" t="str">
        <x:v>SENTETİK/SİMÜLE — gerçek parti kaydı değildir</x:v>
      </x:c>
      <x:c r="G350" s="38" t="n">
        <x:v>245.537</x:v>
      </x:c>
      <x:c r="H350" s="38" t="n">
        <x:v>76.913</x:v>
      </x:c>
      <x:c r="I350" s="38" t="n">
        <x:v>15.609</x:v>
      </x:c>
      <x:c r="J350" s="38" t="n">
        <x:v>8.629</x:v>
      </x:c>
      <x:c r="K350" s="38" t="n">
        <x:v>3.777</x:v>
      </x:c>
      <x:c r="L350" s="38" t="n">
        <x:f>SUM(G350:K350)</x:f>
        <x:v>350.465</x:v>
      </x:c>
      <x:c r="M350" s="38" t="n">
        <x:v>446.372</x:v>
      </x:c>
      <x:c r="N350" s="38" t="n">
        <x:v>601.35</x:v>
      </x:c>
      <x:c r="O350" s="38" t="n">
        <x:v>428.23</x:v>
      </x:c>
      <x:c r="P350" s="38" t="n">
        <x:v>550</x:v>
      </x:c>
      <x:c r="Q350" s="38" t="n">
        <x:v>19.88</x:v>
      </x:c>
      <x:c r="R350" s="38" t="n">
        <x:v>43.7475</x:v>
      </x:c>
      <x:c r="S350" s="38" t="n">
        <x:v>69.89</x:v>
      </x:c>
      <x:c r="T350" s="40" t="n">
        <x:v>25.55</x:v>
      </x:c>
      <x:c r="U350" s="40" t="n">
        <x:v>0.95</x:v>
      </x:c>
      <x:c r="V350" s="38" t="n">
        <x:f>L350*(1-T350/100)*(1-U350/100)</x:f>
        <x:v>258.44244117125</x:v>
      </x:c>
      <x:c r="W350" s="38" t="n">
        <x:f>G350*N350</x:f>
        <x:v>147653.67495000002</x:v>
      </x:c>
      <x:c r="X350" s="38" t="n">
        <x:f>H350*O350</x:f>
        <x:v>32936.45399</x:v>
      </x:c>
      <x:c r="Y350" s="38" t="n">
        <x:f>I350*P350</x:f>
        <x:v>8584.95</x:v>
      </x:c>
      <x:c r="Z350" s="38" t="n">
        <x:f>J350*Q350+K350*P350</x:f>
        <x:v>2248.89452</x:v>
      </x:c>
      <x:c r="AA350" s="38" t="n">
        <x:f>M350*R350</x:f>
        <x:v>19527.65907</x:v>
      </x:c>
      <x:c r="AB350" s="38" t="n">
        <x:f>SUM(W350:AA350)</x:f>
        <x:v>210951.63253000003</x:v>
      </x:c>
      <x:c r="AC350" s="38" t="n">
        <x:v>13.12</x:v>
      </x:c>
      <x:c r="AD350" s="38" t="n">
        <x:v>174.33</x:v>
      </x:c>
      <x:c r="AE350" s="38" t="n">
        <x:v>112.86</x:v>
      </x:c>
      <x:c r="AF350" s="38" t="n">
        <x:v>4.8148</x:v>
      </x:c>
      <x:c r="AG350" s="38" t="n">
        <x:v>5.24</x:v>
      </x:c>
      <x:c r="AH350" s="38" t="n">
        <x:f>IF(E350="Fason",L350*S350,0)</x:f>
        <x:v>0</x:v>
      </x:c>
      <x:c r="AI350" s="38" t="n">
        <x:f>IF(E350="Kurum içi",AC350*AD350+AE350*AF350+AB350*12%,0)</x:f>
        <x:v>28144.803831600006</x:v>
      </x:c>
      <x:c r="AJ350" s="38" t="n">
        <x:f>V350*AG350</x:f>
        <x:v>1354.23839173735</x:v>
      </x:c>
      <x:c r="AK350" s="38" t="n">
        <x:f>AB350*2%</x:f>
        <x:v>4219.032650600001</x:v>
      </x:c>
      <x:c r="AL350" s="38" t="n">
        <x:f>AB350+AH350+AI350+AJ350+AK350</x:f>
        <x:v>244669.70740393738</x:v>
      </x:c>
      <x:c r="AM350" s="38" t="n">
        <x:f>AL350/V350</x:f>
        <x:v>946.7086996048514</x:v>
      </x:c>
      <x:c r="AN350" s="40" t="n">
        <x:f>(W350+X350)/AL350*100</x:f>
        <x:v>73.8097620895319</x:v>
      </x:c>
      <x:c r="AO350" s="28" t="str">
        <x:v>R01-R20; ilgili satırdaki bölgesel fiyat ve maliyet varsayımları</x:v>
      </x:c>
      <x:c r="AP350" s="28" t="str">
        <x:v>Girdi miktarları, alım fiyatı değişimi, fason bedeli ve parti sonucu simüle edilmiştir; işletme kaydı değildir.</x:v>
      </x:c>
    </x:row>
    <x:row r="351" ht="22" customHeight="1">
      <x:c r="A351" t="str">
        <x:v>SUC-0350</x:v>
      </x:c>
      <x:c r="B351" s="36" t="n">
        <x:v>46282</x:v>
      </x:c>
      <x:c r="C351" t="str">
        <x:v>Marmara</x:v>
      </x:c>
      <x:c r="D351" t="str">
        <x:v>MEB_STANDART</x:v>
      </x:c>
      <x:c r="E351" t="str">
        <x:v>Fason</x:v>
      </x:c>
      <x:c r="F351" s="42" t="str">
        <x:v>SENTETİK/SİMÜLE — gerçek parti kaydı değildir</x:v>
      </x:c>
      <x:c r="G351" s="38" t="n">
        <x:v>285.398</x:v>
      </x:c>
      <x:c r="H351" s="38" t="n">
        <x:v>85.075</x:v>
      </x:c>
      <x:c r="I351" s="38" t="n">
        <x:v>18.504</x:v>
      </x:c>
      <x:c r="J351" s="38" t="n">
        <x:v>10.798</x:v>
      </x:c>
      <x:c r="K351" s="38" t="n">
        <x:v>3.632</x:v>
      </x:c>
      <x:c r="L351" s="38" t="n">
        <x:f>SUM(G351:K351)</x:f>
        <x:v>403.40700000000004</x:v>
      </x:c>
      <x:c r="M351" s="38" t="n">
        <x:v>510.545</x:v>
      </x:c>
      <x:c r="N351" s="38" t="n">
        <x:v>602.43</x:v>
      </x:c>
      <x:c r="O351" s="38" t="n">
        <x:v>474.44</x:v>
      </x:c>
      <x:c r="P351" s="38" t="n">
        <x:v>550</x:v>
      </x:c>
      <x:c r="Q351" s="38" t="n">
        <x:v>19.88</x:v>
      </x:c>
      <x:c r="R351" s="38" t="n">
        <x:v>43.7475</x:v>
      </x:c>
      <x:c r="S351" s="38" t="n">
        <x:v>89.72</x:v>
      </x:c>
      <x:c r="T351" s="40" t="n">
        <x:v>23.2</x:v>
      </x:c>
      <x:c r="U351" s="40" t="n">
        <x:v>1.16</x:v>
      </x:c>
      <x:c r="V351" s="38" t="n">
        <x:f>L351*(1-T351/100)*(1-U351/100)</x:f>
        <x:v>306.22270371840006</x:v>
      </x:c>
      <x:c r="W351" s="38" t="n">
        <x:f>G351*N351</x:f>
        <x:v>171932.31714</x:v>
      </x:c>
      <x:c r="X351" s="38" t="n">
        <x:f>H351*O351</x:f>
        <x:v>40362.983</x:v>
      </x:c>
      <x:c r="Y351" s="38" t="n">
        <x:f>I351*P351</x:f>
        <x:v>10177.2</x:v>
      </x:c>
      <x:c r="Z351" s="38" t="n">
        <x:f>J351*Q351+K351*P351</x:f>
        <x:v>2212.26424</x:v>
      </x:c>
      <x:c r="AA351" s="38" t="n">
        <x:f>M351*R351</x:f>
        <x:v>22335.067387500003</x:v>
      </x:c>
      <x:c r="AB351" s="38" t="n">
        <x:f>SUM(W351:AA351)</x:f>
        <x:v>247019.8317675</x:v>
      </x:c>
      <x:c r="AC351" s="38" t="n">
        <x:v>19.27</x:v>
      </x:c>
      <x:c r="AD351" s="38" t="n">
        <x:v>174.33</x:v>
      </x:c>
      <x:c r="AE351" s="38" t="n">
        <x:v>179.93</x:v>
      </x:c>
      <x:c r="AF351" s="38" t="n">
        <x:v>4.8148</x:v>
      </x:c>
      <x:c r="AG351" s="38" t="n">
        <x:v>5.48</x:v>
      </x:c>
      <x:c r="AH351" s="38" t="n">
        <x:f>IF(E351="Fason",L351*S351,0)</x:f>
        <x:v>36193.676040000006</x:v>
      </x:c>
      <x:c r="AI351" s="38" t="n">
        <x:f>IF(E351="Kurum içi",AC351*AD351+AE351*AF351+AB351*12%,0)</x:f>
        <x:v>0</x:v>
      </x:c>
      <x:c r="AJ351" s="38" t="n">
        <x:f>V351*AG351</x:f>
        <x:v>1678.1004163768325</x:v>
      </x:c>
      <x:c r="AK351" s="38" t="n">
        <x:f>AB351*2%</x:f>
        <x:v>4940.39663535</x:v>
      </x:c>
      <x:c r="AL351" s="38" t="n">
        <x:f>AB351+AH351+AI351+AJ351+AK351</x:f>
        <x:v>289832.0048592269</x:v>
      </x:c>
      <x:c r="AM351" s="38" t="n">
        <x:f>AL351/V351</x:f>
        <x:v>946.4745799049376</x:v>
      </x:c>
      <x:c r="AN351" s="40" t="n">
        <x:f>(W351+X351)/AL351*100</x:f>
        <x:v>73.24770783789496</x:v>
      </x:c>
      <x:c r="AO351" s="28" t="str">
        <x:v>R01-R20; ilgili satırdaki bölgesel fiyat ve maliyet varsayımları</x:v>
      </x:c>
      <x:c r="AP351" s="28" t="str">
        <x:v>Girdi miktarları, alım fiyatı değişimi, fason bedeli ve parti sonucu simüle edilmiştir; işletme kaydı değildir.</x:v>
      </x:c>
    </x:row>
    <x:row r="352" ht="22" customHeight="1">
      <x:c r="A352" t="str">
        <x:v>SUC-0351</x:v>
      </x:c>
      <x:c r="B352" s="36" t="n">
        <x:v>46293</x:v>
      </x:c>
      <x:c r="C352" t="str">
        <x:v>Güneydoğu Anadolu</x:v>
      </x:c>
      <x:c r="D352" t="str">
        <x:v>MEB_STANDART</x:v>
      </x:c>
      <x:c r="E352" t="str">
        <x:v>Kurum içi</x:v>
      </x:c>
      <x:c r="F352" s="42" t="str">
        <x:v>SENTETİK/SİMÜLE — gerçek parti kaydı değildir</x:v>
      </x:c>
      <x:c r="G352" s="38" t="n">
        <x:v>271.313</x:v>
      </x:c>
      <x:c r="H352" s="38" t="n">
        <x:v>89.04</x:v>
      </x:c>
      <x:c r="I352" s="38" t="n">
        <x:v>16.969</x:v>
      </x:c>
      <x:c r="J352" s="38" t="n">
        <x:v>10.17</x:v>
      </x:c>
      <x:c r="K352" s="38" t="n">
        <x:v>4.019</x:v>
      </x:c>
      <x:c r="L352" s="38" t="n">
        <x:f>SUM(G352:K352)</x:f>
        <x:v>391.511</x:v>
      </x:c>
      <x:c r="M352" s="38" t="n">
        <x:v>505.3</x:v>
      </x:c>
      <x:c r="N352" s="38" t="n">
        <x:v>570.99</x:v>
      </x:c>
      <x:c r="O352" s="38" t="n">
        <x:v>451.12</x:v>
      </x:c>
      <x:c r="P352" s="38" t="n">
        <x:v>669.9</x:v>
      </x:c>
      <x:c r="Q352" s="38" t="n">
        <x:v>19.88</x:v>
      </x:c>
      <x:c r="R352" s="38" t="n">
        <x:v>43.7475</x:v>
      </x:c>
      <x:c r="S352" s="38" t="n">
        <x:v>87.54</x:v>
      </x:c>
      <x:c r="T352" s="40" t="n">
        <x:v>20.2</x:v>
      </x:c>
      <x:c r="U352" s="40" t="n">
        <x:v>0.3</x:v>
      </x:c>
      <x:c r="V352" s="38" t="n">
        <x:f>L352*(1-T352/100)*(1-U352/100)</x:f>
        <x:v>311.48850066600005</x:v>
      </x:c>
      <x:c r="W352" s="38" t="n">
        <x:f>G352*N352</x:f>
        <x:v>154917.00987</x:v>
      </x:c>
      <x:c r="X352" s="38" t="n">
        <x:f>H352*O352</x:f>
        <x:v>40167.7248</x:v>
      </x:c>
      <x:c r="Y352" s="38" t="n">
        <x:f>I352*P352</x:f>
        <x:v>11367.5331</x:v>
      </x:c>
      <x:c r="Z352" s="38" t="n">
        <x:f>J352*Q352+K352*P352</x:f>
        <x:v>2894.5077</x:v>
      </x:c>
      <x:c r="AA352" s="38" t="n">
        <x:f>M352*R352</x:f>
        <x:v>22105.61175</x:v>
      </x:c>
      <x:c r="AB352" s="38" t="n">
        <x:f>SUM(W352:AA352)</x:f>
        <x:v>231452.38722</x:v>
      </x:c>
      <x:c r="AC352" s="38" t="n">
        <x:v>21.18</x:v>
      </x:c>
      <x:c r="AD352" s="38" t="n">
        <x:v>174.33</x:v>
      </x:c>
      <x:c r="AE352" s="38" t="n">
        <x:v>112.27</x:v>
      </x:c>
      <x:c r="AF352" s="38" t="n">
        <x:v>4.8148</x:v>
      </x:c>
      <x:c r="AG352" s="38" t="n">
        <x:v>5.65</x:v>
      </x:c>
      <x:c r="AH352" s="38" t="n">
        <x:f>IF(E352="Fason",L352*S352,0)</x:f>
        <x:v>0</x:v>
      </x:c>
      <x:c r="AI352" s="38" t="n">
        <x:f>IF(E352="Kurum içi",AC352*AD352+AE352*AF352+AB352*12%,0)</x:f>
        <x:v>32007.1534624</x:v>
      </x:c>
      <x:c r="AJ352" s="38" t="n">
        <x:f>V352*AG352</x:f>
        <x:v>1759.9100287629003</x:v>
      </x:c>
      <x:c r="AK352" s="38" t="n">
        <x:f>AB352*2%</x:f>
        <x:v>4629.0477444</x:v>
      </x:c>
      <x:c r="AL352" s="38" t="n">
        <x:f>AB352+AH352+AI352+AJ352+AK352</x:f>
        <x:v>269848.49845556286</x:v>
      </x:c>
      <x:c r="AM352" s="38" t="n">
        <x:f>AL352/V352</x:f>
        <x:v>866.3192955071991</x:v>
      </x:c>
      <x:c r="AN352" s="40" t="n">
        <x:f>(W352+X352)/AL352*100</x:f>
        <x:v>72.29417090943178</x:v>
      </x:c>
      <x:c r="AO352" s="28" t="str">
        <x:v>R01-R20; ilgili satırdaki bölgesel fiyat ve maliyet varsayımları</x:v>
      </x:c>
      <x:c r="AP352" s="28" t="str">
        <x:v>Girdi miktarları, alım fiyatı değişimi, fason bedeli ve parti sonucu simüle edilmiştir; işletme kaydı değildir.</x:v>
      </x:c>
    </x:row>
    <x:row r="353" ht="22" customHeight="1">
      <x:c r="A353" t="str">
        <x:v>SUC-0352</x:v>
      </x:c>
      <x:c r="B353" s="36" t="n">
        <x:v>46293</x:v>
      </x:c>
      <x:c r="C353" t="str">
        <x:v>Ege</x:v>
      </x:c>
      <x:c r="D353" t="str">
        <x:v>MEB_STANDART</x:v>
      </x:c>
      <x:c r="E353" t="str">
        <x:v>Fason</x:v>
      </x:c>
      <x:c r="F353" s="42" t="str">
        <x:v>SENTETİK/SİMÜLE — gerçek parti kaydı değildir</x:v>
      </x:c>
      <x:c r="G353" s="38" t="n">
        <x:v>63.506</x:v>
      </x:c>
      <x:c r="H353" s="38" t="n">
        <x:v>20.485</x:v>
      </x:c>
      <x:c r="I353" s="38" t="n">
        <x:v>4.186</x:v>
      </x:c>
      <x:c r="J353" s="38" t="n">
        <x:v>2.25</x:v>
      </x:c>
      <x:c r="K353" s="38" t="n">
        <x:v>0.826</x:v>
      </x:c>
      <x:c r="L353" s="38" t="n">
        <x:f>SUM(G353:K353)</x:f>
        <x:v>91.25299999999999</x:v>
      </x:c>
      <x:c r="M353" s="38" t="n">
        <x:v>123.104</x:v>
      </x:c>
      <x:c r="N353" s="38" t="n">
        <x:v>591.13</x:v>
      </x:c>
      <x:c r="O353" s="38" t="n">
        <x:v>477.39</x:v>
      </x:c>
      <x:c r="P353" s="38" t="n">
        <x:v>400</x:v>
      </x:c>
      <x:c r="Q353" s="38" t="n">
        <x:v>19.88</x:v>
      </x:c>
      <x:c r="R353" s="38" t="n">
        <x:v>43.7475</x:v>
      </x:c>
      <x:c r="S353" s="38" t="n">
        <x:v>120.19</x:v>
      </x:c>
      <x:c r="T353" s="40" t="n">
        <x:v>15.77</x:v>
      </x:c>
      <x:c r="U353" s="40" t="n">
        <x:v>0.92</x:v>
      </x:c>
      <x:c r="V353" s="38" t="n">
        <x:f>L353*(1-T353/100)*(1-U353/100)</x:f>
        <x:v>76.15526780252</x:v>
      </x:c>
      <x:c r="W353" s="38" t="n">
        <x:f>G353*N353</x:f>
        <x:v>37540.30178</x:v>
      </x:c>
      <x:c r="X353" s="38" t="n">
        <x:f>H353*O353</x:f>
        <x:v>9779.334149999999</x:v>
      </x:c>
      <x:c r="Y353" s="38" t="n">
        <x:f>I353*P353</x:f>
        <x:v>1674.4</x:v>
      </x:c>
      <x:c r="Z353" s="38" t="n">
        <x:f>J353*Q353+K353*P353</x:f>
        <x:v>375.13</x:v>
      </x:c>
      <x:c r="AA353" s="38" t="n">
        <x:f>M353*R353</x:f>
        <x:v>5385.4922400000005</x:v>
      </x:c>
      <x:c r="AB353" s="38" t="n">
        <x:f>SUM(W353:AA353)</x:f>
        <x:v>54754.65817</x:v>
      </x:c>
      <x:c r="AC353" s="38" t="n">
        <x:v>4.84</x:v>
      </x:c>
      <x:c r="AD353" s="38" t="n">
        <x:v>174.33</x:v>
      </x:c>
      <x:c r="AE353" s="38" t="n">
        <x:v>39.41</x:v>
      </x:c>
      <x:c r="AF353" s="38" t="n">
        <x:v>4.8148</x:v>
      </x:c>
      <x:c r="AG353" s="38" t="n">
        <x:v>5.38</x:v>
      </x:c>
      <x:c r="AH353" s="38" t="n">
        <x:f>IF(E353="Fason",L353*S353,0)</x:f>
        <x:v>10967.698069999999</x:v>
      </x:c>
      <x:c r="AI353" s="38" t="n">
        <x:f>IF(E353="Kurum içi",AC353*AD353+AE353*AF353+AB353*12%,0)</x:f>
        <x:v>0</x:v>
      </x:c>
      <x:c r="AJ353" s="38" t="n">
        <x:f>V353*AG353</x:f>
        <x:v>409.71534077755757</x:v>
      </x:c>
      <x:c r="AK353" s="38" t="n">
        <x:f>AB353*2%</x:f>
        <x:v>1095.0931634</x:v>
      </x:c>
      <x:c r="AL353" s="38" t="n">
        <x:f>AB353+AH353+AI353+AJ353+AK353</x:f>
        <x:v>67227.16474417756</x:v>
      </x:c>
      <x:c r="AM353" s="38" t="n">
        <x:f>AL353/V353</x:f>
        <x:v>882.7644716384674</x:v>
      </x:c>
      <x:c r="AN353" s="40" t="n">
        <x:f>(W353+X353)/AL353*100</x:f>
        <x:v>70.38767157601762</x:v>
      </x:c>
      <x:c r="AO353" s="28" t="str">
        <x:v>R01-R20; ilgili satırdaki bölgesel fiyat ve maliyet varsayımları</x:v>
      </x:c>
      <x:c r="AP353" s="28" t="str">
        <x:v>Girdi miktarları, alım fiyatı değişimi, fason bedeli ve parti sonucu simüle edilmiştir; işletme kaydı değildir.</x:v>
      </x:c>
    </x:row>
    <x:row r="354" ht="22" customHeight="1">
      <x:c r="A354" t="str">
        <x:v>SUC-0353</x:v>
      </x:c>
      <x:c r="B354" s="36" t="n">
        <x:v>46311</x:v>
      </x:c>
      <x:c r="C354" t="str">
        <x:v>Ege</x:v>
      </x:c>
      <x:c r="D354" t="str">
        <x:v>MEB_STANDART</x:v>
      </x:c>
      <x:c r="E354" t="str">
        <x:v>Fason</x:v>
      </x:c>
      <x:c r="F354" s="42" t="str">
        <x:v>SENTETİK/SİMÜLE — gerçek parti kaydı değildir</x:v>
      </x:c>
      <x:c r="G354" s="38" t="n">
        <x:v>90.123</x:v>
      </x:c>
      <x:c r="H354" s="38" t="n">
        <x:v>27.277</x:v>
      </x:c>
      <x:c r="I354" s="38" t="n">
        <x:v>6.044</x:v>
      </x:c>
      <x:c r="J354" s="38" t="n">
        <x:v>3.014</x:v>
      </x:c>
      <x:c r="K354" s="38" t="n">
        <x:v>1.493</x:v>
      </x:c>
      <x:c r="L354" s="38" t="n">
        <x:f>SUM(G354:K354)</x:f>
        <x:v>127.951</x:v>
      </x:c>
      <x:c r="M354" s="38" t="n">
        <x:v>150.177</x:v>
      </x:c>
      <x:c r="N354" s="38" t="n">
        <x:v>586.05</x:v>
      </x:c>
      <x:c r="O354" s="38" t="n">
        <x:v>423.59</x:v>
      </x:c>
      <x:c r="P354" s="38" t="n">
        <x:v>400</x:v>
      </x:c>
      <x:c r="Q354" s="38" t="n">
        <x:v>19.88</x:v>
      </x:c>
      <x:c r="R354" s="38" t="n">
        <x:v>43.7475</x:v>
      </x:c>
      <x:c r="S354" s="38" t="n">
        <x:v>119.33</x:v>
      </x:c>
      <x:c r="T354" s="40" t="n">
        <x:v>20.06</x:v>
      </x:c>
      <x:c r="U354" s="40" t="n">
        <x:v>0.63</x:v>
      </x:c>
      <x:c r="V354" s="38" t="n">
        <x:f>L354*(1-T354/100)*(1-U354/100)</x:f>
        <x:v>101.63964001478</x:v>
      </x:c>
      <x:c r="W354" s="38" t="n">
        <x:f>G354*N354</x:f>
        <x:v>52816.584149999995</x:v>
      </x:c>
      <x:c r="X354" s="38" t="n">
        <x:f>H354*O354</x:f>
        <x:v>11554.26443</x:v>
      </x:c>
      <x:c r="Y354" s="38" t="n">
        <x:f>I354*P354</x:f>
        <x:v>2417.6</x:v>
      </x:c>
      <x:c r="Z354" s="38" t="n">
        <x:f>J354*Q354+K354*P354</x:f>
        <x:v>657.11832</x:v>
      </x:c>
      <x:c r="AA354" s="38" t="n">
        <x:f>M354*R354</x:f>
        <x:v>6569.8683075</x:v>
      </x:c>
      <x:c r="AB354" s="38" t="n">
        <x:f>SUM(W354:AA354)</x:f>
        <x:v>74015.43520749999</x:v>
      </x:c>
      <x:c r="AC354" s="38" t="n">
        <x:v>8.1</x:v>
      </x:c>
      <x:c r="AD354" s="38" t="n">
        <x:v>174.33</x:v>
      </x:c>
      <x:c r="AE354" s="38" t="n">
        <x:v>30.63</x:v>
      </x:c>
      <x:c r="AF354" s="38" t="n">
        <x:v>4.8148</x:v>
      </x:c>
      <x:c r="AG354" s="38" t="n">
        <x:v>5.75</x:v>
      </x:c>
      <x:c r="AH354" s="38" t="n">
        <x:f>IF(E354="Fason",L354*S354,0)</x:f>
        <x:v>15268.392829999999</x:v>
      </x:c>
      <x:c r="AI354" s="38" t="n">
        <x:f>IF(E354="Kurum içi",AC354*AD354+AE354*AF354+AB354*12%,0)</x:f>
        <x:v>0</x:v>
      </x:c>
      <x:c r="AJ354" s="38" t="n">
        <x:f>V354*AG354</x:f>
        <x:v>584.427930084985</x:v>
      </x:c>
      <x:c r="AK354" s="38" t="n">
        <x:f>AB354*2%</x:f>
        <x:v>1480.3087041499998</x:v>
      </x:c>
      <x:c r="AL354" s="38" t="n">
        <x:f>AB354+AH354+AI354+AJ354+AK354</x:f>
        <x:v>91348.56467173497</x:v>
      </x:c>
      <x:c r="AM354" s="38" t="n">
        <x:f>AL354/V354</x:f>
        <x:v>898.7493920526623</x:v>
      </x:c>
      <x:c r="AN354" s="40" t="n">
        <x:f>(W354+X354)/AL354*100</x:f>
        <x:v>70.46727971185909</x:v>
      </x:c>
      <x:c r="AO354" s="28" t="str">
        <x:v>R01-R20; ilgili satırdaki bölgesel fiyat ve maliyet varsayımları</x:v>
      </x:c>
      <x:c r="AP354" s="28" t="str">
        <x:v>Girdi miktarları, alım fiyatı değişimi, fason bedeli ve parti sonucu simüle edilmiştir; işletme kaydı değildir.</x:v>
      </x:c>
    </x:row>
    <x:row r="355" ht="22" customHeight="1">
      <x:c r="A355" t="str">
        <x:v>SUC-0354</x:v>
      </x:c>
      <x:c r="B355" s="36" t="n">
        <x:v>46300</x:v>
      </x:c>
      <x:c r="C355" t="str">
        <x:v>Marmara</x:v>
      </x:c>
      <x:c r="D355" t="str">
        <x:v>MEB_STANDART</x:v>
      </x:c>
      <x:c r="E355" t="str">
        <x:v>Fason</x:v>
      </x:c>
      <x:c r="F355" s="42" t="str">
        <x:v>SENTETİK/SİMÜLE — gerçek parti kaydı değildir</x:v>
      </x:c>
      <x:c r="G355" s="38" t="n">
        <x:v>341.414</x:v>
      </x:c>
      <x:c r="H355" s="38" t="n">
        <x:v>102.511</x:v>
      </x:c>
      <x:c r="I355" s="38" t="n">
        <x:v>20.914</x:v>
      </x:c>
      <x:c r="J355" s="38" t="n">
        <x:v>11.795</x:v>
      </x:c>
      <x:c r="K355" s="38" t="n">
        <x:v>4.814</x:v>
      </x:c>
      <x:c r="L355" s="38" t="n">
        <x:f>SUM(G355:K355)</x:f>
        <x:v>481.448</x:v>
      </x:c>
      <x:c r="M355" s="38" t="n">
        <x:v>584.94</x:v>
      </x:c>
      <x:c r="N355" s="38" t="n">
        <x:v>623.09</x:v>
      </x:c>
      <x:c r="O355" s="38" t="n">
        <x:v>440.76</x:v>
      </x:c>
      <x:c r="P355" s="38" t="n">
        <x:v>669.9</x:v>
      </x:c>
      <x:c r="Q355" s="38" t="n">
        <x:v>19.88</x:v>
      </x:c>
      <x:c r="R355" s="38" t="n">
        <x:v>43.7475</x:v>
      </x:c>
      <x:c r="S355" s="38" t="n">
        <x:v>74.57</x:v>
      </x:c>
      <x:c r="T355" s="40" t="n">
        <x:v>23.25</x:v>
      </x:c>
      <x:c r="U355" s="40" t="n">
        <x:v>0.85</x:v>
      </x:c>
      <x:c r="V355" s="38" t="n">
        <x:f>L355*(1-T355/100)*(1-U355/100)</x:f>
        <x:v>366.37049361</x:v>
      </x:c>
      <x:c r="W355" s="38" t="n">
        <x:f>G355*N355</x:f>
        <x:v>212731.64926</x:v>
      </x:c>
      <x:c r="X355" s="38" t="n">
        <x:f>H355*O355</x:f>
        <x:v>45182.74836</x:v>
      </x:c>
      <x:c r="Y355" s="38" t="n">
        <x:f>I355*P355</x:f>
        <x:v>14010.2886</x:v>
      </x:c>
      <x:c r="Z355" s="38" t="n">
        <x:f>J355*Q355+K355*P355</x:f>
        <x:v>3459.3832</x:v>
      </x:c>
      <x:c r="AA355" s="38" t="n">
        <x:f>M355*R355</x:f>
        <x:v>25589.662650000002</x:v>
      </x:c>
      <x:c r="AB355" s="38" t="n">
        <x:f>SUM(W355:AA355)</x:f>
        <x:v>300973.73207</x:v>
      </x:c>
      <x:c r="AC355" s="38" t="n">
        <x:v>32.89</x:v>
      </x:c>
      <x:c r="AD355" s="38" t="n">
        <x:v>174.33</x:v>
      </x:c>
      <x:c r="AE355" s="38" t="n">
        <x:v>176.86</x:v>
      </x:c>
      <x:c r="AF355" s="38" t="n">
        <x:v>4.8148</x:v>
      </x:c>
      <x:c r="AG355" s="38" t="n">
        <x:v>5.12</x:v>
      </x:c>
      <x:c r="AH355" s="38" t="n">
        <x:f>IF(E355="Fason",L355*S355,0)</x:f>
        <x:v>35901.577359999996</x:v>
      </x:c>
      <x:c r="AI355" s="38" t="n">
        <x:f>IF(E355="Kurum içi",AC355*AD355+AE355*AF355+AB355*12%,0)</x:f>
        <x:v>0</x:v>
      </x:c>
      <x:c r="AJ355" s="38" t="n">
        <x:f>V355*AG355</x:f>
        <x:v>1875.8169272832</x:v>
      </x:c>
      <x:c r="AK355" s="38" t="n">
        <x:f>AB355*2%</x:f>
        <x:v>6019.474641400001</x:v>
      </x:c>
      <x:c r="AL355" s="38" t="n">
        <x:f>AB355+AH355+AI355+AJ355+AK355</x:f>
        <x:v>344770.6009986832</x:v>
      </x:c>
      <x:c r="AM355" s="38" t="n">
        <x:f>AL355/V355</x:f>
        <x:v>941.0435802335387</x:v>
      </x:c>
      <x:c r="AN355" s="40" t="n">
        <x:f>(W355+X355)/AL355*100</x:f>
        <x:v>74.80753778683847</x:v>
      </x:c>
      <x:c r="AO355" s="28" t="str">
        <x:v>R01-R20; ilgili satırdaki bölgesel fiyat ve maliyet varsayımları</x:v>
      </x:c>
      <x:c r="AP355" s="28" t="str">
        <x:v>Girdi miktarları, alım fiyatı değişimi, fason bedeli ve parti sonucu simüle edilmiştir; işletme kaydı değildir.</x:v>
      </x:c>
    </x:row>
    <x:row r="356" ht="22" customHeight="1">
      <x:c r="A356" t="str">
        <x:v>SUC-0355</x:v>
      </x:c>
      <x:c r="B356" s="36" t="n">
        <x:v>46299</x:v>
      </x:c>
      <x:c r="C356" t="str">
        <x:v>Doğu Anadolu</x:v>
      </x:c>
      <x:c r="D356" t="str">
        <x:v>MEB_STANDART</x:v>
      </x:c>
      <x:c r="E356" t="str">
        <x:v>Fason</x:v>
      </x:c>
      <x:c r="F356" s="42" t="str">
        <x:v>SENTETİK/SİMÜLE — gerçek parti kaydı değildir</x:v>
      </x:c>
      <x:c r="G356" s="38" t="n">
        <x:v>110.324</x:v>
      </x:c>
      <x:c r="H356" s="38" t="n">
        <x:v>34.598</x:v>
      </x:c>
      <x:c r="I356" s="38" t="n">
        <x:v>7.225</x:v>
      </x:c>
      <x:c r="J356" s="38" t="n">
        <x:v>3.667</x:v>
      </x:c>
      <x:c r="K356" s="38" t="n">
        <x:v>1.52</x:v>
      </x:c>
      <x:c r="L356" s="38" t="n">
        <x:f>SUM(G356:K356)</x:f>
        <x:v>157.334</x:v>
      </x:c>
      <x:c r="M356" s="38" t="n">
        <x:v>181.124</x:v>
      </x:c>
      <x:c r="N356" s="38" t="n">
        <x:v>594.18</x:v>
      </x:c>
      <x:c r="O356" s="38" t="n">
        <x:v>463.79</x:v>
      </x:c>
      <x:c r="P356" s="38" t="n">
        <x:v>550</x:v>
      </x:c>
      <x:c r="Q356" s="38" t="n">
        <x:v>19.88</x:v>
      </x:c>
      <x:c r="R356" s="38" t="n">
        <x:v>43.7475</x:v>
      </x:c>
      <x:c r="S356" s="38" t="n">
        <x:v>101.75</x:v>
      </x:c>
      <x:c r="T356" s="40" t="n">
        <x:v>19.65</x:v>
      </x:c>
      <x:c r="U356" s="40" t="n">
        <x:v>1.44</x:v>
      </x:c>
      <x:c r="V356" s="38" t="n">
        <x:f>L356*(1-T356/100)*(1-U356/100)</x:f>
        <x:v>124.5974516864</x:v>
      </x:c>
      <x:c r="W356" s="38" t="n">
        <x:f>G356*N356</x:f>
        <x:v>65552.31431999999</x:v>
      </x:c>
      <x:c r="X356" s="38" t="n">
        <x:f>H356*O356</x:f>
        <x:v>16046.20642</x:v>
      </x:c>
      <x:c r="Y356" s="38" t="n">
        <x:f>I356*P356</x:f>
        <x:v>3973.75</x:v>
      </x:c>
      <x:c r="Z356" s="38" t="n">
        <x:f>J356*Q356+K356*P356</x:f>
        <x:v>908.89996</x:v>
      </x:c>
      <x:c r="AA356" s="38" t="n">
        <x:f>M356*R356</x:f>
        <x:v>7923.72219</x:v>
      </x:c>
      <x:c r="AB356" s="38" t="n">
        <x:f>SUM(W356:AA356)</x:f>
        <x:v>94404.89288999999</x:v>
      </x:c>
      <x:c r="AC356" s="38" t="n">
        <x:v>9.31</x:v>
      </x:c>
      <x:c r="AD356" s="38" t="n">
        <x:v>174.33</x:v>
      </x:c>
      <x:c r="AE356" s="38" t="n">
        <x:v>62.9</x:v>
      </x:c>
      <x:c r="AF356" s="38" t="n">
        <x:v>4.8148</x:v>
      </x:c>
      <x:c r="AG356" s="38" t="n">
        <x:v>5.12</x:v>
      </x:c>
      <x:c r="AH356" s="38" t="n">
        <x:f>IF(E356="Fason",L356*S356,0)</x:f>
        <x:v>16008.7345</x:v>
      </x:c>
      <x:c r="AI356" s="38" t="n">
        <x:f>IF(E356="Kurum içi",AC356*AD356+AE356*AF356+AB356*12%,0)</x:f>
        <x:v>0</x:v>
      </x:c>
      <x:c r="AJ356" s="38" t="n">
        <x:f>V356*AG356</x:f>
        <x:v>637.9389526343681</x:v>
      </x:c>
      <x:c r="AK356" s="38" t="n">
        <x:f>AB356*2%</x:f>
        <x:v>1888.0978577999997</x:v>
      </x:c>
      <x:c r="AL356" s="38" t="n">
        <x:f>AB356+AH356+AI356+AJ356+AK356</x:f>
        <x:v>112939.66420043437</x:v>
      </x:c>
      <x:c r="AM356" s="38" t="n">
        <x:f>AL356/V356</x:f>
        <x:v>906.436389122089</x:v>
      </x:c>
      <x:c r="AN356" s="40" t="n">
        <x:f>(W356+X356)/AL356*100</x:f>
        <x:v>72.24965765365377</x:v>
      </x:c>
      <x:c r="AO356" s="28" t="str">
        <x:v>R01-R20; ilgili satırdaki bölgesel fiyat ve maliyet varsayımları</x:v>
      </x:c>
      <x:c r="AP356" s="28" t="str">
        <x:v>Girdi miktarları, alım fiyatı değişimi, fason bedeli ve parti sonucu simüle edilmiştir; işletme kaydı değildir.</x:v>
      </x:c>
    </x:row>
    <x:row r="357" ht="22" customHeight="1">
      <x:c r="A357" t="str">
        <x:v>SUC-0356</x:v>
      </x:c>
      <x:c r="B357" s="36" t="n">
        <x:v>46291</x:v>
      </x:c>
      <x:c r="C357" t="str">
        <x:v>Güneydoğu Anadolu</x:v>
      </x:c>
      <x:c r="D357" t="str">
        <x:v>MEB_STANDART</x:v>
      </x:c>
      <x:c r="E357" t="str">
        <x:v>Fason</x:v>
      </x:c>
      <x:c r="F357" s="42" t="str">
        <x:v>SENTETİK/SİMÜLE — gerçek parti kaydı değildir</x:v>
      </x:c>
      <x:c r="G357" s="38" t="n">
        <x:v>156.577</x:v>
      </x:c>
      <x:c r="H357" s="38" t="n">
        <x:v>50.278</x:v>
      </x:c>
      <x:c r="I357" s="38" t="n">
        <x:v>9.953</x:v>
      </x:c>
      <x:c r="J357" s="38" t="n">
        <x:v>5.618</x:v>
      </x:c>
      <x:c r="K357" s="38" t="n">
        <x:v>2.037</x:v>
      </x:c>
      <x:c r="L357" s="38" t="n">
        <x:f>SUM(G357:K357)</x:f>
        <x:v>224.463</x:v>
      </x:c>
      <x:c r="M357" s="38" t="n">
        <x:v>276.825</x:v>
      </x:c>
      <x:c r="N357" s="38" t="n">
        <x:v>588.45</x:v>
      </x:c>
      <x:c r="O357" s="38" t="n">
        <x:v>473.2</x:v>
      </x:c>
      <x:c r="P357" s="38" t="n">
        <x:v>550</x:v>
      </x:c>
      <x:c r="Q357" s="38" t="n">
        <x:v>19.88</x:v>
      </x:c>
      <x:c r="R357" s="38" t="n">
        <x:v>43.7475</x:v>
      </x:c>
      <x:c r="S357" s="38" t="n">
        <x:v>93.72</x:v>
      </x:c>
      <x:c r="T357" s="40" t="n">
        <x:v>18.11</x:v>
      </x:c>
      <x:c r="U357" s="40" t="n">
        <x:v>1.68</x:v>
      </x:c>
      <x:c r="V357" s="38" t="n">
        <x:f>L357*(1-T357/100)*(1-U357/100)</x:f>
        <x:v>180.72469648823997</x:v>
      </x:c>
      <x:c r="W357" s="38" t="n">
        <x:f>G357*N357</x:f>
        <x:v>92137.73565</x:v>
      </x:c>
      <x:c r="X357" s="38" t="n">
        <x:f>H357*O357</x:f>
        <x:v>23791.5496</x:v>
      </x:c>
      <x:c r="Y357" s="38" t="n">
        <x:f>I357*P357</x:f>
        <x:v>5474.15</x:v>
      </x:c>
      <x:c r="Z357" s="38" t="n">
        <x:f>J357*Q357+K357*P357</x:f>
        <x:v>1232.03584</x:v>
      </x:c>
      <x:c r="AA357" s="38" t="n">
        <x:f>M357*R357</x:f>
        <x:v>12110.4016875</x:v>
      </x:c>
      <x:c r="AB357" s="38" t="n">
        <x:f>SUM(W357:AA357)</x:f>
        <x:v>134745.8727775</x:v>
      </x:c>
      <x:c r="AC357" s="38" t="n">
        <x:v>8.19</x:v>
      </x:c>
      <x:c r="AD357" s="38" t="n">
        <x:v>174.33</x:v>
      </x:c>
      <x:c r="AE357" s="38" t="n">
        <x:v>80.05</x:v>
      </x:c>
      <x:c r="AF357" s="38" t="n">
        <x:v>4.8148</x:v>
      </x:c>
      <x:c r="AG357" s="38" t="n">
        <x:v>5.65</x:v>
      </x:c>
      <x:c r="AH357" s="38" t="n">
        <x:f>IF(E357="Fason",L357*S357,0)</x:f>
        <x:v>21036.67236</x:v>
      </x:c>
      <x:c r="AI357" s="38" t="n">
        <x:f>IF(E357="Kurum içi",AC357*AD357+AE357*AF357+AB357*12%,0)</x:f>
        <x:v>0</x:v>
      </x:c>
      <x:c r="AJ357" s="38" t="n">
        <x:f>V357*AG357</x:f>
        <x:v>1021.0945351585559</x:v>
      </x:c>
      <x:c r="AK357" s="38" t="n">
        <x:f>AB357*2%</x:f>
        <x:v>2694.91745555</x:v>
      </x:c>
      <x:c r="AL357" s="38" t="n">
        <x:f>AB357+AH357+AI357+AJ357+AK357</x:f>
        <x:v>159498.55712820854</x:v>
      </x:c>
      <x:c r="AM357" s="38" t="n">
        <x:f>AL357/V357</x:f>
        <x:v>882.5498685432146</x:v>
      </x:c>
      <x:c r="AN357" s="40" t="n">
        <x:f>(W357+X357)/AL357*100</x:f>
        <x:v>72.6835949724695</x:v>
      </x:c>
      <x:c r="AO357" s="28" t="str">
        <x:v>R01-R20; ilgili satırdaki bölgesel fiyat ve maliyet varsayımları</x:v>
      </x:c>
      <x:c r="AP357" s="28" t="str">
        <x:v>Girdi miktarları, alım fiyatı değişimi, fason bedeli ve parti sonucu simüle edilmiştir; işletme kaydı değildir.</x:v>
      </x:c>
    </x:row>
    <x:row r="358" ht="22" customHeight="1">
      <x:c r="A358" t="str">
        <x:v>SUC-0357</x:v>
      </x:c>
      <x:c r="B358" s="36" t="n">
        <x:v>46278</x:v>
      </x:c>
      <x:c r="C358" t="str">
        <x:v>Marmara</x:v>
      </x:c>
      <x:c r="D358" t="str">
        <x:v>ERZURUM_CI</x:v>
      </x:c>
      <x:c r="E358" t="str">
        <x:v>Kurum içi</x:v>
      </x:c>
      <x:c r="F358" s="42" t="str">
        <x:v>SENTETİK/SİMÜLE — gerçek parti kaydı değildir</x:v>
      </x:c>
      <x:c r="G358" s="38" t="n">
        <x:v>359.998</x:v>
      </x:c>
      <x:c r="H358" s="38" t="n">
        <x:v>61.611</x:v>
      </x:c>
      <x:c r="I358" s="38" t="n">
        <x:v>21.874</x:v>
      </x:c>
      <x:c r="J358" s="38" t="n">
        <x:v>7.856</x:v>
      </x:c>
      <x:c r="K358" s="38" t="n">
        <x:v>0.045</x:v>
      </x:c>
      <x:c r="L358" s="38" t="n">
        <x:f>SUM(G358:K358)</x:f>
        <x:v>451.384</x:v>
      </x:c>
      <x:c r="M358" s="38" t="n">
        <x:v>576.449</x:v>
      </x:c>
      <x:c r="N358" s="38" t="n">
        <x:v>606.61</x:v>
      </x:c>
      <x:c r="O358" s="38" t="n">
        <x:v>455.3</x:v>
      </x:c>
      <x:c r="P358" s="38" t="n">
        <x:v>400</x:v>
      </x:c>
      <x:c r="Q358" s="38" t="n">
        <x:v>19.88</x:v>
      </x:c>
      <x:c r="R358" s="38" t="n">
        <x:v>43.7475</x:v>
      </x:c>
      <x:c r="S358" s="38" t="n">
        <x:v>86.52</x:v>
      </x:c>
      <x:c r="T358" s="40" t="n">
        <x:v>16.06</x:v>
      </x:c>
      <x:c r="U358" s="40" t="n">
        <x:v>1.25</x:v>
      </x:c>
      <x:c r="V358" s="38" t="n">
        <x:f>L358*(1-T358/100)*(1-U358/100)</x:f>
        <x:v>374.15558298</x:v>
      </x:c>
      <x:c r="W358" s="38" t="n">
        <x:f>G358*N358</x:f>
        <x:v>218378.38678</x:v>
      </x:c>
      <x:c r="X358" s="38" t="n">
        <x:f>H358*O358</x:f>
        <x:v>28051.4883</x:v>
      </x:c>
      <x:c r="Y358" s="38" t="n">
        <x:f>I358*P358</x:f>
        <x:v>8749.6</x:v>
      </x:c>
      <x:c r="Z358" s="38" t="n">
        <x:f>J358*Q358+K358*P358</x:f>
        <x:v>174.17728</x:v>
      </x:c>
      <x:c r="AA358" s="38" t="n">
        <x:f>M358*R358</x:f>
        <x:v>25218.2026275</x:v>
      </x:c>
      <x:c r="AB358" s="38" t="n">
        <x:f>SUM(W358:AA358)</x:f>
        <x:v>280571.8549875</x:v>
      </x:c>
      <x:c r="AC358" s="38" t="n">
        <x:v>29.64</x:v>
      </x:c>
      <x:c r="AD358" s="38" t="n">
        <x:v>174.33</x:v>
      </x:c>
      <x:c r="AE358" s="38" t="n">
        <x:v>100.48</x:v>
      </x:c>
      <x:c r="AF358" s="38" t="n">
        <x:v>4.8148</x:v>
      </x:c>
      <x:c r="AG358" s="38" t="n">
        <x:v>5.69</x:v>
      </x:c>
      <x:c r="AH358" s="38" t="n">
        <x:f>IF(E358="Fason",L358*S358,0)</x:f>
        <x:v>0</x:v>
      </x:c>
      <x:c r="AI358" s="38" t="n">
        <x:f>IF(E358="Kurum içi",AC358*AD358+AE358*AF358+AB358*12%,0)</x:f>
        <x:v>39319.5549025</x:v>
      </x:c>
      <x:c r="AJ358" s="38" t="n">
        <x:f>V358*AG358</x:f>
        <x:v>2128.9452671562003</x:v>
      </x:c>
      <x:c r="AK358" s="38" t="n">
        <x:f>AB358*2%</x:f>
        <x:v>5611.43709975</x:v>
      </x:c>
      <x:c r="AL358" s="38" t="n">
        <x:f>AB358+AH358+AI358+AJ358+AK358</x:f>
        <x:v>327631.79225690616</x:v>
      </x:c>
      <x:c r="AM358" s="38" t="n">
        <x:f>AL358/V358</x:f>
        <x:v>875.6565641689738</x:v>
      </x:c>
      <x:c r="AN358" s="40" t="n">
        <x:f>(W358+X358)/AL358*100</x:f>
        <x:v>75.21549523092885</x:v>
      </x:c>
      <x:c r="AO358" s="28" t="str">
        <x:v>R01-R20; ilgili satırdaki bölgesel fiyat ve maliyet varsayımları</x:v>
      </x:c>
      <x:c r="AP358" s="28" t="str">
        <x:v>Girdi miktarları, alım fiyatı değişimi, fason bedeli ve parti sonucu simüle edilmiştir; işletme kaydı değildir.</x:v>
      </x:c>
    </x:row>
    <x:row r="359" ht="22" customHeight="1">
      <x:c r="A359" t="str">
        <x:v>SUC-0358</x:v>
      </x:c>
      <x:c r="B359" s="36" t="n">
        <x:v>46295</x:v>
      </x:c>
      <x:c r="C359" t="str">
        <x:v>Marmara</x:v>
      </x:c>
      <x:c r="D359" t="str">
        <x:v>ERZURUM_CI</x:v>
      </x:c>
      <x:c r="E359" t="str">
        <x:v>Kurum içi</x:v>
      </x:c>
      <x:c r="F359" s="42" t="str">
        <x:v>SENTETİK/SİMÜLE — gerçek parti kaydı değildir</x:v>
      </x:c>
      <x:c r="G359" s="38" t="n">
        <x:v>111.573</x:v>
      </x:c>
      <x:c r="H359" s="38" t="n">
        <x:v>19.31</x:v>
      </x:c>
      <x:c r="I359" s="38" t="n">
        <x:v>6.602</x:v>
      </x:c>
      <x:c r="J359" s="38" t="n">
        <x:v>1.954</x:v>
      </x:c>
      <x:c r="K359" s="38" t="n">
        <x:v>0.014</x:v>
      </x:c>
      <x:c r="L359" s="38" t="n">
        <x:f>SUM(G359:K359)</x:f>
        <x:v>139.453</x:v>
      </x:c>
      <x:c r="M359" s="38" t="n">
        <x:v>183.472</x:v>
      </x:c>
      <x:c r="N359" s="38" t="n">
        <x:v>589.78</x:v>
      </x:c>
      <x:c r="O359" s="38" t="n">
        <x:v>465.88</x:v>
      </x:c>
      <x:c r="P359" s="38" t="n">
        <x:v>550</x:v>
      </x:c>
      <x:c r="Q359" s="38" t="n">
        <x:v>19.88</x:v>
      </x:c>
      <x:c r="R359" s="38" t="n">
        <x:v>43.7475</x:v>
      </x:c>
      <x:c r="S359" s="38" t="n">
        <x:v>91.8</x:v>
      </x:c>
      <x:c r="T359" s="40" t="n">
        <x:v>32.09</x:v>
      </x:c>
      <x:c r="U359" s="40" t="n">
        <x:v>0.31</x:v>
      </x:c>
      <x:c r="V359" s="38" t="n">
        <x:f>L359*(1-T359/100)*(1-U359/100)</x:f>
        <x:v>94.40895444987001</x:v>
      </x:c>
      <x:c r="W359" s="38" t="n">
        <x:f>G359*N359</x:f>
        <x:v>65803.52394</x:v>
      </x:c>
      <x:c r="X359" s="38" t="n">
        <x:f>H359*O359</x:f>
        <x:v>8996.1428</x:v>
      </x:c>
      <x:c r="Y359" s="38" t="n">
        <x:f>I359*P359</x:f>
        <x:v>3631.1000000000004</x:v>
      </x:c>
      <x:c r="Z359" s="38" t="n">
        <x:f>J359*Q359+K359*P359</x:f>
        <x:v>46.54552</x:v>
      </x:c>
      <x:c r="AA359" s="38" t="n">
        <x:f>M359*R359</x:f>
        <x:v>8026.441320000001</x:v>
      </x:c>
      <x:c r="AB359" s="38" t="n">
        <x:f>SUM(W359:AA359)</x:f>
        <x:v>86503.75358</x:v>
      </x:c>
      <x:c r="AC359" s="38" t="n">
        <x:v>6</x:v>
      </x:c>
      <x:c r="AD359" s="38" t="n">
        <x:v>174.33</x:v>
      </x:c>
      <x:c r="AE359" s="38" t="n">
        <x:v>62.13</x:v>
      </x:c>
      <x:c r="AF359" s="38" t="n">
        <x:v>4.8148</x:v>
      </x:c>
      <x:c r="AG359" s="38" t="n">
        <x:v>5.17</x:v>
      </x:c>
      <x:c r="AH359" s="38" t="n">
        <x:f>IF(E359="Fason",L359*S359,0)</x:f>
        <x:v>0</x:v>
      </x:c>
      <x:c r="AI359" s="38" t="n">
        <x:f>IF(E359="Kurum içi",AC359*AD359+AE359*AF359+AB359*12%,0)</x:f>
        <x:v>11725.5739536</x:v>
      </x:c>
      <x:c r="AJ359" s="38" t="n">
        <x:f>V359*AG359</x:f>
        <x:v>488.0942945058279</x:v>
      </x:c>
      <x:c r="AK359" s="38" t="n">
        <x:f>AB359*2%</x:f>
        <x:v>1730.0750716000002</x:v>
      </x:c>
      <x:c r="AL359" s="38" t="n">
        <x:f>AB359+AH359+AI359+AJ359+AK359</x:f>
        <x:v>100447.49689970585</x:v>
      </x:c>
      <x:c r="AM359" s="38" t="n">
        <x:f>AL359/V359</x:f>
        <x:v>1063.961543531787</x:v>
      </x:c>
      <x:c r="AN359" s="40" t="n">
        <x:f>(W359+X359)/AL359*100</x:f>
        <x:v>74.46643176652324</x:v>
      </x:c>
      <x:c r="AO359" s="28" t="str">
        <x:v>R01-R20; ilgili satırdaki bölgesel fiyat ve maliyet varsayımları</x:v>
      </x:c>
      <x:c r="AP359" s="28" t="str">
        <x:v>Girdi miktarları, alım fiyatı değişimi, fason bedeli ve parti sonucu simüle edilmiştir; işletme kaydı değildir.</x:v>
      </x:c>
    </x:row>
    <x:row r="360" ht="22" customHeight="1">
      <x:c r="A360" t="str">
        <x:v>SUC-0359</x:v>
      </x:c>
      <x:c r="B360" s="36" t="n">
        <x:v>46308</x:v>
      </x:c>
      <x:c r="C360" t="str">
        <x:v>Akdeniz</x:v>
      </x:c>
      <x:c r="D360" t="str">
        <x:v>MEB_STANDART</x:v>
      </x:c>
      <x:c r="E360" t="str">
        <x:v>Fason</x:v>
      </x:c>
      <x:c r="F360" s="42" t="str">
        <x:v>SENTETİK/SİMÜLE — gerçek parti kaydı değildir</x:v>
      </x:c>
      <x:c r="G360" s="38" t="n">
        <x:v>271.714</x:v>
      </x:c>
      <x:c r="H360" s="38" t="n">
        <x:v>87.705</x:v>
      </x:c>
      <x:c r="I360" s="38" t="n">
        <x:v>18.036</x:v>
      </x:c>
      <x:c r="J360" s="38" t="n">
        <x:v>9.984</x:v>
      </x:c>
      <x:c r="K360" s="38" t="n">
        <x:v>3.94</x:v>
      </x:c>
      <x:c r="L360" s="38" t="n">
        <x:f>SUM(G360:K360)</x:f>
        <x:v>391.37899999999996</x:v>
      </x:c>
      <x:c r="M360" s="38" t="n">
        <x:v>463.943</x:v>
      </x:c>
      <x:c r="N360" s="38" t="n">
        <x:v>593.65</x:v>
      </x:c>
      <x:c r="O360" s="38" t="n">
        <x:v>414.98</x:v>
      </x:c>
      <x:c r="P360" s="38" t="n">
        <x:v>550</x:v>
      </x:c>
      <x:c r="Q360" s="38" t="n">
        <x:v>19.88</x:v>
      </x:c>
      <x:c r="R360" s="38" t="n">
        <x:v>43.7475</x:v>
      </x:c>
      <x:c r="S360" s="38" t="n">
        <x:v>106.28</x:v>
      </x:c>
      <x:c r="T360" s="40" t="n">
        <x:v>31.27</x:v>
      </x:c>
      <x:c r="U360" s="40" t="n">
        <x:v>1.76</x:v>
      </x:c>
      <x:c r="V360" s="38" t="n">
        <x:f>L360*(1-T360/100)*(1-U360/100)</x:f>
        <x:v>264.26047845408</x:v>
      </x:c>
      <x:c r="W360" s="38" t="n">
        <x:f>G360*N360</x:f>
        <x:v>161303.01609999998</x:v>
      </x:c>
      <x:c r="X360" s="38" t="n">
        <x:f>H360*O360</x:f>
        <x:v>36395.8209</x:v>
      </x:c>
      <x:c r="Y360" s="38" t="n">
        <x:f>I360*P360</x:f>
        <x:v>9919.800000000001</x:v>
      </x:c>
      <x:c r="Z360" s="38" t="n">
        <x:f>J360*Q360+K360*P360</x:f>
        <x:v>2365.48192</x:v>
      </x:c>
      <x:c r="AA360" s="38" t="n">
        <x:f>M360*R360</x:f>
        <x:v>20296.3463925</x:v>
      </x:c>
      <x:c r="AB360" s="38" t="n">
        <x:f>SUM(W360:AA360)</x:f>
        <x:v>230280.46531249996</x:v>
      </x:c>
      <x:c r="AC360" s="38" t="n">
        <x:v>19.49</x:v>
      </x:c>
      <x:c r="AD360" s="38" t="n">
        <x:v>174.33</x:v>
      </x:c>
      <x:c r="AE360" s="38" t="n">
        <x:v>157.08</x:v>
      </x:c>
      <x:c r="AF360" s="38" t="n">
        <x:v>4.8148</x:v>
      </x:c>
      <x:c r="AG360" s="38" t="n">
        <x:v>5.48</x:v>
      </x:c>
      <x:c r="AH360" s="38" t="n">
        <x:f>IF(E360="Fason",L360*S360,0)</x:f>
        <x:v>41595.76012</x:v>
      </x:c>
      <x:c r="AI360" s="38" t="n">
        <x:f>IF(E360="Kurum içi",AC360*AD360+AE360*AF360+AB360*12%,0)</x:f>
        <x:v>0</x:v>
      </x:c>
      <x:c r="AJ360" s="38" t="n">
        <x:f>V360*AG360</x:f>
        <x:v>1448.1474219283584</x:v>
      </x:c>
      <x:c r="AK360" s="38" t="n">
        <x:f>AB360*2%</x:f>
        <x:v>4605.6093062499995</x:v>
      </x:c>
      <x:c r="AL360" s="38" t="n">
        <x:f>AB360+AH360+AI360+AJ360+AK360</x:f>
        <x:v>277929.9821606783</x:v>
      </x:c>
      <x:c r="AM360" s="38" t="n">
        <x:f>AL360/V360</x:f>
        <x:v>1051.727385746687</x:v>
      </x:c>
      <x:c r="AN360" s="40" t="n">
        <x:f>(W360+X360)/AL360*100</x:f>
        <x:v>71.13260522058584</x:v>
      </x:c>
      <x:c r="AO360" s="28" t="str">
        <x:v>R01-R20; ilgili satırdaki bölgesel fiyat ve maliyet varsayımları</x:v>
      </x:c>
      <x:c r="AP360" s="28" t="str">
        <x:v>Girdi miktarları, alım fiyatı değişimi, fason bedeli ve parti sonucu simüle edilmiştir; işletme kaydı değildir.</x:v>
      </x:c>
    </x:row>
    <x:row r="361" ht="22" customHeight="1">
      <x:c r="A361" t="str">
        <x:v>SUC-0360</x:v>
      </x:c>
      <x:c r="B361" s="36" t="n">
        <x:v>46300</x:v>
      </x:c>
      <x:c r="C361" t="str">
        <x:v>Marmara</x:v>
      </x:c>
      <x:c r="D361" t="str">
        <x:v>ERZURUM_CI</x:v>
      </x:c>
      <x:c r="E361" t="str">
        <x:v>Fason</x:v>
      </x:c>
      <x:c r="F361" s="42" t="str">
        <x:v>SENTETİK/SİMÜLE — gerçek parti kaydı değildir</x:v>
      </x:c>
      <x:c r="G361" s="38" t="n">
        <x:v>243.569</x:v>
      </x:c>
      <x:c r="H361" s="38" t="n">
        <x:v>40.622</x:v>
      </x:c>
      <x:c r="I361" s="38" t="n">
        <x:v>15.241</x:v>
      </x:c>
      <x:c r="J361" s="38" t="n">
        <x:v>5.444</x:v>
      </x:c>
      <x:c r="K361" s="38" t="n">
        <x:v>0.521</x:v>
      </x:c>
      <x:c r="L361" s="38" t="n">
        <x:f>SUM(G361:K361)</x:f>
        <x:v>305.397</x:v>
      </x:c>
      <x:c r="M361" s="38" t="n">
        <x:v>378.51</x:v>
      </x:c>
      <x:c r="N361" s="38" t="n">
        <x:v>592.57</x:v>
      </x:c>
      <x:c r="O361" s="38" t="n">
        <x:v>446.22</x:v>
      </x:c>
      <x:c r="P361" s="38" t="n">
        <x:v>669.9</x:v>
      </x:c>
      <x:c r="Q361" s="38" t="n">
        <x:v>19.88</x:v>
      </x:c>
      <x:c r="R361" s="38" t="n">
        <x:v>43.7475</x:v>
      </x:c>
      <x:c r="S361" s="38" t="n">
        <x:v>91.57</x:v>
      </x:c>
      <x:c r="T361" s="40" t="n">
        <x:v>25.79</x:v>
      </x:c>
      <x:c r="U361" s="40" t="n">
        <x:v>1.38</x:v>
      </x:c>
      <x:c r="V361" s="38" t="n">
        <x:f>L361*(1-T361/100)*(1-U361/100)</x:f>
        <x:v>223.50754913093996</x:v>
      </x:c>
      <x:c r="W361" s="38" t="n">
        <x:f>G361*N361</x:f>
        <x:v>144331.68233</x:v>
      </x:c>
      <x:c r="X361" s="38" t="n">
        <x:f>H361*O361</x:f>
        <x:v>18126.348840000002</x:v>
      </x:c>
      <x:c r="Y361" s="38" t="n">
        <x:f>I361*P361</x:f>
        <x:v>10209.945899999999</x:v>
      </x:c>
      <x:c r="Z361" s="38" t="n">
        <x:f>J361*Q361+K361*P361</x:f>
        <x:v>457.24462</x:v>
      </x:c>
      <x:c r="AA361" s="38" t="n">
        <x:f>M361*R361</x:f>
        <x:v>16558.866225</x:v>
      </x:c>
      <x:c r="AB361" s="38" t="n">
        <x:f>SUM(W361:AA361)</x:f>
        <x:v>189684.087915</x:v>
      </x:c>
      <x:c r="AC361" s="38" t="n">
        <x:v>13.78</x:v>
      </x:c>
      <x:c r="AD361" s="38" t="n">
        <x:v>174.33</x:v>
      </x:c>
      <x:c r="AE361" s="38" t="n">
        <x:v>110.82</x:v>
      </x:c>
      <x:c r="AF361" s="38" t="n">
        <x:v>4.8148</x:v>
      </x:c>
      <x:c r="AG361" s="38" t="n">
        <x:v>5.72</x:v>
      </x:c>
      <x:c r="AH361" s="38" t="n">
        <x:f>IF(E361="Fason",L361*S361,0)</x:f>
        <x:v>27965.203289999998</x:v>
      </x:c>
      <x:c r="AI361" s="38" t="n">
        <x:f>IF(E361="Kurum içi",AC361*AD361+AE361*AF361+AB361*12%,0)</x:f>
        <x:v>0</x:v>
      </x:c>
      <x:c r="AJ361" s="38" t="n">
        <x:f>V361*AG361</x:f>
        <x:v>1278.4631810289766</x:v>
      </x:c>
      <x:c r="AK361" s="38" t="n">
        <x:f>AB361*2%</x:f>
        <x:v>3793.6817583</x:v>
      </x:c>
      <x:c r="AL361" s="38" t="n">
        <x:f>AB361+AH361+AI361+AJ361+AK361</x:f>
        <x:v>222721.436144329</x:v>
      </x:c>
      <x:c r="AM361" s="38" t="n">
        <x:f>AL361/V361</x:f>
        <x:v>996.4828347424166</x:v>
      </x:c>
      <x:c r="AN361" s="40" t="n">
        <x:f>(W361+X361)/AL361*100</x:f>
        <x:v>72.94225198185377</x:v>
      </x:c>
      <x:c r="AO361" s="28" t="str">
        <x:v>R01-R20; ilgili satırdaki bölgesel fiyat ve maliyet varsayımları</x:v>
      </x:c>
      <x:c r="AP361" s="28" t="str">
        <x:v>Girdi miktarları, alım fiyatı değişimi, fason bedeli ve parti sonucu simüle edilmiştir; işletme kaydı değildir.</x:v>
      </x:c>
    </x:row>
    <x:row r="362" ht="22" customHeight="1">
      <x:c r="A362" t="str">
        <x:v>SUC-0361</x:v>
      </x:c>
      <x:c r="B362" s="36" t="n">
        <x:v>46294</x:v>
      </x:c>
      <x:c r="C362" t="str">
        <x:v>İç Anadolu</x:v>
      </x:c>
      <x:c r="D362" t="str">
        <x:v>MEB_STANDART</x:v>
      </x:c>
      <x:c r="E362" t="str">
        <x:v>Kurum içi</x:v>
      </x:c>
      <x:c r="F362" s="42" t="str">
        <x:v>SENTETİK/SİMÜLE — gerçek parti kaydı değildir</x:v>
      </x:c>
      <x:c r="G362" s="38" t="n">
        <x:v>86.061</x:v>
      </x:c>
      <x:c r="H362" s="38" t="n">
        <x:v>28.019</x:v>
      </x:c>
      <x:c r="I362" s="38" t="n">
        <x:v>5.623</x:v>
      </x:c>
      <x:c r="J362" s="38" t="n">
        <x:v>3.314</x:v>
      </x:c>
      <x:c r="K362" s="38" t="n">
        <x:v>1.082</x:v>
      </x:c>
      <x:c r="L362" s="38" t="n">
        <x:f>SUM(G362:K362)</x:f>
        <x:v>124.09900000000002</x:v>
      </x:c>
      <x:c r="M362" s="38" t="n">
        <x:v>153.44</x:v>
      </x:c>
      <x:c r="N362" s="38" t="n">
        <x:v>587.88</x:v>
      </x:c>
      <x:c r="O362" s="38" t="n">
        <x:v>417.14</x:v>
      </x:c>
      <x:c r="P362" s="38" t="n">
        <x:v>669.9</x:v>
      </x:c>
      <x:c r="Q362" s="38" t="n">
        <x:v>19.88</x:v>
      </x:c>
      <x:c r="R362" s="38" t="n">
        <x:v>43.7475</x:v>
      </x:c>
      <x:c r="S362" s="38" t="n">
        <x:v>119.89</x:v>
      </x:c>
      <x:c r="T362" s="40" t="n">
        <x:v>19.2</x:v>
      </x:c>
      <x:c r="U362" s="40" t="n">
        <x:v>1.76</x:v>
      </x:c>
      <x:c r="V362" s="38" t="n">
        <x:f>L362*(1-T362/100)*(1-U362/100)</x:f>
        <x:v>98.50720494080004</x:v>
      </x:c>
      <x:c r="W362" s="38" t="n">
        <x:f>G362*N362</x:f>
        <x:v>50593.540680000006</x:v>
      </x:c>
      <x:c r="X362" s="38" t="n">
        <x:f>H362*O362</x:f>
        <x:v>11687.845659999999</x:v>
      </x:c>
      <x:c r="Y362" s="38" t="n">
        <x:f>I362*P362</x:f>
        <x:v>3766.8477</x:v>
      </x:c>
      <x:c r="Z362" s="38" t="n">
        <x:f>J362*Q362+K362*P362</x:f>
        <x:v>790.7141200000001</x:v>
      </x:c>
      <x:c r="AA362" s="38" t="n">
        <x:f>M362*R362</x:f>
        <x:v>6712.6164</x:v>
      </x:c>
      <x:c r="AB362" s="38" t="n">
        <x:f>SUM(W362:AA362)</x:f>
        <x:v>73551.56456000001</x:v>
      </x:c>
      <x:c r="AC362" s="38" t="n">
        <x:v>6.76</x:v>
      </x:c>
      <x:c r="AD362" s="38" t="n">
        <x:v>174.33</x:v>
      </x:c>
      <x:c r="AE362" s="38" t="n">
        <x:v>57.95</x:v>
      </x:c>
      <x:c r="AF362" s="38" t="n">
        <x:v>4.8148</x:v>
      </x:c>
      <x:c r="AG362" s="38" t="n">
        <x:v>5.8</x:v>
      </x:c>
      <x:c r="AH362" s="38" t="n">
        <x:f>IF(E362="Fason",L362*S362,0)</x:f>
        <x:v>0</x:v>
      </x:c>
      <x:c r="AI362" s="38" t="n">
        <x:f>IF(E362="Kurum içi",AC362*AD362+AE362*AF362+AB362*12%,0)</x:f>
        <x:v>10283.676207200002</x:v>
      </x:c>
      <x:c r="AJ362" s="38" t="n">
        <x:f>V362*AG362</x:f>
        <x:v>571.3417886566402</x:v>
      </x:c>
      <x:c r="AK362" s="38" t="n">
        <x:f>AB362*2%</x:f>
        <x:v>1471.0312912000004</x:v>
      </x:c>
      <x:c r="AL362" s="38" t="n">
        <x:f>AB362+AH362+AI362+AJ362+AK362</x:f>
        <x:v>85877.61384705665</x:v>
      </x:c>
      <x:c r="AM362" s="38" t="n">
        <x:f>AL362/V362</x:f>
        <x:v>871.7901791921372</x:v>
      </x:c>
      <x:c r="AN362" s="40" t="n">
        <x:f>(W362+X362)/AL362*100</x:f>
        <x:v>72.52342438265664</x:v>
      </x:c>
      <x:c r="AO362" s="28" t="str">
        <x:v>R01-R20; ilgili satırdaki bölgesel fiyat ve maliyet varsayımları</x:v>
      </x:c>
      <x:c r="AP362" s="28" t="str">
        <x:v>Girdi miktarları, alım fiyatı değişimi, fason bedeli ve parti sonucu simüle edilmiştir; işletme kaydı değildir.</x:v>
      </x:c>
    </x:row>
    <x:row r="363" ht="22" customHeight="1">
      <x:c r="A363" t="str">
        <x:v>SUC-0362</x:v>
      </x:c>
      <x:c r="B363" s="36" t="n">
        <x:v>46286</x:v>
      </x:c>
      <x:c r="C363" t="str">
        <x:v>Ege</x:v>
      </x:c>
      <x:c r="D363" t="str">
        <x:v>MEB_STANDART</x:v>
      </x:c>
      <x:c r="E363" t="str">
        <x:v>Fason</x:v>
      </x:c>
      <x:c r="F363" s="42" t="str">
        <x:v>SENTETİK/SİMÜLE — gerçek parti kaydı değildir</x:v>
      </x:c>
      <x:c r="G363" s="38" t="n">
        <x:v>321.713</x:v>
      </x:c>
      <x:c r="H363" s="38" t="n">
        <x:v>103.939</x:v>
      </x:c>
      <x:c r="I363" s="38" t="n">
        <x:v>19.727</x:v>
      </x:c>
      <x:c r="J363" s="38" t="n">
        <x:v>12.277</x:v>
      </x:c>
      <x:c r="K363" s="38" t="n">
        <x:v>4.532</x:v>
      </x:c>
      <x:c r="L363" s="38" t="n">
        <x:f>SUM(G363:K363)</x:f>
        <x:v>462.188</x:v>
      </x:c>
      <x:c r="M363" s="38" t="n">
        <x:v>593.571</x:v>
      </x:c>
      <x:c r="N363" s="38" t="n">
        <x:v>601.55</x:v>
      </x:c>
      <x:c r="O363" s="38" t="n">
        <x:v>449.48</x:v>
      </x:c>
      <x:c r="P363" s="38" t="n">
        <x:v>669.9</x:v>
      </x:c>
      <x:c r="Q363" s="38" t="n">
        <x:v>19.88</x:v>
      </x:c>
      <x:c r="R363" s="38" t="n">
        <x:v>43.7475</x:v>
      </x:c>
      <x:c r="S363" s="38" t="n">
        <x:v>97.3</x:v>
      </x:c>
      <x:c r="T363" s="40" t="n">
        <x:v>20.38</x:v>
      </x:c>
      <x:c r="U363" s="40" t="n">
        <x:v>1.37</x:v>
      </x:c>
      <x:c r="V363" s="38" t="n">
        <x:f>L363*(1-T363/100)*(1-U363/100)</x:f>
        <x:v>362.95256662727996</x:v>
      </x:c>
      <x:c r="W363" s="38" t="n">
        <x:f>G363*N363</x:f>
        <x:v>193526.45515</x:v>
      </x:c>
      <x:c r="X363" s="38" t="n">
        <x:f>H363*O363</x:f>
        <x:v>46718.50172</x:v>
      </x:c>
      <x:c r="Y363" s="38" t="n">
        <x:f>I363*P363</x:f>
        <x:v>13215.1173</x:v>
      </x:c>
      <x:c r="Z363" s="38" t="n">
        <x:f>J363*Q363+K363*P363</x:f>
        <x:v>3280.0535600000003</x:v>
      </x:c>
      <x:c r="AA363" s="38" t="n">
        <x:f>M363*R363</x:f>
        <x:v>25967.247322500003</x:v>
      </x:c>
      <x:c r="AB363" s="38" t="n">
        <x:f>SUM(W363:AA363)</x:f>
        <x:v>282707.3750525</x:v>
      </x:c>
      <x:c r="AC363" s="38" t="n">
        <x:v>19.47</x:v>
      </x:c>
      <x:c r="AD363" s="38" t="n">
        <x:v>174.33</x:v>
      </x:c>
      <x:c r="AE363" s="38" t="n">
        <x:v>201.38</x:v>
      </x:c>
      <x:c r="AF363" s="38" t="n">
        <x:v>4.8148</x:v>
      </x:c>
      <x:c r="AG363" s="38" t="n">
        <x:v>5.72</x:v>
      </x:c>
      <x:c r="AH363" s="38" t="n">
        <x:f>IF(E363="Fason",L363*S363,0)</x:f>
        <x:v>44970.8924</x:v>
      </x:c>
      <x:c r="AI363" s="38" t="n">
        <x:f>IF(E363="Kurum içi",AC363*AD363+AE363*AF363+AB363*12%,0)</x:f>
        <x:v>0</x:v>
      </x:c>
      <x:c r="AJ363" s="38" t="n">
        <x:f>V363*AG363</x:f>
        <x:v>2076.0886811080413</x:v>
      </x:c>
      <x:c r="AK363" s="38" t="n">
        <x:f>AB363*2%</x:f>
        <x:v>5654.14750105</x:v>
      </x:c>
      <x:c r="AL363" s="38" t="n">
        <x:f>AB363+AH363+AI363+AJ363+AK363</x:f>
        <x:v>335408.50363465806</x:v>
      </x:c>
      <x:c r="AM363" s="38" t="n">
        <x:f>AL363/V363</x:f>
        <x:v>924.111122154132</x:v>
      </x:c>
      <x:c r="AN363" s="40" t="n">
        <x:f>(W363+X363)/AL363*100</x:f>
        <x:v>71.62756885009854</x:v>
      </x:c>
      <x:c r="AO363" s="28" t="str">
        <x:v>R01-R20; ilgili satırdaki bölgesel fiyat ve maliyet varsayımları</x:v>
      </x:c>
      <x:c r="AP363" s="28" t="str">
        <x:v>Girdi miktarları, alım fiyatı değişimi, fason bedeli ve parti sonucu simüle edilmiştir; işletme kaydı değildir.</x:v>
      </x:c>
    </x:row>
    <x:row r="364" ht="22" customHeight="1">
      <x:c r="A364" t="str">
        <x:v>SUC-0363</x:v>
      </x:c>
      <x:c r="B364" s="36" t="n">
        <x:v>46278</x:v>
      </x:c>
      <x:c r="C364" t="str">
        <x:v>Akdeniz</x:v>
      </x:c>
      <x:c r="D364" t="str">
        <x:v>ERZURUM_CI</x:v>
      </x:c>
      <x:c r="E364" t="str">
        <x:v>Kurum içi</x:v>
      </x:c>
      <x:c r="F364" s="42" t="str">
        <x:v>SENTETİK/SİMÜLE — gerçek parti kaydı değildir</x:v>
      </x:c>
      <x:c r="G364" s="38" t="n">
        <x:v>92.726</x:v>
      </x:c>
      <x:c r="H364" s="38" t="n">
        <x:v>15.902</x:v>
      </x:c>
      <x:c r="I364" s="38" t="n">
        <x:v>5.586</x:v>
      </x:c>
      <x:c r="J364" s="38" t="n">
        <x:v>1.804</x:v>
      </x:c>
      <x:c r="K364" s="38" t="n">
        <x:v>0.117</x:v>
      </x:c>
      <x:c r="L364" s="38" t="n">
        <x:f>SUM(G364:K364)</x:f>
        <x:v>116.135</x:v>
      </x:c>
      <x:c r="M364" s="38" t="n">
        <x:v>147.627</x:v>
      </x:c>
      <x:c r="N364" s="38" t="n">
        <x:v>585.52</x:v>
      </x:c>
      <x:c r="O364" s="38" t="n">
        <x:v>478.62</x:v>
      </x:c>
      <x:c r="P364" s="38" t="n">
        <x:v>669.9</x:v>
      </x:c>
      <x:c r="Q364" s="38" t="n">
        <x:v>19.88</x:v>
      </x:c>
      <x:c r="R364" s="38" t="n">
        <x:v>43.7475</x:v>
      </x:c>
      <x:c r="S364" s="38" t="n">
        <x:v>111.04</x:v>
      </x:c>
      <x:c r="T364" s="40" t="n">
        <x:v>23.13</x:v>
      </x:c>
      <x:c r="U364" s="40" t="n">
        <x:v>1.76</x:v>
      </x:c>
      <x:c r="V364" s="38" t="n">
        <x:f>L364*(1-T364/100)*(1-U364/100)</x:f>
        <x:v>87.70177014880001</x:v>
      </x:c>
      <x:c r="W364" s="38" t="n">
        <x:f>G364*N364</x:f>
        <x:v>54292.92752</x:v>
      </x:c>
      <x:c r="X364" s="38" t="n">
        <x:f>H364*O364</x:f>
        <x:v>7611.01524</x:v>
      </x:c>
      <x:c r="Y364" s="38" t="n">
        <x:f>I364*P364</x:f>
        <x:v>3742.0614</x:v>
      </x:c>
      <x:c r="Z364" s="38" t="n">
        <x:f>J364*Q364+K364*P364</x:f>
        <x:v>114.24181999999999</x:v>
      </x:c>
      <x:c r="AA364" s="38" t="n">
        <x:f>M364*R364</x:f>
        <x:v>6458.312182500001</x:v>
      </x:c>
      <x:c r="AB364" s="38" t="n">
        <x:f>SUM(W364:AA364)</x:f>
        <x:v>72218.55816249999</x:v>
      </x:c>
      <x:c r="AC364" s="38" t="n">
        <x:v>6.02</x:v>
      </x:c>
      <x:c r="AD364" s="38" t="n">
        <x:v>174.33</x:v>
      </x:c>
      <x:c r="AE364" s="38" t="n">
        <x:v>31.93</x:v>
      </x:c>
      <x:c r="AF364" s="38" t="n">
        <x:v>4.8148</x:v>
      </x:c>
      <x:c r="AG364" s="38" t="n">
        <x:v>5.76</x:v>
      </x:c>
      <x:c r="AH364" s="38" t="n">
        <x:f>IF(E364="Fason",L364*S364,0)</x:f>
        <x:v>0</x:v>
      </x:c>
      <x:c r="AI364" s="38" t="n">
        <x:f>IF(E364="Kurum içi",AC364*AD364+AE364*AF364+AB364*12%,0)</x:f>
        <x:v>9869.4301435</x:v>
      </x:c>
      <x:c r="AJ364" s="38" t="n">
        <x:f>V364*AG364</x:f>
        <x:v>505.162196057088</x:v>
      </x:c>
      <x:c r="AK364" s="38" t="n">
        <x:f>AB364*2%</x:f>
        <x:v>1444.3711632499999</x:v>
      </x:c>
      <x:c r="AL364" s="38" t="n">
        <x:f>AB364+AH364+AI364+AJ364+AK364</x:f>
        <x:v>84037.52166530708</x:v>
      </x:c>
      <x:c r="AM364" s="38" t="n">
        <x:f>AL364/V364</x:f>
        <x:v>958.2192186397613</x:v>
      </x:c>
      <x:c r="AN364" s="40" t="n">
        <x:f>(W364+X364)/AL364*100</x:f>
        <x:v>73.66226601320108</x:v>
      </x:c>
      <x:c r="AO364" s="28" t="str">
        <x:v>R01-R20; ilgili satırdaki bölgesel fiyat ve maliyet varsayımları</x:v>
      </x:c>
      <x:c r="AP364" s="28" t="str">
        <x:v>Girdi miktarları, alım fiyatı değişimi, fason bedeli ve parti sonucu simüle edilmiştir; işletme kaydı değildir.</x:v>
      </x:c>
    </x:row>
    <x:row r="365" ht="22" customHeight="1">
      <x:c r="A365" t="str">
        <x:v>SUC-0364</x:v>
      </x:c>
      <x:c r="B365" s="36" t="n">
        <x:v>46307</x:v>
      </x:c>
      <x:c r="C365" t="str">
        <x:v>Marmara</x:v>
      </x:c>
      <x:c r="D365" t="str">
        <x:v>ERZURUM_CI</x:v>
      </x:c>
      <x:c r="E365" t="str">
        <x:v>Kurum içi</x:v>
      </x:c>
      <x:c r="F365" s="42" t="str">
        <x:v>SENTETİK/SİMÜLE — gerçek parti kaydı değildir</x:v>
      </x:c>
      <x:c r="G365" s="38" t="n">
        <x:v>320.319</x:v>
      </x:c>
      <x:c r="H365" s="38" t="n">
        <x:v>56.621</x:v>
      </x:c>
      <x:c r="I365" s="38" t="n">
        <x:v>20.084</x:v>
      </x:c>
      <x:c r="J365" s="38" t="n">
        <x:v>6.888</x:v>
      </x:c>
      <x:c r="K365" s="38" t="n">
        <x:v>0.747</x:v>
      </x:c>
      <x:c r="L365" s="38" t="n">
        <x:f>SUM(G365:K365)</x:f>
        <x:v>404.659</x:v>
      </x:c>
      <x:c r="M365" s="38" t="n">
        <x:v>489.004</x:v>
      </x:c>
      <x:c r="N365" s="38" t="n">
        <x:v>608.56</x:v>
      </x:c>
      <x:c r="O365" s="38" t="n">
        <x:v>431.39</x:v>
      </x:c>
      <x:c r="P365" s="38" t="n">
        <x:v>669.9</x:v>
      </x:c>
      <x:c r="Q365" s="38" t="n">
        <x:v>19.88</x:v>
      </x:c>
      <x:c r="R365" s="38" t="n">
        <x:v>43.7475</x:v>
      </x:c>
      <x:c r="S365" s="38" t="n">
        <x:v>68.21</x:v>
      </x:c>
      <x:c r="T365" s="40" t="n">
        <x:v>20.57</x:v>
      </x:c>
      <x:c r="U365" s="40" t="n">
        <x:v>1.35</x:v>
      </x:c>
      <x:c r="V365" s="38" t="n">
        <x:f>L365*(1-T365/100)*(1-U365/100)</x:f>
        <x:v>317.08146501005</x:v>
      </x:c>
      <x:c r="W365" s="38" t="n">
        <x:f>G365*N365</x:f>
        <x:v>194933.33064</x:v>
      </x:c>
      <x:c r="X365" s="38" t="n">
        <x:f>H365*O365</x:f>
        <x:v>24425.73319</x:v>
      </x:c>
      <x:c r="Y365" s="38" t="n">
        <x:f>I365*P365</x:f>
        <x:v>13454.2716</x:v>
      </x:c>
      <x:c r="Z365" s="38" t="n">
        <x:f>J365*Q365+K365*P365</x:f>
        <x:v>637.34874</x:v>
      </x:c>
      <x:c r="AA365" s="38" t="n">
        <x:f>M365*R365</x:f>
        <x:v>21392.702490000003</x:v>
      </x:c>
      <x:c r="AB365" s="38" t="n">
        <x:f>SUM(W365:AA365)</x:f>
        <x:v>254843.38666</x:v>
      </x:c>
      <x:c r="AC365" s="38" t="n">
        <x:v>24.59</x:v>
      </x:c>
      <x:c r="AD365" s="38" t="n">
        <x:v>174.33</x:v>
      </x:c>
      <x:c r="AE365" s="38" t="n">
        <x:v>113.8</x:v>
      </x:c>
      <x:c r="AF365" s="38" t="n">
        <x:v>4.8148</x:v>
      </x:c>
      <x:c r="AG365" s="38" t="n">
        <x:v>5.8</x:v>
      </x:c>
      <x:c r="AH365" s="38" t="n">
        <x:f>IF(E365="Fason",L365*S365,0)</x:f>
        <x:v>0</x:v>
      </x:c>
      <x:c r="AI365" s="38" t="n">
        <x:f>IF(E365="Kurum içi",AC365*AD365+AE365*AF365+AB365*12%,0)</x:f>
        <x:v>35415.9053392</x:v>
      </x:c>
      <x:c r="AJ365" s="38" t="n">
        <x:f>V365*AG365</x:f>
        <x:v>1839.07249705829</x:v>
      </x:c>
      <x:c r="AK365" s="38" t="n">
        <x:f>AB365*2%</x:f>
        <x:v>5096.8677332</x:v>
      </x:c>
      <x:c r="AL365" s="38" t="n">
        <x:f>AB365+AH365+AI365+AJ365+AK365</x:f>
        <x:v>297195.23222945834</x:v>
      </x:c>
      <x:c r="AM365" s="38" t="n">
        <x:f>AL365/V365</x:f>
        <x:v>937.2835218231335</x:v>
      </x:c>
      <x:c r="AN365" s="40" t="n">
        <x:f>(W365+X365)/AL365*100</x:f>
        <x:v>73.8097519884294</x:v>
      </x:c>
      <x:c r="AO365" s="28" t="str">
        <x:v>R01-R20; ilgili satırdaki bölgesel fiyat ve maliyet varsayımları</x:v>
      </x:c>
      <x:c r="AP365" s="28" t="str">
        <x:v>Girdi miktarları, alım fiyatı değişimi, fason bedeli ve parti sonucu simüle edilmiştir; işletme kaydı değildir.</x:v>
      </x:c>
    </x:row>
    <x:row r="366" ht="22" customHeight="1">
      <x:c r="A366" t="str">
        <x:v>SUC-0365</x:v>
      </x:c>
      <x:c r="B366" s="36" t="n">
        <x:v>46313</x:v>
      </x:c>
      <x:c r="C366" t="str">
        <x:v>Karadeniz</x:v>
      </x:c>
      <x:c r="D366" t="str">
        <x:v>MEB_STANDART</x:v>
      </x:c>
      <x:c r="E366" t="str">
        <x:v>Kurum içi</x:v>
      </x:c>
      <x:c r="F366" s="42" t="str">
        <x:v>SENTETİK/SİMÜLE — gerçek parti kaydı değildir</x:v>
      </x:c>
      <x:c r="G366" s="38" t="n">
        <x:v>168.554</x:v>
      </x:c>
      <x:c r="H366" s="38" t="n">
        <x:v>52.399</x:v>
      </x:c>
      <x:c r="I366" s="38" t="n">
        <x:v>10.933</x:v>
      </x:c>
      <x:c r="J366" s="38" t="n">
        <x:v>6.154</x:v>
      </x:c>
      <x:c r="K366" s="38" t="n">
        <x:v>2.187</x:v>
      </x:c>
      <x:c r="L366" s="38" t="n">
        <x:f>SUM(G366:K366)</x:f>
        <x:v>240.227</x:v>
      </x:c>
      <x:c r="M366" s="38" t="n">
        <x:v>295.128</x:v>
      </x:c>
      <x:c r="N366" s="38" t="n">
        <x:v>615.52</x:v>
      </x:c>
      <x:c r="O366" s="38" t="n">
        <x:v>447.3</x:v>
      </x:c>
      <x:c r="P366" s="38" t="n">
        <x:v>550</x:v>
      </x:c>
      <x:c r="Q366" s="38" t="n">
        <x:v>19.88</x:v>
      </x:c>
      <x:c r="R366" s="38" t="n">
        <x:v>43.7475</x:v>
      </x:c>
      <x:c r="S366" s="38" t="n">
        <x:v>114.72</x:v>
      </x:c>
      <x:c r="T366" s="40" t="n">
        <x:v>20.09</x:v>
      </x:c>
      <x:c r="U366" s="40" t="n">
        <x:v>1.72</x:v>
      </x:c>
      <x:c r="V366" s="38" t="n">
        <x:f>L366*(1-T366/100)*(1-U366/100)</x:f>
        <x:v>188.66359089396002</x:v>
      </x:c>
      <x:c r="W366" s="38" t="n">
        <x:f>G366*N366</x:f>
        <x:v>103748.35808</x:v>
      </x:c>
      <x:c r="X366" s="38" t="n">
        <x:f>H366*O366</x:f>
        <x:v>23438.0727</x:v>
      </x:c>
      <x:c r="Y366" s="38" t="n">
        <x:f>I366*P366</x:f>
        <x:v>6013.15</x:v>
      </x:c>
      <x:c r="Z366" s="38" t="n">
        <x:f>J366*Q366+K366*P366</x:f>
        <x:v>1325.1915199999999</x:v>
      </x:c>
      <x:c r="AA366" s="38" t="n">
        <x:f>M366*R366</x:f>
        <x:v>12911.11218</x:v>
      </x:c>
      <x:c r="AB366" s="38" t="n">
        <x:f>SUM(W366:AA366)</x:f>
        <x:v>147435.88448</x:v>
      </x:c>
      <x:c r="AC366" s="38" t="n">
        <x:v>12.65</x:v>
      </x:c>
      <x:c r="AD366" s="38" t="n">
        <x:v>174.33</x:v>
      </x:c>
      <x:c r="AE366" s="38" t="n">
        <x:v>80.15</x:v>
      </x:c>
      <x:c r="AF366" s="38" t="n">
        <x:v>4.8148</x:v>
      </x:c>
      <x:c r="AG366" s="38" t="n">
        <x:v>5.49</x:v>
      </x:c>
      <x:c r="AH366" s="38" t="n">
        <x:f>IF(E366="Fason",L366*S366,0)</x:f>
        <x:v>0</x:v>
      </x:c>
      <x:c r="AI366" s="38" t="n">
        <x:f>IF(E366="Kurum içi",AC366*AD366+AE366*AF366+AB366*12%,0)</x:f>
        <x:v>20283.4868576</x:v>
      </x:c>
      <x:c r="AJ366" s="38" t="n">
        <x:f>V366*AG366</x:f>
        <x:v>1035.7631140078406</x:v>
      </x:c>
      <x:c r="AK366" s="38" t="n">
        <x:f>AB366*2%</x:f>
        <x:v>2948.7176896</x:v>
      </x:c>
      <x:c r="AL366" s="38" t="n">
        <x:f>AB366+AH366+AI366+AJ366+AK366</x:f>
        <x:v>171703.8521412078</x:v>
      </x:c>
      <x:c r="AM366" s="38" t="n">
        <x:f>AL366/V366</x:f>
        <x:v>910.1059262553496</x:v>
      </x:c>
      <x:c r="AN366" s="40" t="n">
        <x:f>(W366+X366)/AL366*100</x:f>
        <x:v>74.07313766927194</x:v>
      </x:c>
      <x:c r="AO366" s="28" t="str">
        <x:v>R01-R20; ilgili satırdaki bölgesel fiyat ve maliyet varsayımları</x:v>
      </x:c>
      <x:c r="AP366" s="28" t="str">
        <x:v>Girdi miktarları, alım fiyatı değişimi, fason bedeli ve parti sonucu simüle edilmiştir; işletme kaydı değildir.</x:v>
      </x:c>
    </x:row>
    <x:row r="367" ht="22" customHeight="1">
      <x:c r="A367" t="str">
        <x:v>SUC-0366</x:v>
      </x:c>
      <x:c r="B367" s="36" t="n">
        <x:v>46307</x:v>
      </x:c>
      <x:c r="C367" t="str">
        <x:v>Marmara</x:v>
      </x:c>
      <x:c r="D367" t="str">
        <x:v>ERZURUM_CI</x:v>
      </x:c>
      <x:c r="E367" t="str">
        <x:v>Kurum içi</x:v>
      </x:c>
      <x:c r="F367" s="42" t="str">
        <x:v>SENTETİK/SİMÜLE — gerçek parti kaydı değildir</x:v>
      </x:c>
      <x:c r="G367" s="38" t="n">
        <x:v>208.56</x:v>
      </x:c>
      <x:c r="H367" s="38" t="n">
        <x:v>39.394</x:v>
      </x:c>
      <x:c r="I367" s="38" t="n">
        <x:v>13.059</x:v>
      </x:c>
      <x:c r="J367" s="38" t="n">
        <x:v>4.171</x:v>
      </x:c>
      <x:c r="K367" s="38" t="n">
        <x:v>0.026</x:v>
      </x:c>
      <x:c r="L367" s="38" t="n">
        <x:f>SUM(G367:K367)</x:f>
        <x:v>265.21000000000004</x:v>
      </x:c>
      <x:c r="M367" s="38" t="n">
        <x:v>320.422</x:v>
      </x:c>
      <x:c r="N367" s="38" t="n">
        <x:v>609.6</x:v>
      </x:c>
      <x:c r="O367" s="38" t="n">
        <x:v>410.01</x:v>
      </x:c>
      <x:c r="P367" s="38" t="n">
        <x:v>550</x:v>
      </x:c>
      <x:c r="Q367" s="38" t="n">
        <x:v>19.88</x:v>
      </x:c>
      <x:c r="R367" s="38" t="n">
        <x:v>43.7475</x:v>
      </x:c>
      <x:c r="S367" s="38" t="n">
        <x:v>104.82</x:v>
      </x:c>
      <x:c r="T367" s="40" t="n">
        <x:v>15.69</x:v>
      </x:c>
      <x:c r="U367" s="40" t="n">
        <x:v>1.44</x:v>
      </x:c>
      <x:c r="V367" s="38" t="n">
        <x:f>L367*(1-T367/100)*(1-U367/100)</x:f>
        <x:v>220.37873186560003</x:v>
      </x:c>
      <x:c r="W367" s="38" t="n">
        <x:f>G367*N367</x:f>
        <x:v>127138.176</x:v>
      </x:c>
      <x:c r="X367" s="38" t="n">
        <x:f>H367*O367</x:f>
        <x:v>16151.933939999999</x:v>
      </x:c>
      <x:c r="Y367" s="38" t="n">
        <x:f>I367*P367</x:f>
        <x:v>7182.45</x:v>
      </x:c>
      <x:c r="Z367" s="38" t="n">
        <x:f>J367*Q367+K367*P367</x:f>
        <x:v>97.21948</x:v>
      </x:c>
      <x:c r="AA367" s="38" t="n">
        <x:f>M367*R367</x:f>
        <x:v>14017.661445000002</x:v>
      </x:c>
      <x:c r="AB367" s="38" t="n">
        <x:f>SUM(W367:AA367)</x:f>
        <x:v>164587.440865</x:v>
      </x:c>
      <x:c r="AC367" s="38" t="n">
        <x:v>15.18</x:v>
      </x:c>
      <x:c r="AD367" s="38" t="n">
        <x:v>174.33</x:v>
      </x:c>
      <x:c r="AE367" s="38" t="n">
        <x:v>124.16</x:v>
      </x:c>
      <x:c r="AF367" s="38" t="n">
        <x:v>4.8148</x:v>
      </x:c>
      <x:c r="AG367" s="38" t="n">
        <x:v>5.17</x:v>
      </x:c>
      <x:c r="AH367" s="38" t="n">
        <x:f>IF(E367="Fason",L367*S367,0)</x:f>
        <x:v>0</x:v>
      </x:c>
      <x:c r="AI367" s="38" t="n">
        <x:f>IF(E367="Kurum içi",AC367*AD367+AE367*AF367+AB367*12%,0)</x:f>
        <x:v>22994.627871800003</x:v>
      </x:c>
      <x:c r="AJ367" s="38" t="n">
        <x:f>V367*AG367</x:f>
        <x:v>1139.3580437451521</x:v>
      </x:c>
      <x:c r="AK367" s="38" t="n">
        <x:f>AB367*2%</x:f>
        <x:v>3291.7488173</x:v>
      </x:c>
      <x:c r="AL367" s="38" t="n">
        <x:f>AB367+AH367+AI367+AJ367+AK367</x:f>
        <x:v>192013.17559784517</x:v>
      </x:c>
      <x:c r="AM367" s="38" t="n">
        <x:f>AL367/V367</x:f>
        <x:v>871.2872334474914</x:v>
      </x:c>
      <x:c r="AN367" s="40" t="n">
        <x:f>(W367+X367)/AL367*100</x:f>
        <x:v>74.62514459950843</x:v>
      </x:c>
      <x:c r="AO367" s="28" t="str">
        <x:v>R01-R20; ilgili satırdaki bölgesel fiyat ve maliyet varsayımları</x:v>
      </x:c>
      <x:c r="AP367" s="28" t="str">
        <x:v>Girdi miktarları, alım fiyatı değişimi, fason bedeli ve parti sonucu simüle edilmiştir; işletme kaydı değildir.</x:v>
      </x:c>
    </x:row>
    <x:row r="368" ht="22" customHeight="1">
      <x:c r="A368" t="str">
        <x:v>SUC-0367</x:v>
      </x:c>
      <x:c r="B368" s="36" t="n">
        <x:v>46274</x:v>
      </x:c>
      <x:c r="C368" t="str">
        <x:v>Karadeniz</x:v>
      </x:c>
      <x:c r="D368" t="str">
        <x:v>ERZURUM_CI</x:v>
      </x:c>
      <x:c r="E368" t="str">
        <x:v>Kurum içi</x:v>
      </x:c>
      <x:c r="F368" s="42" t="str">
        <x:v>SENTETİK/SİMÜLE — gerçek parti kaydı değildir</x:v>
      </x:c>
      <x:c r="G368" s="38" t="n">
        <x:v>258.28</x:v>
      </x:c>
      <x:c r="H368" s="38" t="n">
        <x:v>43.481</x:v>
      </x:c>
      <x:c r="I368" s="38" t="n">
        <x:v>16.17</x:v>
      </x:c>
      <x:c r="J368" s="38" t="n">
        <x:v>4.888</x:v>
      </x:c>
      <x:c r="K368" s="38" t="n">
        <x:v>0.723</x:v>
      </x:c>
      <x:c r="L368" s="38" t="n">
        <x:f>SUM(G368:K368)</x:f>
        <x:v>323.542</x:v>
      </x:c>
      <x:c r="M368" s="38" t="n">
        <x:v>377.794</x:v>
      </x:c>
      <x:c r="N368" s="38" t="n">
        <x:v>592.43</x:v>
      </x:c>
      <x:c r="O368" s="38" t="n">
        <x:v>481.2</x:v>
      </x:c>
      <x:c r="P368" s="38" t="n">
        <x:v>400</x:v>
      </x:c>
      <x:c r="Q368" s="38" t="n">
        <x:v>19.88</x:v>
      </x:c>
      <x:c r="R368" s="38" t="n">
        <x:v>43.7475</x:v>
      </x:c>
      <x:c r="S368" s="38" t="n">
        <x:v>74.88</x:v>
      </x:c>
      <x:c r="T368" s="40" t="n">
        <x:v>18.91</x:v>
      </x:c>
      <x:c r="U368" s="40" t="n">
        <x:v>0.57</x:v>
      </x:c>
      <x:c r="V368" s="38" t="n">
        <x:f>L368*(1-T368/100)*(1-U368/100)</x:f>
        <x:v>260.86475461553994</x:v>
      </x:c>
      <x:c r="W368" s="38" t="n">
        <x:f>G368*N368</x:f>
        <x:v>153012.82039999997</x:v>
      </x:c>
      <x:c r="X368" s="38" t="n">
        <x:f>H368*O368</x:f>
        <x:v>20923.0572</x:v>
      </x:c>
      <x:c r="Y368" s="38" t="n">
        <x:f>I368*P368</x:f>
        <x:v>6468.000000000001</x:v>
      </x:c>
      <x:c r="Z368" s="38" t="n">
        <x:f>J368*Q368+K368*P368</x:f>
        <x:v>386.37343999999996</x:v>
      </x:c>
      <x:c r="AA368" s="38" t="n">
        <x:f>M368*R368</x:f>
        <x:v>16527.543015</x:v>
      </x:c>
      <x:c r="AB368" s="38" t="n">
        <x:f>SUM(W368:AA368)</x:f>
        <x:v>197317.79405499998</x:v>
      </x:c>
      <x:c r="AC368" s="38" t="n">
        <x:v>22.02</x:v>
      </x:c>
      <x:c r="AD368" s="38" t="n">
        <x:v>174.33</x:v>
      </x:c>
      <x:c r="AE368" s="38" t="n">
        <x:v>140.42</x:v>
      </x:c>
      <x:c r="AF368" s="38" t="n">
        <x:v>4.8148</x:v>
      </x:c>
      <x:c r="AG368" s="38" t="n">
        <x:v>5.46</x:v>
      </x:c>
      <x:c r="AH368" s="38" t="n">
        <x:f>IF(E368="Fason",L368*S368,0)</x:f>
        <x:v>0</x:v>
      </x:c>
      <x:c r="AI368" s="38" t="n">
        <x:f>IF(E368="Kurum içi",AC368*AD368+AE368*AF368+AB368*12%,0)</x:f>
        <x:v>28192.976102599998</x:v>
      </x:c>
      <x:c r="AJ368" s="38" t="n">
        <x:f>V368*AG368</x:f>
        <x:v>1424.3215602008481</x:v>
      </x:c>
      <x:c r="AK368" s="38" t="n">
        <x:f>AB368*2%</x:f>
        <x:v>3946.3558811</x:v>
      </x:c>
      <x:c r="AL368" s="38" t="n">
        <x:f>AB368+AH368+AI368+AJ368+AK368</x:f>
        <x:v>230881.44759890082</x:v>
      </x:c>
      <x:c r="AM368" s="38" t="n">
        <x:f>AL368/V368</x:f>
        <x:v>885.0618702368274</x:v>
      </x:c>
      <x:c r="AN368" s="40" t="n">
        <x:f>(W368+X368)/AL368*100</x:f>
        <x:v>75.33557997356738</x:v>
      </x:c>
      <x:c r="AO368" s="28" t="str">
        <x:v>R01-R20; ilgili satırdaki bölgesel fiyat ve maliyet varsayımları</x:v>
      </x:c>
      <x:c r="AP368" s="28" t="str">
        <x:v>Girdi miktarları, alım fiyatı değişimi, fason bedeli ve parti sonucu simüle edilmiştir; işletme kaydı değildir.</x:v>
      </x:c>
    </x:row>
    <x:row r="369" ht="22" customHeight="1">
      <x:c r="A369" t="str">
        <x:v>SUC-0368</x:v>
      </x:c>
      <x:c r="B369" s="36" t="n">
        <x:v>46291</x:v>
      </x:c>
      <x:c r="C369" t="str">
        <x:v>Doğu Anadolu</x:v>
      </x:c>
      <x:c r="D369" t="str">
        <x:v>MEB_STANDART</x:v>
      </x:c>
      <x:c r="E369" t="str">
        <x:v>Fason</x:v>
      </x:c>
      <x:c r="F369" s="42" t="str">
        <x:v>SENTETİK/SİMÜLE — gerçek parti kaydı değildir</x:v>
      </x:c>
      <x:c r="G369" s="38" t="n">
        <x:v>142.844</x:v>
      </x:c>
      <x:c r="H369" s="38" t="n">
        <x:v>45.473</x:v>
      </x:c>
      <x:c r="I369" s="38" t="n">
        <x:v>8.96</x:v>
      </x:c>
      <x:c r="J369" s="38" t="n">
        <x:v>5.097</x:v>
      </x:c>
      <x:c r="K369" s="38" t="n">
        <x:v>2.097</x:v>
      </x:c>
      <x:c r="L369" s="38" t="n">
        <x:f>SUM(G369:K369)</x:f>
        <x:v>204.47100000000003</x:v>
      </x:c>
      <x:c r="M369" s="38" t="n">
        <x:v>253.756</x:v>
      </x:c>
      <x:c r="N369" s="38" t="n">
        <x:v>598.13</x:v>
      </x:c>
      <x:c r="O369" s="38" t="n">
        <x:v>428.98</x:v>
      </x:c>
      <x:c r="P369" s="38" t="n">
        <x:v>400</x:v>
      </x:c>
      <x:c r="Q369" s="38" t="n">
        <x:v>19.88</x:v>
      </x:c>
      <x:c r="R369" s="38" t="n">
        <x:v>43.7475</x:v>
      </x:c>
      <x:c r="S369" s="38" t="n">
        <x:v>110.14</x:v>
      </x:c>
      <x:c r="T369" s="40" t="n">
        <x:v>16.31</x:v>
      </x:c>
      <x:c r="U369" s="40" t="n">
        <x:v>1.36</x:v>
      </x:c>
      <x:c r="V369" s="38" t="n">
        <x:f>L369*(1-T369/100)*(1-U369/100)</x:f>
        <x:v>168.79452369336002</x:v>
      </x:c>
      <x:c r="W369" s="38" t="n">
        <x:f>G369*N369</x:f>
        <x:v>85439.28172</x:v>
      </x:c>
      <x:c r="X369" s="38" t="n">
        <x:f>H369*O369</x:f>
        <x:v>19507.00754</x:v>
      </x:c>
      <x:c r="Y369" s="38" t="n">
        <x:f>I369*P369</x:f>
        <x:v>3584.0000000000005</x:v>
      </x:c>
      <x:c r="Z369" s="38" t="n">
        <x:f>J369*Q369+K369*P369</x:f>
        <x:v>940.1283599999999</x:v>
      </x:c>
      <x:c r="AA369" s="38" t="n">
        <x:f>M369*R369</x:f>
        <x:v>11101.190610000001</x:v>
      </x:c>
      <x:c r="AB369" s="38" t="n">
        <x:f>SUM(W369:AA369)</x:f>
        <x:v>120571.60823</x:v>
      </x:c>
      <x:c r="AC369" s="38" t="n">
        <x:v>8.28</x:v>
      </x:c>
      <x:c r="AD369" s="38" t="n">
        <x:v>174.33</x:v>
      </x:c>
      <x:c r="AE369" s="38" t="n">
        <x:v>94.42</x:v>
      </x:c>
      <x:c r="AF369" s="38" t="n">
        <x:v>4.8148</x:v>
      </x:c>
      <x:c r="AG369" s="38" t="n">
        <x:v>5.65</x:v>
      </x:c>
      <x:c r="AH369" s="38" t="n">
        <x:f>IF(E369="Fason",L369*S369,0)</x:f>
        <x:v>22520.435940000003</x:v>
      </x:c>
      <x:c r="AI369" s="38" t="n">
        <x:f>IF(E369="Kurum içi",AC369*AD369+AE369*AF369+AB369*12%,0)</x:f>
        <x:v>0</x:v>
      </x:c>
      <x:c r="AJ369" s="38" t="n">
        <x:f>V369*AG369</x:f>
        <x:v>953.6890588674842</x:v>
      </x:c>
      <x:c r="AK369" s="38" t="n">
        <x:f>AB369*2%</x:f>
        <x:v>2411.4321646</x:v>
      </x:c>
      <x:c r="AL369" s="38" t="n">
        <x:f>AB369+AH369+AI369+AJ369+AK369</x:f>
        <x:v>146457.1653934675</x:v>
      </x:c>
      <x:c r="AM369" s="38" t="n">
        <x:f>AL369/V369</x:f>
        <x:v>867.6653850425171</x:v>
      </x:c>
      <x:c r="AN369" s="40" t="n">
        <x:f>(W369+X369)/AL369*100</x:f>
        <x:v>71.65664375522658</x:v>
      </x:c>
      <x:c r="AO369" s="28" t="str">
        <x:v>R01-R20; ilgili satırdaki bölgesel fiyat ve maliyet varsayımları</x:v>
      </x:c>
      <x:c r="AP369" s="28" t="str">
        <x:v>Girdi miktarları, alım fiyatı değişimi, fason bedeli ve parti sonucu simüle edilmiştir; işletme kaydı değildir.</x:v>
      </x:c>
    </x:row>
    <x:row r="370" ht="22" customHeight="1">
      <x:c r="A370" t="str">
        <x:v>SUC-0369</x:v>
      </x:c>
      <x:c r="B370" s="36" t="n">
        <x:v>46305</x:v>
      </x:c>
      <x:c r="C370" t="str">
        <x:v>Doğu Anadolu</x:v>
      </x:c>
      <x:c r="D370" t="str">
        <x:v>ERZURUM_CI</x:v>
      </x:c>
      <x:c r="E370" t="str">
        <x:v>Kurum içi</x:v>
      </x:c>
      <x:c r="F370" s="42" t="str">
        <x:v>SENTETİK/SİMÜLE — gerçek parti kaydı değildir</x:v>
      </x:c>
      <x:c r="G370" s="38" t="n">
        <x:v>368.948</x:v>
      </x:c>
      <x:c r="H370" s="38" t="n">
        <x:v>62.974</x:v>
      </x:c>
      <x:c r="I370" s="38" t="n">
        <x:v>21.643</x:v>
      </x:c>
      <x:c r="J370" s="38" t="n">
        <x:v>7.498</x:v>
      </x:c>
      <x:c r="K370" s="38" t="n">
        <x:v>0.578</x:v>
      </x:c>
      <x:c r="L370" s="38" t="n">
        <x:f>SUM(G370:K370)</x:f>
        <x:v>461.6409999999999</x:v>
      </x:c>
      <x:c r="M370" s="38" t="n">
        <x:v>590.177</x:v>
      </x:c>
      <x:c r="N370" s="38" t="n">
        <x:v>576.78</x:v>
      </x:c>
      <x:c r="O370" s="38" t="n">
        <x:v>430.2</x:v>
      </x:c>
      <x:c r="P370" s="38" t="n">
        <x:v>550</x:v>
      </x:c>
      <x:c r="Q370" s="38" t="n">
        <x:v>19.88</x:v>
      </x:c>
      <x:c r="R370" s="38" t="n">
        <x:v>43.7475</x:v>
      </x:c>
      <x:c r="S370" s="38" t="n">
        <x:v>68.36</x:v>
      </x:c>
      <x:c r="T370" s="40" t="n">
        <x:v>20.22</x:v>
      </x:c>
      <x:c r="U370" s="40" t="n">
        <x:v>0.49</x:v>
      </x:c>
      <x:c r="V370" s="38" t="n">
        <x:f>L370*(1-T370/100)*(1-U370/100)</x:f>
        <x:v>366.49253356997997</x:v>
      </x:c>
      <x:c r="W370" s="38" t="n">
        <x:f>G370*N370</x:f>
        <x:v>212801.82743999996</x:v>
      </x:c>
      <x:c r="X370" s="38" t="n">
        <x:f>H370*O370</x:f>
        <x:v>27091.4148</x:v>
      </x:c>
      <x:c r="Y370" s="38" t="n">
        <x:f>I370*P370</x:f>
        <x:v>11903.65</x:v>
      </x:c>
      <x:c r="Z370" s="38" t="n">
        <x:f>J370*Q370+K370*P370</x:f>
        <x:v>466.96024</x:v>
      </x:c>
      <x:c r="AA370" s="38" t="n">
        <x:f>M370*R370</x:f>
        <x:v>25818.768307500002</x:v>
      </x:c>
      <x:c r="AB370" s="38" t="n">
        <x:f>SUM(W370:AA370)</x:f>
        <x:v>278082.62078749994</x:v>
      </x:c>
      <x:c r="AC370" s="38" t="n">
        <x:v>16.9</x:v>
      </x:c>
      <x:c r="AD370" s="38" t="n">
        <x:v>174.33</x:v>
      </x:c>
      <x:c r="AE370" s="38" t="n">
        <x:v>117.51</x:v>
      </x:c>
      <x:c r="AF370" s="38" t="n">
        <x:v>4.8148</x:v>
      </x:c>
      <x:c r="AG370" s="38" t="n">
        <x:v>5.47</x:v>
      </x:c>
      <x:c r="AH370" s="38" t="n">
        <x:f>IF(E370="Fason",L370*S370,0)</x:f>
        <x:v>0</x:v>
      </x:c>
      <x:c r="AI370" s="38" t="n">
        <x:f>IF(E370="Kurum içi",AC370*AD370+AE370*AF370+AB370*12%,0)</x:f>
        <x:v>36881.87864249999</x:v>
      </x:c>
      <x:c r="AJ370" s="38" t="n">
        <x:f>V370*AG370</x:f>
        <x:v>2004.7141586277903</x:v>
      </x:c>
      <x:c r="AK370" s="38" t="n">
        <x:f>AB370*2%</x:f>
        <x:v>5561.652415749999</x:v>
      </x:c>
      <x:c r="AL370" s="38" t="n">
        <x:f>AB370+AH370+AI370+AJ370+AK370</x:f>
        <x:v>322530.8660043777</x:v>
      </x:c>
      <x:c r="AM370" s="38" t="n">
        <x:f>AL370/V370</x:f>
        <x:v>880.0475765839634</x:v>
      </x:c>
      <x:c r="AN370" s="40" t="n">
        <x:f>(W370+X370)/AL370*100</x:f>
        <x:v>74.37838282328734</x:v>
      </x:c>
      <x:c r="AO370" s="28" t="str">
        <x:v>R01-R20; ilgili satırdaki bölgesel fiyat ve maliyet varsayımları</x:v>
      </x:c>
      <x:c r="AP370" s="28" t="str">
        <x:v>Girdi miktarları, alım fiyatı değişimi, fason bedeli ve parti sonucu simüle edilmiştir; işletme kaydı değildir.</x:v>
      </x:c>
    </x:row>
    <x:row r="371" ht="22" customHeight="1">
      <x:c r="A371" t="str">
        <x:v>SUC-0370</x:v>
      </x:c>
      <x:c r="B371" s="36" t="n">
        <x:v>46308</x:v>
      </x:c>
      <x:c r="C371" t="str">
        <x:v>İç Anadolu</x:v>
      </x:c>
      <x:c r="D371" t="str">
        <x:v>ERZURUM_CI</x:v>
      </x:c>
      <x:c r="E371" t="str">
        <x:v>Fason</x:v>
      </x:c>
      <x:c r="F371" s="42" t="str">
        <x:v>SENTETİK/SİMÜLE — gerçek parti kaydı değildir</x:v>
      </x:c>
      <x:c r="G371" s="38" t="n">
        <x:v>226.125</x:v>
      </x:c>
      <x:c r="H371" s="38" t="n">
        <x:v>40.864</x:v>
      </x:c>
      <x:c r="I371" s="38" t="n">
        <x:v>12.952</x:v>
      </x:c>
      <x:c r="J371" s="38" t="n">
        <x:v>4.679</x:v>
      </x:c>
      <x:c r="K371" s="38" t="n">
        <x:v>0.028</x:v>
      </x:c>
      <x:c r="L371" s="38" t="n">
        <x:f>SUM(G371:K371)</x:f>
        <x:v>284.64799999999997</x:v>
      </x:c>
      <x:c r="M371" s="38" t="n">
        <x:v>361.591</x:v>
      </x:c>
      <x:c r="N371" s="38" t="n">
        <x:v>587.78</x:v>
      </x:c>
      <x:c r="O371" s="38" t="n">
        <x:v>433.27</x:v>
      </x:c>
      <x:c r="P371" s="38" t="n">
        <x:v>550</x:v>
      </x:c>
      <x:c r="Q371" s="38" t="n">
        <x:v>19.88</x:v>
      </x:c>
      <x:c r="R371" s="38" t="n">
        <x:v>43.7475</x:v>
      </x:c>
      <x:c r="S371" s="38" t="n">
        <x:v>87.09</x:v>
      </x:c>
      <x:c r="T371" s="40" t="n">
        <x:v>17.87</x:v>
      </x:c>
      <x:c r="U371" s="40" t="n">
        <x:v>0.41</x:v>
      </x:c>
      <x:c r="V371" s="38" t="n">
        <x:f>L371*(1-T371/100)*(1-U371/100)</x:f>
        <x:v>232.82289865016</x:v>
      </x:c>
      <x:c r="W371" s="38" t="n">
        <x:f>G371*N371</x:f>
        <x:v>132911.7525</x:v>
      </x:c>
      <x:c r="X371" s="38" t="n">
        <x:f>H371*O371</x:f>
        <x:v>17705.145279999997</x:v>
      </x:c>
      <x:c r="Y371" s="38" t="n">
        <x:f>I371*P371</x:f>
        <x:v>7123.6</x:v>
      </x:c>
      <x:c r="Z371" s="38" t="n">
        <x:f>J371*Q371+K371*P371</x:f>
        <x:v>108.41852</x:v>
      </x:c>
      <x:c r="AA371" s="38" t="n">
        <x:f>M371*R371</x:f>
        <x:v>15818.7022725</x:v>
      </x:c>
      <x:c r="AB371" s="38" t="n">
        <x:f>SUM(W371:AA371)</x:f>
        <x:v>173667.6185725</x:v>
      </x:c>
      <x:c r="AC371" s="38" t="n">
        <x:v>15.3</x:v>
      </x:c>
      <x:c r="AD371" s="38" t="n">
        <x:v>174.33</x:v>
      </x:c>
      <x:c r="AE371" s="38" t="n">
        <x:v>114.96</x:v>
      </x:c>
      <x:c r="AF371" s="38" t="n">
        <x:v>4.8148</x:v>
      </x:c>
      <x:c r="AG371" s="38" t="n">
        <x:v>5.28</x:v>
      </x:c>
      <x:c r="AH371" s="38" t="n">
        <x:f>IF(E371="Fason",L371*S371,0)</x:f>
        <x:v>24789.994319999998</x:v>
      </x:c>
      <x:c r="AI371" s="38" t="n">
        <x:f>IF(E371="Kurum içi",AC371*AD371+AE371*AF371+AB371*12%,0)</x:f>
        <x:v>0</x:v>
      </x:c>
      <x:c r="AJ371" s="38" t="n">
        <x:f>V371*AG371</x:f>
        <x:v>1229.3049048728449</x:v>
      </x:c>
      <x:c r="AK371" s="38" t="n">
        <x:f>AB371*2%</x:f>
        <x:v>3473.35237145</x:v>
      </x:c>
      <x:c r="AL371" s="38" t="n">
        <x:f>AB371+AH371+AI371+AJ371+AK371</x:f>
        <x:v>203160.27016882284</x:v>
      </x:c>
      <x:c r="AM371" s="38" t="n">
        <x:f>AL371/V371</x:f>
        <x:v>872.5957427155467</x:v>
      </x:c>
      <x:c r="AN371" s="40" t="n">
        <x:f>(W371+X371)/AL371*100</x:f>
        <x:v>74.13698438914254</x:v>
      </x:c>
      <x:c r="AO371" s="28" t="str">
        <x:v>R01-R20; ilgili satırdaki bölgesel fiyat ve maliyet varsayımları</x:v>
      </x:c>
      <x:c r="AP371" s="28" t="str">
        <x:v>Girdi miktarları, alım fiyatı değişimi, fason bedeli ve parti sonucu simüle edilmiştir; işletme kaydı değildir.</x:v>
      </x:c>
    </x:row>
    <x:row r="372" ht="22" customHeight="1">
      <x:c r="A372" t="str">
        <x:v>SUC-0371</x:v>
      </x:c>
      <x:c r="B372" s="36" t="n">
        <x:v>46302</x:v>
      </x:c>
      <x:c r="C372" t="str">
        <x:v>İç Anadolu</x:v>
      </x:c>
      <x:c r="D372" t="str">
        <x:v>MEB_STANDART</x:v>
      </x:c>
      <x:c r="E372" t="str">
        <x:v>Kurum içi</x:v>
      </x:c>
      <x:c r="F372" s="42" t="str">
        <x:v>SENTETİK/SİMÜLE — gerçek parti kaydı değildir</x:v>
      </x:c>
      <x:c r="G372" s="38" t="n">
        <x:v>318.74</x:v>
      </x:c>
      <x:c r="H372" s="38" t="n">
        <x:v>103.605</x:v>
      </x:c>
      <x:c r="I372" s="38" t="n">
        <x:v>19.401</x:v>
      </x:c>
      <x:c r="J372" s="38" t="n">
        <x:v>12.272</x:v>
      </x:c>
      <x:c r="K372" s="38" t="n">
        <x:v>4.739</x:v>
      </x:c>
      <x:c r="L372" s="38" t="n">
        <x:f>SUM(G372:K372)</x:f>
        <x:v>458.757</x:v>
      </x:c>
      <x:c r="M372" s="38" t="n">
        <x:v>569.174</x:v>
      </x:c>
      <x:c r="N372" s="38" t="n">
        <x:v>584.78</x:v>
      </x:c>
      <x:c r="O372" s="38" t="n">
        <x:v>427.37</x:v>
      </x:c>
      <x:c r="P372" s="38" t="n">
        <x:v>669.9</x:v>
      </x:c>
      <x:c r="Q372" s="38" t="n">
        <x:v>19.88</x:v>
      </x:c>
      <x:c r="R372" s="38" t="n">
        <x:v>43.7475</x:v>
      </x:c>
      <x:c r="S372" s="38" t="n">
        <x:v>76.75</x:v>
      </x:c>
      <x:c r="T372" s="40" t="n">
        <x:v>22.18</x:v>
      </x:c>
      <x:c r="U372" s="40" t="n">
        <x:v>0.31</x:v>
      </x:c>
      <x:c r="V372" s="38" t="n">
        <x:f>L372*(1-T372/100)*(1-U372/100)</x:f>
        <x:v>355.89798283806</x:v>
      </x:c>
      <x:c r="W372" s="38" t="n">
        <x:f>G372*N372</x:f>
        <x:v>186392.77719999998</x:v>
      </x:c>
      <x:c r="X372" s="38" t="n">
        <x:f>H372*O372</x:f>
        <x:v>44277.66885</x:v>
      </x:c>
      <x:c r="Y372" s="38" t="n">
        <x:f>I372*P372</x:f>
        <x:v>12996.7299</x:v>
      </x:c>
      <x:c r="Z372" s="38" t="n">
        <x:f>J372*Q372+K372*P372</x:f>
        <x:v>3418.62346</x:v>
      </x:c>
      <x:c r="AA372" s="38" t="n">
        <x:f>M372*R372</x:f>
        <x:v>24899.939565</x:v>
      </x:c>
      <x:c r="AB372" s="38" t="n">
        <x:f>SUM(W372:AA372)</x:f>
        <x:v>271985.738975</x:v>
      </x:c>
      <x:c r="AC372" s="38" t="n">
        <x:v>20.75</x:v>
      </x:c>
      <x:c r="AD372" s="38" t="n">
        <x:v>174.33</x:v>
      </x:c>
      <x:c r="AE372" s="38" t="n">
        <x:v>192.54</x:v>
      </x:c>
      <x:c r="AF372" s="38" t="n">
        <x:v>4.8148</x:v>
      </x:c>
      <x:c r="AG372" s="38" t="n">
        <x:v>5.88</x:v>
      </x:c>
      <x:c r="AH372" s="38" t="n">
        <x:f>IF(E372="Fason",L372*S372,0)</x:f>
        <x:v>0</x:v>
      </x:c>
      <x:c r="AI372" s="38" t="n">
        <x:f>IF(E372="Kurum içi",AC372*AD372+AE372*AF372+AB372*12%,0)</x:f>
        <x:v>37182.677768999994</x:v>
      </x:c>
      <x:c r="AJ372" s="38" t="n">
        <x:f>V372*AG372</x:f>
        <x:v>2092.6801390877927</x:v>
      </x:c>
      <x:c r="AK372" s="38" t="n">
        <x:f>AB372*2%</x:f>
        <x:v>5439.7147795</x:v>
      </x:c>
      <x:c r="AL372" s="38" t="n">
        <x:f>AB372+AH372+AI372+AJ372+AK372</x:f>
        <x:v>316700.81166258774</x:v>
      </x:c>
      <x:c r="AM372" s="38" t="n">
        <x:f>AL372/V372</x:f>
        <x:v>889.8640254634214</x:v>
      </x:c>
      <x:c r="AN372" s="40" t="n">
        <x:f>(W372+X372)/AL372*100</x:f>
        <x:v>72.83544517585754</x:v>
      </x:c>
      <x:c r="AO372" s="28" t="str">
        <x:v>R01-R20; ilgili satırdaki bölgesel fiyat ve maliyet varsayımları</x:v>
      </x:c>
      <x:c r="AP372" s="28" t="str">
        <x:v>Girdi miktarları, alım fiyatı değişimi, fason bedeli ve parti sonucu simüle edilmiştir; işletme kaydı değildir.</x:v>
      </x:c>
    </x:row>
    <x:row r="373" ht="22" customHeight="1">
      <x:c r="A373" t="str">
        <x:v>SUC-0372</x:v>
      </x:c>
      <x:c r="B373" s="36" t="n">
        <x:v>46302</x:v>
      </x:c>
      <x:c r="C373" t="str">
        <x:v>Doğu Anadolu</x:v>
      </x:c>
      <x:c r="D373" t="str">
        <x:v>MEB_STANDART</x:v>
      </x:c>
      <x:c r="E373" t="str">
        <x:v>Fason</x:v>
      </x:c>
      <x:c r="F373" s="42" t="str">
        <x:v>SENTETİK/SİMÜLE — gerçek parti kaydı değildir</x:v>
      </x:c>
      <x:c r="G373" s="38" t="n">
        <x:v>162.486</x:v>
      </x:c>
      <x:c r="H373" s="38" t="n">
        <x:v>52.648</x:v>
      </x:c>
      <x:c r="I373" s="38" t="n">
        <x:v>10.659</x:v>
      </x:c>
      <x:c r="J373" s="38" t="n">
        <x:v>6.166</x:v>
      </x:c>
      <x:c r="K373" s="38" t="n">
        <x:v>2.532</x:v>
      </x:c>
      <x:c r="L373" s="38" t="n">
        <x:f>SUM(G373:K373)</x:f>
        <x:v>234.49099999999999</x:v>
      </x:c>
      <x:c r="M373" s="38" t="n">
        <x:v>293.166</x:v>
      </x:c>
      <x:c r="N373" s="38" t="n">
        <x:v>577.09</x:v>
      </x:c>
      <x:c r="O373" s="38" t="n">
        <x:v>436.59</x:v>
      </x:c>
      <x:c r="P373" s="38" t="n">
        <x:v>400</x:v>
      </x:c>
      <x:c r="Q373" s="38" t="n">
        <x:v>19.88</x:v>
      </x:c>
      <x:c r="R373" s="38" t="n">
        <x:v>43.7475</x:v>
      </x:c>
      <x:c r="S373" s="38" t="n">
        <x:v>104.18</x:v>
      </x:c>
      <x:c r="T373" s="40" t="n">
        <x:v>16.24</x:v>
      </x:c>
      <x:c r="U373" s="40" t="n">
        <x:v>1.61</x:v>
      </x:c>
      <x:c r="V373" s="38" t="n">
        <x:f>L373*(1-T373/100)*(1-U373/100)</x:f>
        <x:v>193.24746604824</x:v>
      </x:c>
      <x:c r="W373" s="38" t="n">
        <x:f>G373*N373</x:f>
        <x:v>93769.04574</x:v>
      </x:c>
      <x:c r="X373" s="38" t="n">
        <x:f>H373*O373</x:f>
        <x:v>22985.59032</x:v>
      </x:c>
      <x:c r="Y373" s="38" t="n">
        <x:f>I373*P373</x:f>
        <x:v>4263.6</x:v>
      </x:c>
      <x:c r="Z373" s="38" t="n">
        <x:f>J373*Q373+K373*P373</x:f>
        <x:v>1135.38008</x:v>
      </x:c>
      <x:c r="AA373" s="38" t="n">
        <x:f>M373*R373</x:f>
        <x:v>12825.279585</x:v>
      </x:c>
      <x:c r="AB373" s="38" t="n">
        <x:f>SUM(W373:AA373)</x:f>
        <x:v>134978.895725</x:v>
      </x:c>
      <x:c r="AC373" s="38" t="n">
        <x:v>12.1</x:v>
      </x:c>
      <x:c r="AD373" s="38" t="n">
        <x:v>174.33</x:v>
      </x:c>
      <x:c r="AE373" s="38" t="n">
        <x:v>86.46</x:v>
      </x:c>
      <x:c r="AF373" s="38" t="n">
        <x:v>4.8148</x:v>
      </x:c>
      <x:c r="AG373" s="38" t="n">
        <x:v>5.79</x:v>
      </x:c>
      <x:c r="AH373" s="38" t="n">
        <x:f>IF(E373="Fason",L373*S373,0)</x:f>
        <x:v>24429.27238</x:v>
      </x:c>
      <x:c r="AI373" s="38" t="n">
        <x:f>IF(E373="Kurum içi",AC373*AD373+AE373*AF373+AB373*12%,0)</x:f>
        <x:v>0</x:v>
      </x:c>
      <x:c r="AJ373" s="38" t="n">
        <x:f>V373*AG373</x:f>
        <x:v>1118.9028284193096</x:v>
      </x:c>
      <x:c r="AK373" s="38" t="n">
        <x:f>AB373*2%</x:f>
        <x:v>2699.5779145</x:v>
      </x:c>
      <x:c r="AL373" s="38" t="n">
        <x:f>AB373+AH373+AI373+AJ373+AK373</x:f>
        <x:v>163226.64884791934</x:v>
      </x:c>
      <x:c r="AM373" s="38" t="n">
        <x:f>AL373/V373</x:f>
        <x:v>844.6509141143066</x:v>
      </x:c>
      <x:c r="AN373" s="40" t="n">
        <x:f>(W373+X373)/AL373*100</x:f>
        <x:v>71.5291509591562</x:v>
      </x:c>
      <x:c r="AO373" s="28" t="str">
        <x:v>R01-R20; ilgili satırdaki bölgesel fiyat ve maliyet varsayımları</x:v>
      </x:c>
      <x:c r="AP373" s="28" t="str">
        <x:v>Girdi miktarları, alım fiyatı değişimi, fason bedeli ve parti sonucu simüle edilmiştir; işletme kaydı değildir.</x:v>
      </x:c>
    </x:row>
    <x:row r="374" ht="22" customHeight="1">
      <x:c r="A374" t="str">
        <x:v>SUC-0373</x:v>
      </x:c>
      <x:c r="B374" s="36" t="n">
        <x:v>46274</x:v>
      </x:c>
      <x:c r="C374" t="str">
        <x:v>Karadeniz</x:v>
      </x:c>
      <x:c r="D374" t="str">
        <x:v>MEB_STANDART</x:v>
      </x:c>
      <x:c r="E374" t="str">
        <x:v>Kurum içi</x:v>
      </x:c>
      <x:c r="F374" s="42" t="str">
        <x:v>SENTETİK/SİMÜLE — gerçek parti kaydı değildir</x:v>
      </x:c>
      <x:c r="G374" s="38" t="n">
        <x:v>172.101</x:v>
      </x:c>
      <x:c r="H374" s="38" t="n">
        <x:v>53.081</x:v>
      </x:c>
      <x:c r="I374" s="38" t="n">
        <x:v>11.596</x:v>
      </x:c>
      <x:c r="J374" s="38" t="n">
        <x:v>6.025</x:v>
      </x:c>
      <x:c r="K374" s="38" t="n">
        <x:v>2.736</x:v>
      </x:c>
      <x:c r="L374" s="38" t="n">
        <x:f>SUM(G374:K374)</x:f>
        <x:v>245.53900000000002</x:v>
      </x:c>
      <x:c r="M374" s="38" t="n">
        <x:v>314.003</x:v>
      </x:c>
      <x:c r="N374" s="38" t="n">
        <x:v>592.25</x:v>
      </x:c>
      <x:c r="O374" s="38" t="n">
        <x:v>481.53</x:v>
      </x:c>
      <x:c r="P374" s="38" t="n">
        <x:v>669.9</x:v>
      </x:c>
      <x:c r="Q374" s="38" t="n">
        <x:v>19.88</x:v>
      </x:c>
      <x:c r="R374" s="38" t="n">
        <x:v>43.7475</x:v>
      </x:c>
      <x:c r="S374" s="38" t="n">
        <x:v>114.78</x:v>
      </x:c>
      <x:c r="T374" s="40" t="n">
        <x:v>15.73</x:v>
      </x:c>
      <x:c r="U374" s="40" t="n">
        <x:v>0.91</x:v>
      </x:c>
      <x:c r="V374" s="38" t="n">
        <x:f>L374*(1-T374/100)*(1-U374/100)</x:f>
        <x:v>205.03278229077003</x:v>
      </x:c>
      <x:c r="W374" s="38" t="n">
        <x:f>G374*N374</x:f>
        <x:v>101926.81725</x:v>
      </x:c>
      <x:c r="X374" s="38" t="n">
        <x:f>H374*O374</x:f>
        <x:v>25560.09393</x:v>
      </x:c>
      <x:c r="Y374" s="38" t="n">
        <x:f>I374*P374</x:f>
        <x:v>7768.1604</x:v>
      </x:c>
      <x:c r="Z374" s="38" t="n">
        <x:f>J374*Q374+K374*P374</x:f>
        <x:v>1952.6234000000002</x:v>
      </x:c>
      <x:c r="AA374" s="38" t="n">
        <x:f>M374*R374</x:f>
        <x:v>13736.8462425</x:v>
      </x:c>
      <x:c r="AB374" s="38" t="n">
        <x:f>SUM(W374:AA374)</x:f>
        <x:v>150944.5412225</x:v>
      </x:c>
      <x:c r="AC374" s="38" t="n">
        <x:v>9.97</x:v>
      </x:c>
      <x:c r="AD374" s="38" t="n">
        <x:v>174.33</x:v>
      </x:c>
      <x:c r="AE374" s="38" t="n">
        <x:v>108.73</x:v>
      </x:c>
      <x:c r="AF374" s="38" t="n">
        <x:v>4.8148</x:v>
      </x:c>
      <x:c r="AG374" s="38" t="n">
        <x:v>5.23</x:v>
      </x:c>
      <x:c r="AH374" s="38" t="n">
        <x:f>IF(E374="Fason",L374*S374,0)</x:f>
        <x:v>0</x:v>
      </x:c>
      <x:c r="AI374" s="38" t="n">
        <x:f>IF(E374="Kurum içi",AC374*AD374+AE374*AF374+AB374*12%,0)</x:f>
        <x:v>20374.9282507</x:v>
      </x:c>
      <x:c r="AJ374" s="38" t="n">
        <x:f>V374*AG374</x:f>
        <x:v>1072.3214513807272</x:v>
      </x:c>
      <x:c r="AK374" s="38" t="n">
        <x:f>AB374*2%</x:f>
        <x:v>3018.8908244500003</x:v>
      </x:c>
      <x:c r="AL374" s="38" t="n">
        <x:f>AB374+AH374+AI374+AJ374+AK374</x:f>
        <x:v>175410.68174903074</x:v>
      </x:c>
      <x:c r="AM374" s="38" t="n">
        <x:f>AL374/V374</x:f>
        <x:v>855.5250520878642</x:v>
      </x:c>
      <x:c r="AN374" s="40" t="n">
        <x:f>(W374+X374)/AL374*100</x:f>
        <x:v>72.67910363771473</x:v>
      </x:c>
      <x:c r="AO374" s="28" t="str">
        <x:v>R01-R20; ilgili satırdaki bölgesel fiyat ve maliyet varsayımları</x:v>
      </x:c>
      <x:c r="AP374" s="28" t="str">
        <x:v>Girdi miktarları, alım fiyatı değişimi, fason bedeli ve parti sonucu simüle edilmiştir; işletme kaydı değildir.</x:v>
      </x:c>
    </x:row>
    <x:row r="375" ht="22" customHeight="1">
      <x:c r="A375" t="str">
        <x:v>SUC-0374</x:v>
      </x:c>
      <x:c r="B375" s="36" t="n">
        <x:v>46301</x:v>
      </x:c>
      <x:c r="C375" t="str">
        <x:v>Marmara</x:v>
      </x:c>
      <x:c r="D375" t="str">
        <x:v>MEB_STANDART</x:v>
      </x:c>
      <x:c r="E375" t="str">
        <x:v>Kurum içi</x:v>
      </x:c>
      <x:c r="F375" s="42" t="str">
        <x:v>SENTETİK/SİMÜLE — gerçek parti kaydı değildir</x:v>
      </x:c>
      <x:c r="G375" s="38" t="n">
        <x:v>99.793</x:v>
      </x:c>
      <x:c r="H375" s="38" t="n">
        <x:v>31.127</x:v>
      </x:c>
      <x:c r="I375" s="38" t="n">
        <x:v>6.457</x:v>
      </x:c>
      <x:c r="J375" s="38" t="n">
        <x:v>3.586</x:v>
      </x:c>
      <x:c r="K375" s="38" t="n">
        <x:v>1.551</x:v>
      </x:c>
      <x:c r="L375" s="38" t="n">
        <x:f>SUM(G375:K375)</x:f>
        <x:v>142.514</x:v>
      </x:c>
      <x:c r="M375" s="38" t="n">
        <x:v>175.654</x:v>
      </x:c>
      <x:c r="N375" s="38" t="n">
        <x:v>597.11</x:v>
      </x:c>
      <x:c r="O375" s="38" t="n">
        <x:v>446.17</x:v>
      </x:c>
      <x:c r="P375" s="38" t="n">
        <x:v>669.9</x:v>
      </x:c>
      <x:c r="Q375" s="38" t="n">
        <x:v>19.88</x:v>
      </x:c>
      <x:c r="R375" s="38" t="n">
        <x:v>43.7475</x:v>
      </x:c>
      <x:c r="S375" s="38" t="n">
        <x:v>93.33</x:v>
      </x:c>
      <x:c r="T375" s="40" t="n">
        <x:v>18.2</x:v>
      </x:c>
      <x:c r="U375" s="40" t="n">
        <x:v>1.03</x:v>
      </x:c>
      <x:c r="V375" s="38" t="n">
        <x:f>L375*(1-T375/100)*(1-U375/100)</x:f>
        <x:v>115.37571454440003</x:v>
      </x:c>
      <x:c r="W375" s="38" t="n">
        <x:f>G375*N375</x:f>
        <x:v>59587.398230000006</x:v>
      </x:c>
      <x:c r="X375" s="38" t="n">
        <x:f>H375*O375</x:f>
        <x:v>13887.93359</x:v>
      </x:c>
      <x:c r="Y375" s="38" t="n">
        <x:f>I375*P375</x:f>
        <x:v>4325.5443</x:v>
      </x:c>
      <x:c r="Z375" s="38" t="n">
        <x:f>J375*Q375+K375*P375</x:f>
        <x:v>1110.30458</x:v>
      </x:c>
      <x:c r="AA375" s="38" t="n">
        <x:f>M375*R375</x:f>
        <x:v>7684.423365000001</x:v>
      </x:c>
      <x:c r="AB375" s="38" t="n">
        <x:f>SUM(W375:AA375)</x:f>
        <x:v>86595.60406499999</x:v>
      </x:c>
      <x:c r="AC375" s="38" t="n">
        <x:v>6.97</x:v>
      </x:c>
      <x:c r="AD375" s="38" t="n">
        <x:v>174.33</x:v>
      </x:c>
      <x:c r="AE375" s="38" t="n">
        <x:v>62.55</x:v>
      </x:c>
      <x:c r="AF375" s="38" t="n">
        <x:v>4.8148</x:v>
      </x:c>
      <x:c r="AG375" s="38" t="n">
        <x:v>5.31</x:v>
      </x:c>
      <x:c r="AH375" s="38" t="n">
        <x:f>IF(E375="Fason",L375*S375,0)</x:f>
        <x:v>0</x:v>
      </x:c>
      <x:c r="AI375" s="38" t="n">
        <x:f>IF(E375="Kurum içi",AC375*AD375+AE375*AF375+AB375*12%,0)</x:f>
        <x:v>11907.718327799997</x:v>
      </x:c>
      <x:c r="AJ375" s="38" t="n">
        <x:f>V375*AG375</x:f>
        <x:v>612.6450442307641</x:v>
      </x:c>
      <x:c r="AK375" s="38" t="n">
        <x:f>AB375*2%</x:f>
        <x:v>1731.9120813</x:v>
      </x:c>
      <x:c r="AL375" s="38" t="n">
        <x:f>AB375+AH375+AI375+AJ375+AK375</x:f>
        <x:v>100847.87951833077</x:v>
      </x:c>
      <x:c r="AM375" s="38" t="n">
        <x:f>AL375/V375</x:f>
        <x:v>874.0823830782992</x:v>
      </x:c>
      <x:c r="AN375" s="40" t="n">
        <x:f>(W375+X375)/AL375*100</x:f>
        <x:v>72.85758726007188</x:v>
      </x:c>
      <x:c r="AO375" s="28" t="str">
        <x:v>R01-R20; ilgili satırdaki bölgesel fiyat ve maliyet varsayımları</x:v>
      </x:c>
      <x:c r="AP375" s="28" t="str">
        <x:v>Girdi miktarları, alım fiyatı değişimi, fason bedeli ve parti sonucu simüle edilmiştir; işletme kaydı değildir.</x:v>
      </x:c>
    </x:row>
    <x:row r="376" ht="22" customHeight="1">
      <x:c r="A376" t="str">
        <x:v>SUC-0375</x:v>
      </x:c>
      <x:c r="B376" s="36" t="n">
        <x:v>46316</x:v>
      </x:c>
      <x:c r="C376" t="str">
        <x:v>Karadeniz</x:v>
      </x:c>
      <x:c r="D376" t="str">
        <x:v>MEB_STANDART</x:v>
      </x:c>
      <x:c r="E376" t="str">
        <x:v>Kurum içi</x:v>
      </x:c>
      <x:c r="F376" s="42" t="str">
        <x:v>SENTETİK/SİMÜLE — gerçek parti kaydı değildir</x:v>
      </x:c>
      <x:c r="G376" s="38" t="n">
        <x:v>260.699</x:v>
      </x:c>
      <x:c r="H376" s="38" t="n">
        <x:v>79.376</x:v>
      </x:c>
      <x:c r="I376" s="38" t="n">
        <x:v>16.064</x:v>
      </x:c>
      <x:c r="J376" s="38" t="n">
        <x:v>9.857</x:v>
      </x:c>
      <x:c r="K376" s="38" t="n">
        <x:v>3.314</x:v>
      </x:c>
      <x:c r="L376" s="38" t="n">
        <x:f>SUM(G376:K376)</x:f>
        <x:v>369.3100000000001</x:v>
      </x:c>
      <x:c r="M376" s="38" t="n">
        <x:v>485.971</x:v>
      </x:c>
      <x:c r="N376" s="38" t="n">
        <x:v>590.37</x:v>
      </x:c>
      <x:c r="O376" s="38" t="n">
        <x:v>433.36</x:v>
      </x:c>
      <x:c r="P376" s="38" t="n">
        <x:v>550</x:v>
      </x:c>
      <x:c r="Q376" s="38" t="n">
        <x:v>19.88</x:v>
      </x:c>
      <x:c r="R376" s="38" t="n">
        <x:v>43.7475</x:v>
      </x:c>
      <x:c r="S376" s="38" t="n">
        <x:v>115.84</x:v>
      </x:c>
      <x:c r="T376" s="40" t="n">
        <x:v>30.26</x:v>
      </x:c>
      <x:c r="U376" s="40" t="n">
        <x:v>0.6</x:v>
      </x:c>
      <x:c r="V376" s="38" t="n">
        <x:f>L376*(1-T376/100)*(1-U376/100)</x:f>
        <x:v>256.0114532360001</x:v>
      </x:c>
      <x:c r="W376" s="38" t="n">
        <x:f>G376*N376</x:f>
        <x:v>153908.86863</x:v>
      </x:c>
      <x:c r="X376" s="38" t="n">
        <x:f>H376*O376</x:f>
        <x:v>34398.38336</x:v>
      </x:c>
      <x:c r="Y376" s="38" t="n">
        <x:f>I376*P376</x:f>
        <x:v>8835.2</x:v>
      </x:c>
      <x:c r="Z376" s="38" t="n">
        <x:f>J376*Q376+K376*P376</x:f>
        <x:v>2018.65716</x:v>
      </x:c>
      <x:c r="AA376" s="38" t="n">
        <x:f>M376*R376</x:f>
        <x:v>21260.0163225</x:v>
      </x:c>
      <x:c r="AB376" s="38" t="n">
        <x:f>SUM(W376:AA376)</x:f>
        <x:v>220421.12547250005</x:v>
      </x:c>
      <x:c r="AC376" s="38" t="n">
        <x:v>19.07</x:v>
      </x:c>
      <x:c r="AD376" s="38" t="n">
        <x:v>174.33</x:v>
      </x:c>
      <x:c r="AE376" s="38" t="n">
        <x:v>118.61</x:v>
      </x:c>
      <x:c r="AF376" s="38" t="n">
        <x:v>4.8148</x:v>
      </x:c>
      <x:c r="AG376" s="38" t="n">
        <x:v>5.8</x:v>
      </x:c>
      <x:c r="AH376" s="38" t="n">
        <x:f>IF(E376="Fason",L376*S376,0)</x:f>
        <x:v>0</x:v>
      </x:c>
      <x:c r="AI376" s="38" t="n">
        <x:f>IF(E376="Kurum içi",AC376*AD376+AE376*AF376+AB376*12%,0)</x:f>
        <x:v>30346.091584700007</x:v>
      </x:c>
      <x:c r="AJ376" s="38" t="n">
        <x:f>V376*AG376</x:f>
        <x:v>1484.8664287688005</x:v>
      </x:c>
      <x:c r="AK376" s="38" t="n">
        <x:f>AB376*2%</x:f>
        <x:v>4408.422509450001</x:v>
      </x:c>
      <x:c r="AL376" s="38" t="n">
        <x:f>AB376+AH376+AI376+AJ376+AK376</x:f>
        <x:v>256660.50599541885</x:v>
      </x:c>
      <x:c r="AM376" s="38" t="n">
        <x:f>AL376/V376</x:f>
        <x:v>1002.5352489164633</x:v>
      </x:c>
      <x:c r="AN376" s="40" t="n">
        <x:f>(W376+X376)/AL376*100</x:f>
        <x:v>73.3682228435103</x:v>
      </x:c>
      <x:c r="AO376" s="28" t="str">
        <x:v>R01-R20; ilgili satırdaki bölgesel fiyat ve maliyet varsayımları</x:v>
      </x:c>
      <x:c r="AP376" s="28" t="str">
        <x:v>Girdi miktarları, alım fiyatı değişimi, fason bedeli ve parti sonucu simüle edilmiştir; işletme kaydı değildir.</x:v>
      </x:c>
    </x:row>
    <x:row r="377" ht="22" customHeight="1">
      <x:c r="A377" t="str">
        <x:v>SUC-0376</x:v>
      </x:c>
      <x:c r="B377" s="36" t="n">
        <x:v>46286</x:v>
      </x:c>
      <x:c r="C377" t="str">
        <x:v>Doğu Anadolu</x:v>
      </x:c>
      <x:c r="D377" t="str">
        <x:v>MEB_STANDART</x:v>
      </x:c>
      <x:c r="E377" t="str">
        <x:v>Kurum içi</x:v>
      </x:c>
      <x:c r="F377" s="42" t="str">
        <x:v>SENTETİK/SİMÜLE — gerçek parti kaydı değildir</x:v>
      </x:c>
      <x:c r="G377" s="38" t="n">
        <x:v>250.625</x:v>
      </x:c>
      <x:c r="H377" s="38" t="n">
        <x:v>79.254</x:v>
      </x:c>
      <x:c r="I377" s="38" t="n">
        <x:v>15.015</x:v>
      </x:c>
      <x:c r="J377" s="38" t="n">
        <x:v>8.531</x:v>
      </x:c>
      <x:c r="K377" s="38" t="n">
        <x:v>3.923</x:v>
      </x:c>
      <x:c r="L377" s="38" t="n">
        <x:f>SUM(G377:K377)</x:f>
        <x:v>357.348</x:v>
      </x:c>
      <x:c r="M377" s="38" t="n">
        <x:v>424.681</x:v>
      </x:c>
      <x:c r="N377" s="38" t="n">
        <x:v>607.2</x:v>
      </x:c>
      <x:c r="O377" s="38" t="n">
        <x:v>467.46</x:v>
      </x:c>
      <x:c r="P377" s="38" t="n">
        <x:v>400</x:v>
      </x:c>
      <x:c r="Q377" s="38" t="n">
        <x:v>19.88</x:v>
      </x:c>
      <x:c r="R377" s="38" t="n">
        <x:v>43.7475</x:v>
      </x:c>
      <x:c r="S377" s="38" t="n">
        <x:v>122.21</x:v>
      </x:c>
      <x:c r="T377" s="40" t="n">
        <x:v>20.27</x:v>
      </x:c>
      <x:c r="U377" s="40" t="n">
        <x:v>0.53</x:v>
      </x:c>
      <x:c r="V377" s="38" t="n">
        <x:f>L377*(1-T377/100)*(1-U377/100)</x:f>
        <x:v>283.40351852988</x:v>
      </x:c>
      <x:c r="W377" s="38" t="n">
        <x:f>G377*N377</x:f>
        <x:v>152179.5</x:v>
      </x:c>
      <x:c r="X377" s="38" t="n">
        <x:f>H377*O377</x:f>
        <x:v>37048.07484</x:v>
      </x:c>
      <x:c r="Y377" s="38" t="n">
        <x:f>I377*P377</x:f>
        <x:v>6006</x:v>
      </x:c>
      <x:c r="Z377" s="38" t="n">
        <x:f>J377*Q377+K377*P377</x:f>
        <x:v>1738.79628</x:v>
      </x:c>
      <x:c r="AA377" s="38" t="n">
        <x:f>M377*R377</x:f>
        <x:v>18578.7320475</x:v>
      </x:c>
      <x:c r="AB377" s="38" t="n">
        <x:f>SUM(W377:AA377)</x:f>
        <x:v>215551.10316750003</x:v>
      </x:c>
      <x:c r="AC377" s="38" t="n">
        <x:v>22.23</x:v>
      </x:c>
      <x:c r="AD377" s="38" t="n">
        <x:v>174.33</x:v>
      </x:c>
      <x:c r="AE377" s="38" t="n">
        <x:v>109.35</x:v>
      </x:c>
      <x:c r="AF377" s="38" t="n">
        <x:v>4.8148</x:v>
      </x:c>
      <x:c r="AG377" s="38" t="n">
        <x:v>5.41</x:v>
      </x:c>
      <x:c r="AH377" s="38" t="n">
        <x:f>IF(E377="Fason",L377*S377,0)</x:f>
        <x:v>0</x:v>
      </x:c>
      <x:c r="AI377" s="38" t="n">
        <x:f>IF(E377="Kurum içi",AC377*AD377+AE377*AF377+AB377*12%,0)</x:f>
        <x:v>30267.986660100003</x:v>
      </x:c>
      <x:c r="AJ377" s="38" t="n">
        <x:f>V377*AG377</x:f>
        <x:v>1533.2130352466509</x:v>
      </x:c>
      <x:c r="AK377" s="38" t="n">
        <x:f>AB377*2%</x:f>
        <x:v>4311.02206335</x:v>
      </x:c>
      <x:c r="AL377" s="38" t="n">
        <x:f>AB377+AH377+AI377+AJ377+AK377</x:f>
        <x:v>251663.32492619668</x:v>
      </x:c>
      <x:c r="AM377" s="38" t="n">
        <x:f>AL377/V377</x:f>
        <x:v>888.0035302019835</x:v>
      </x:c>
      <x:c r="AN377" s="40" t="n">
        <x:f>(W377+X377)/AL377*100</x:f>
        <x:v>75.19076325304582</x:v>
      </x:c>
      <x:c r="AO377" s="28" t="str">
        <x:v>R01-R20; ilgili satırdaki bölgesel fiyat ve maliyet varsayımları</x:v>
      </x:c>
      <x:c r="AP377" s="28" t="str">
        <x:v>Girdi miktarları, alım fiyatı değişimi, fason bedeli ve parti sonucu simüle edilmiştir; işletme kaydı değildir.</x:v>
      </x:c>
    </x:row>
    <x:row r="378" ht="22" customHeight="1">
      <x:c r="A378" t="str">
        <x:v>SUC-0377</x:v>
      </x:c>
      <x:c r="B378" s="36" t="n">
        <x:v>46284</x:v>
      </x:c>
      <x:c r="C378" t="str">
        <x:v>İç Anadolu</x:v>
      </x:c>
      <x:c r="D378" t="str">
        <x:v>ERZURUM_CI</x:v>
      </x:c>
      <x:c r="E378" t="str">
        <x:v>Kurum içi</x:v>
      </x:c>
      <x:c r="F378" s="42" t="str">
        <x:v>SENTETİK/SİMÜLE — gerçek parti kaydı değildir</x:v>
      </x:c>
      <x:c r="G378" s="38" t="n">
        <x:v>243.022</x:v>
      </x:c>
      <x:c r="H378" s="38" t="n">
        <x:v>44.33</x:v>
      </x:c>
      <x:c r="I378" s="38" t="n">
        <x:v>14.659</x:v>
      </x:c>
      <x:c r="J378" s="38" t="n">
        <x:v>4.563</x:v>
      </x:c>
      <x:c r="K378" s="38" t="n">
        <x:v>0.714</x:v>
      </x:c>
      <x:c r="L378" s="38" t="n">
        <x:f>SUM(G378:K378)</x:f>
        <x:v>307.28799999999995</x:v>
      </x:c>
      <x:c r="M378" s="38" t="n">
        <x:v>413.915</x:v>
      </x:c>
      <x:c r="N378" s="38" t="n">
        <x:v>601.91</x:v>
      </x:c>
      <x:c r="O378" s="38" t="n">
        <x:v>457.21</x:v>
      </x:c>
      <x:c r="P378" s="38" t="n">
        <x:v>550</x:v>
      </x:c>
      <x:c r="Q378" s="38" t="n">
        <x:v>19.88</x:v>
      </x:c>
      <x:c r="R378" s="38" t="n">
        <x:v>43.7475</x:v>
      </x:c>
      <x:c r="S378" s="38" t="n">
        <x:v>102.29</x:v>
      </x:c>
      <x:c r="T378" s="40" t="n">
        <x:v>24.81</x:v>
      </x:c>
      <x:c r="U378" s="40" t="n">
        <x:v>1.18</x:v>
      </x:c>
      <x:c r="V378" s="38" t="n">
        <x:f>L378*(1-T378/100)*(1-U378/100)</x:f>
        <x:v>228.32345900303994</x:v>
      </x:c>
      <x:c r="W378" s="38" t="n">
        <x:f>G378*N378</x:f>
        <x:v>146277.37201999998</x:v>
      </x:c>
      <x:c r="X378" s="38" t="n">
        <x:f>H378*O378</x:f>
        <x:v>20268.1193</x:v>
      </x:c>
      <x:c r="Y378" s="38" t="n">
        <x:f>I378*P378</x:f>
        <x:v>8062.450000000001</x:v>
      </x:c>
      <x:c r="Z378" s="38" t="n">
        <x:f>J378*Q378+K378*P378</x:f>
        <x:v>483.41243999999995</x:v>
      </x:c>
      <x:c r="AA378" s="38" t="n">
        <x:f>M378*R378</x:f>
        <x:v>18107.746462500003</x:v>
      </x:c>
      <x:c r="AB378" s="38" t="n">
        <x:f>SUM(W378:AA378)</x:f>
        <x:v>193199.10022249998</x:v>
      </x:c>
      <x:c r="AC378" s="38" t="n">
        <x:v>14.93</x:v>
      </x:c>
      <x:c r="AD378" s="38" t="n">
        <x:v>174.33</x:v>
      </x:c>
      <x:c r="AE378" s="38" t="n">
        <x:v>112.25</x:v>
      </x:c>
      <x:c r="AF378" s="38" t="n">
        <x:v>4.8148</x:v>
      </x:c>
      <x:c r="AG378" s="38" t="n">
        <x:v>5.14</x:v>
      </x:c>
      <x:c r="AH378" s="38" t="n">
        <x:f>IF(E378="Fason",L378*S378,0)</x:f>
        <x:v>0</x:v>
      </x:c>
      <x:c r="AI378" s="38" t="n">
        <x:f>IF(E378="Kurum içi",AC378*AD378+AE378*AF378+AB378*12%,0)</x:f>
        <x:v>26327.100226699997</x:v>
      </x:c>
      <x:c r="AJ378" s="38" t="n">
        <x:f>V378*AG378</x:f>
        <x:v>1173.5825792756252</x:v>
      </x:c>
      <x:c r="AK378" s="38" t="n">
        <x:f>AB378*2%</x:f>
        <x:v>3863.9820044499997</x:v>
      </x:c>
      <x:c r="AL378" s="38" t="n">
        <x:f>AB378+AH378+AI378+AJ378+AK378</x:f>
        <x:v>224563.76503292558</x:v>
      </x:c>
      <x:c r="AM378" s="38" t="n">
        <x:f>AL378/V378</x:f>
        <x:v>983.5334748933341</x:v>
      </x:c>
      <x:c r="AN378" s="40" t="n">
        <x:f>(W378+X378)/AL378*100</x:f>
        <x:v>74.16400918268405</x:v>
      </x:c>
      <x:c r="AO378" s="28" t="str">
        <x:v>R01-R20; ilgili satırdaki bölgesel fiyat ve maliyet varsayımları</x:v>
      </x:c>
      <x:c r="AP378" s="28" t="str">
        <x:v>Girdi miktarları, alım fiyatı değişimi, fason bedeli ve parti sonucu simüle edilmiştir; işletme kaydı değildir.</x:v>
      </x:c>
    </x:row>
    <x:row r="379" ht="22" customHeight="1">
      <x:c r="A379" t="str">
        <x:v>SUC-0378</x:v>
      </x:c>
      <x:c r="B379" s="36" t="n">
        <x:v>46279</x:v>
      </x:c>
      <x:c r="C379" t="str">
        <x:v>Karadeniz</x:v>
      </x:c>
      <x:c r="D379" t="str">
        <x:v>MEB_STANDART</x:v>
      </x:c>
      <x:c r="E379" t="str">
        <x:v>Kurum içi</x:v>
      </x:c>
      <x:c r="F379" s="42" t="str">
        <x:v>SENTETİK/SİMÜLE — gerçek parti kaydı değildir</x:v>
      </x:c>
      <x:c r="G379" s="38" t="n">
        <x:v>280.871</x:v>
      </x:c>
      <x:c r="H379" s="38" t="n">
        <x:v>90.084</x:v>
      </x:c>
      <x:c r="I379" s="38" t="n">
        <x:v>17.335</x:v>
      </x:c>
      <x:c r="J379" s="38" t="n">
        <x:v>10.108</x:v>
      </x:c>
      <x:c r="K379" s="38" t="n">
        <x:v>4.456</x:v>
      </x:c>
      <x:c r="L379" s="38" t="n">
        <x:f>SUM(G379:K379)</x:f>
        <x:v>402.854</x:v>
      </x:c>
      <x:c r="M379" s="38" t="n">
        <x:v>497.283</x:v>
      </x:c>
      <x:c r="N379" s="38" t="n">
        <x:v>612.16</x:v>
      </x:c>
      <x:c r="O379" s="38" t="n">
        <x:v>465.69</x:v>
      </x:c>
      <x:c r="P379" s="38" t="n">
        <x:v>669.9</x:v>
      </x:c>
      <x:c r="Q379" s="38" t="n">
        <x:v>19.88</x:v>
      </x:c>
      <x:c r="R379" s="38" t="n">
        <x:v>43.7475</x:v>
      </x:c>
      <x:c r="S379" s="38" t="n">
        <x:v>77.41</x:v>
      </x:c>
      <x:c r="T379" s="40" t="n">
        <x:v>30.76</x:v>
      </x:c>
      <x:c r="U379" s="40" t="n">
        <x:v>1.36</x:v>
      </x:c>
      <x:c r="V379" s="38" t="n">
        <x:f>L379*(1-T379/100)*(1-U379/100)</x:f>
        <x:v>275.14257850943994</x:v>
      </x:c>
      <x:c r="W379" s="38" t="n">
        <x:f>G379*N379</x:f>
        <x:v>171937.99135999999</x:v>
      </x:c>
      <x:c r="X379" s="38" t="n">
        <x:f>H379*O379</x:f>
        <x:v>41951.21796</x:v>
      </x:c>
      <x:c r="Y379" s="38" t="n">
        <x:f>I379*P379</x:f>
        <x:v>11612.7165</x:v>
      </x:c>
      <x:c r="Z379" s="38" t="n">
        <x:f>J379*Q379+K379*P379</x:f>
        <x:v>3186.02144</x:v>
      </x:c>
      <x:c r="AA379" s="38" t="n">
        <x:f>M379*R379</x:f>
        <x:v>21754.888042500002</x:v>
      </x:c>
      <x:c r="AB379" s="38" t="n">
        <x:f>SUM(W379:AA379)</x:f>
        <x:v>250442.83530250003</x:v>
      </x:c>
      <x:c r="AC379" s="38" t="n">
        <x:v>16.44</x:v>
      </x:c>
      <x:c r="AD379" s="38" t="n">
        <x:v>174.33</x:v>
      </x:c>
      <x:c r="AE379" s="38" t="n">
        <x:v>161.27</x:v>
      </x:c>
      <x:c r="AF379" s="38" t="n">
        <x:v>4.8148</x:v>
      </x:c>
      <x:c r="AG379" s="38" t="n">
        <x:v>5.85</x:v>
      </x:c>
      <x:c r="AH379" s="38" t="n">
        <x:f>IF(E379="Fason",L379*S379,0)</x:f>
        <x:v>0</x:v>
      </x:c>
      <x:c r="AI379" s="38" t="n">
        <x:f>IF(E379="Kurum içi",AC379*AD379+AE379*AF379+AB379*12%,0)</x:f>
        <x:v>33695.6082323</x:v>
      </x:c>
      <x:c r="AJ379" s="38" t="n">
        <x:f>V379*AG379</x:f>
        <x:v>1609.5840842802236</x:v>
      </x:c>
      <x:c r="AK379" s="38" t="n">
        <x:f>AB379*2%</x:f>
        <x:v>5008.856706050001</x:v>
      </x:c>
      <x:c r="AL379" s="38" t="n">
        <x:f>AB379+AH379+AI379+AJ379+AK379</x:f>
        <x:v>290756.88432513026</x:v>
      </x:c>
      <x:c r="AM379" s="38" t="n">
        <x:f>AL379/V379</x:f>
        <x:v>1056.7498709224847</x:v>
      </x:c>
      <x:c r="AN379" s="40" t="n">
        <x:f>(W379+X379)/AL379*100</x:f>
        <x:v>73.56290456078239</x:v>
      </x:c>
      <x:c r="AO379" s="28" t="str">
        <x:v>R01-R20; ilgili satırdaki bölgesel fiyat ve maliyet varsayımları</x:v>
      </x:c>
      <x:c r="AP379" s="28" t="str">
        <x:v>Girdi miktarları, alım fiyatı değişimi, fason bedeli ve parti sonucu simüle edilmiştir; işletme kaydı değildir.</x:v>
      </x:c>
    </x:row>
    <x:row r="380" ht="22" customHeight="1">
      <x:c r="A380" t="str">
        <x:v>SUC-0379</x:v>
      </x:c>
      <x:c r="B380" s="36" t="n">
        <x:v>46285</x:v>
      </x:c>
      <x:c r="C380" t="str">
        <x:v>İç Anadolu</x:v>
      </x:c>
      <x:c r="D380" t="str">
        <x:v>MEB_STANDART</x:v>
      </x:c>
      <x:c r="E380" t="str">
        <x:v>Fason</x:v>
      </x:c>
      <x:c r="F380" s="42" t="str">
        <x:v>SENTETİK/SİMÜLE — gerçek parti kaydı değildir</x:v>
      </x:c>
      <x:c r="G380" s="38" t="n">
        <x:v>324.996</x:v>
      </x:c>
      <x:c r="H380" s="38" t="n">
        <x:v>104.055</x:v>
      </x:c>
      <x:c r="I380" s="38" t="n">
        <x:v>20.242</x:v>
      </x:c>
      <x:c r="J380" s="38" t="n">
        <x:v>11.738</x:v>
      </x:c>
      <x:c r="K380" s="38" t="n">
        <x:v>4.969</x:v>
      </x:c>
      <x:c r="L380" s="38" t="n">
        <x:f>SUM(G380:K380)</x:f>
        <x:v>466</x:v>
      </x:c>
      <x:c r="M380" s="38" t="n">
        <x:v>595.384</x:v>
      </x:c>
      <x:c r="N380" s="38" t="n">
        <x:v>603.81</x:v>
      </x:c>
      <x:c r="O380" s="38" t="n">
        <x:v>451.63</x:v>
      </x:c>
      <x:c r="P380" s="38" t="n">
        <x:v>550</x:v>
      </x:c>
      <x:c r="Q380" s="38" t="n">
        <x:v>19.88</x:v>
      </x:c>
      <x:c r="R380" s="38" t="n">
        <x:v>43.7475</x:v>
      </x:c>
      <x:c r="S380" s="38" t="n">
        <x:v>84.92</x:v>
      </x:c>
      <x:c r="T380" s="40" t="n">
        <x:v>24.05</x:v>
      </x:c>
      <x:c r="U380" s="40" t="n">
        <x:v>1.56</x:v>
      </x:c>
      <x:c r="V380" s="38" t="n">
        <x:f>L380*(1-T380/100)*(1-U380/100)</x:f>
        <x:v>348.4057388</x:v>
      </x:c>
      <x:c r="W380" s="38" t="n">
        <x:f>G380*N380</x:f>
        <x:v>196235.83475999997</x:v>
      </x:c>
      <x:c r="X380" s="38" t="n">
        <x:f>H380*O380</x:f>
        <x:v>46994.359650000006</x:v>
      </x:c>
      <x:c r="Y380" s="38" t="n">
        <x:f>I380*P380</x:f>
        <x:v>11133.1</x:v>
      </x:c>
      <x:c r="Z380" s="38" t="n">
        <x:f>J380*Q380+K380*P380</x:f>
        <x:v>2966.30144</x:v>
      </x:c>
      <x:c r="AA380" s="38" t="n">
        <x:f>M380*R380</x:f>
        <x:v>26046.561540000002</x:v>
      </x:c>
      <x:c r="AB380" s="38" t="n">
        <x:f>SUM(W380:AA380)</x:f>
        <x:v>283376.15739</x:v>
      </x:c>
      <x:c r="AC380" s="38" t="n">
        <x:v>24.63</x:v>
      </x:c>
      <x:c r="AD380" s="38" t="n">
        <x:v>174.33</x:v>
      </x:c>
      <x:c r="AE380" s="38" t="n">
        <x:v>179.89</x:v>
      </x:c>
      <x:c r="AF380" s="38" t="n">
        <x:v>4.8148</x:v>
      </x:c>
      <x:c r="AG380" s="38" t="n">
        <x:v>5.4</x:v>
      </x:c>
      <x:c r="AH380" s="38" t="n">
        <x:f>IF(E380="Fason",L380*S380,0)</x:f>
        <x:v>39572.72</x:v>
      </x:c>
      <x:c r="AI380" s="38" t="n">
        <x:f>IF(E380="Kurum içi",AC380*AD380+AE380*AF380+AB380*12%,0)</x:f>
        <x:v>0</x:v>
      </x:c>
      <x:c r="AJ380" s="38" t="n">
        <x:f>V380*AG380</x:f>
        <x:v>1881.3909895200002</x:v>
      </x:c>
      <x:c r="AK380" s="38" t="n">
        <x:f>AB380*2%</x:f>
        <x:v>5667.5231478000005</x:v>
      </x:c>
      <x:c r="AL380" s="38" t="n">
        <x:f>AB380+AH380+AI380+AJ380+AK380</x:f>
        <x:v>330497.79152732005</x:v>
      </x:c>
      <x:c r="AM380" s="38" t="n">
        <x:f>AL380/V380</x:f>
        <x:v>948.6003091270552</x:v>
      </x:c>
      <x:c r="AN380" s="40" t="n">
        <x:f>(W380+X380)/AL380*100</x:f>
        <x:v>73.59510430794928</x:v>
      </x:c>
      <x:c r="AO380" s="28" t="str">
        <x:v>R01-R20; ilgili satırdaki bölgesel fiyat ve maliyet varsayımları</x:v>
      </x:c>
      <x:c r="AP380" s="28" t="str">
        <x:v>Girdi miktarları, alım fiyatı değişimi, fason bedeli ve parti sonucu simüle edilmiştir; işletme kaydı değildir.</x:v>
      </x:c>
    </x:row>
    <x:row r="381" ht="22" customHeight="1">
      <x:c r="A381" t="str">
        <x:v>SUC-0380</x:v>
      </x:c>
      <x:c r="B381" s="36" t="n">
        <x:v>46272</x:v>
      </x:c>
      <x:c r="C381" t="str">
        <x:v>Güneydoğu Anadolu</x:v>
      </x:c>
      <x:c r="D381" t="str">
        <x:v>MEB_STANDART</x:v>
      </x:c>
      <x:c r="E381" t="str">
        <x:v>Fason</x:v>
      </x:c>
      <x:c r="F381" s="42" t="str">
        <x:v>SENTETİK/SİMÜLE — gerçek parti kaydı değildir</x:v>
      </x:c>
      <x:c r="G381" s="38" t="n">
        <x:v>326.08</x:v>
      </x:c>
      <x:c r="H381" s="38" t="n">
        <x:v>104.871</x:v>
      </x:c>
      <x:c r="I381" s="38" t="n">
        <x:v>21.942</x:v>
      </x:c>
      <x:c r="J381" s="38" t="n">
        <x:v>11.303</x:v>
      </x:c>
      <x:c r="K381" s="38" t="n">
        <x:v>4.003</x:v>
      </x:c>
      <x:c r="L381" s="38" t="n">
        <x:f>SUM(G381:K381)</x:f>
        <x:v>468.19899999999996</x:v>
      </x:c>
      <x:c r="M381" s="38" t="n">
        <x:v>631.916</x:v>
      </x:c>
      <x:c r="N381" s="38" t="n">
        <x:v>580.46</x:v>
      </x:c>
      <x:c r="O381" s="38" t="n">
        <x:v>462.37</x:v>
      </x:c>
      <x:c r="P381" s="38" t="n">
        <x:v>400</x:v>
      </x:c>
      <x:c r="Q381" s="38" t="n">
        <x:v>19.88</x:v>
      </x:c>
      <x:c r="R381" s="38" t="n">
        <x:v>43.7475</x:v>
      </x:c>
      <x:c r="S381" s="38" t="n">
        <x:v>115.17</x:v>
      </x:c>
      <x:c r="T381" s="40" t="n">
        <x:v>18.29</x:v>
      </x:c>
      <x:c r="U381" s="40" t="n">
        <x:v>0.6</x:v>
      </x:c>
      <x:c r="V381" s="38" t="n">
        <x:f>L381*(1-T381/100)*(1-U381/100)</x:f>
        <x:v>380.27001048259996</x:v>
      </x:c>
      <x:c r="W381" s="38" t="n">
        <x:f>G381*N381</x:f>
        <x:v>189276.39680000002</x:v>
      </x:c>
      <x:c r="X381" s="38" t="n">
        <x:f>H381*O381</x:f>
        <x:v>48489.204269999995</x:v>
      </x:c>
      <x:c r="Y381" s="38" t="n">
        <x:f>I381*P381</x:f>
        <x:v>8776.8</x:v>
      </x:c>
      <x:c r="Z381" s="38" t="n">
        <x:f>J381*Q381+K381*P381</x:f>
        <x:v>1825.90364</x:v>
      </x:c>
      <x:c r="AA381" s="38" t="n">
        <x:f>M381*R381</x:f>
        <x:v>27644.745210000005</x:v>
      </x:c>
      <x:c r="AB381" s="38" t="n">
        <x:f>SUM(W381:AA381)</x:f>
        <x:v>276013.04992</x:v>
      </x:c>
      <x:c r="AC381" s="38" t="n">
        <x:v>17.02</x:v>
      </x:c>
      <x:c r="AD381" s="38" t="n">
        <x:v>174.33</x:v>
      </x:c>
      <x:c r="AE381" s="38" t="n">
        <x:v>194.91</x:v>
      </x:c>
      <x:c r="AF381" s="38" t="n">
        <x:v>4.8148</x:v>
      </x:c>
      <x:c r="AG381" s="38" t="n">
        <x:v>5.91</x:v>
      </x:c>
      <x:c r="AH381" s="38" t="n">
        <x:f>IF(E381="Fason",L381*S381,0)</x:f>
        <x:v>53922.47882999999</x:v>
      </x:c>
      <x:c r="AI381" s="38" t="n">
        <x:f>IF(E381="Kurum içi",AC381*AD381+AE381*AF381+AB381*12%,0)</x:f>
        <x:v>0</x:v>
      </x:c>
      <x:c r="AJ381" s="38" t="n">
        <x:f>V381*AG381</x:f>
        <x:v>2247.3957619521657</x:v>
      </x:c>
      <x:c r="AK381" s="38" t="n">
        <x:f>AB381*2%</x:f>
        <x:v>5520.2609984</x:v>
      </x:c>
      <x:c r="AL381" s="38" t="n">
        <x:f>AB381+AH381+AI381+AJ381+AK381</x:f>
        <x:v>337703.18551035214</x:v>
      </x:c>
      <x:c r="AM381" s="38" t="n">
        <x:f>AL381/V381</x:f>
        <x:v>888.0615778293262</x:v>
      </x:c>
      <x:c r="AN381" s="40" t="n">
        <x:f>(W381+X381)/AL381*100</x:f>
        <x:v>70.40667996977228</x:v>
      </x:c>
      <x:c r="AO381" s="28" t="str">
        <x:v>R01-R20; ilgili satırdaki bölgesel fiyat ve maliyet varsayımları</x:v>
      </x:c>
      <x:c r="AP381" s="28" t="str">
        <x:v>Girdi miktarları, alım fiyatı değişimi, fason bedeli ve parti sonucu simüle edilmiştir; işletme kaydı değildir.</x:v>
      </x:c>
    </x:row>
    <x:row r="382" ht="22" customHeight="1">
      <x:c r="A382" t="str">
        <x:v>SUC-0381</x:v>
      </x:c>
      <x:c r="B382" s="36" t="n">
        <x:v>46266</x:v>
      </x:c>
      <x:c r="C382" t="str">
        <x:v>Marmara</x:v>
      </x:c>
      <x:c r="D382" t="str">
        <x:v>ERZURUM_CI</x:v>
      </x:c>
      <x:c r="E382" t="str">
        <x:v>Kurum içi</x:v>
      </x:c>
      <x:c r="F382" s="42" t="str">
        <x:v>SENTETİK/SİMÜLE — gerçek parti kaydı değildir</x:v>
      </x:c>
      <x:c r="G382" s="38" t="n">
        <x:v>379.257</x:v>
      </x:c>
      <x:c r="H382" s="38" t="n">
        <x:v>68.363</x:v>
      </x:c>
      <x:c r="I382" s="38" t="n">
        <x:v>21.312</x:v>
      </x:c>
      <x:c r="J382" s="38" t="n">
        <x:v>7.282</x:v>
      </x:c>
      <x:c r="K382" s="38" t="n">
        <x:v>0.232</x:v>
      </x:c>
      <x:c r="L382" s="38" t="n">
        <x:f>SUM(G382:K382)</x:f>
        <x:v>476.446</x:v>
      </x:c>
      <x:c r="M382" s="38" t="n">
        <x:v>615.157</x:v>
      </x:c>
      <x:c r="N382" s="38" t="n">
        <x:v>616.24</x:v>
      </x:c>
      <x:c r="O382" s="38" t="n">
        <x:v>461.13</x:v>
      </x:c>
      <x:c r="P382" s="38" t="n">
        <x:v>550</x:v>
      </x:c>
      <x:c r="Q382" s="38" t="n">
        <x:v>19.88</x:v>
      </x:c>
      <x:c r="R382" s="38" t="n">
        <x:v>43.7475</x:v>
      </x:c>
      <x:c r="S382" s="38" t="n">
        <x:v>121.45</x:v>
      </x:c>
      <x:c r="T382" s="40" t="n">
        <x:v>32.71</x:v>
      </x:c>
      <x:c r="U382" s="40" t="n">
        <x:v>0.67</x:v>
      </x:c>
      <x:c r="V382" s="38" t="n">
        <x:f>L382*(1-T382/100)*(1-U382/100)</x:f>
        <x:v>318.4524899602201</x:v>
      </x:c>
      <x:c r="W382" s="38" t="n">
        <x:f>G382*N382</x:f>
        <x:v>233713.33368</x:v>
      </x:c>
      <x:c r="X382" s="38" t="n">
        <x:f>H382*O382</x:f>
        <x:v>31524.23019</x:v>
      </x:c>
      <x:c r="Y382" s="38" t="n">
        <x:f>I382*P382</x:f>
        <x:v>11721.6</x:v>
      </x:c>
      <x:c r="Z382" s="38" t="n">
        <x:f>J382*Q382+K382*P382</x:f>
        <x:v>272.36616</x:v>
      </x:c>
      <x:c r="AA382" s="38" t="n">
        <x:f>M382*R382</x:f>
        <x:v>26911.580857500005</x:v>
      </x:c>
      <x:c r="AB382" s="38" t="n">
        <x:f>SUM(W382:AA382)</x:f>
        <x:v>304143.1108875</x:v>
      </x:c>
      <x:c r="AC382" s="38" t="n">
        <x:v>17.26</x:v>
      </x:c>
      <x:c r="AD382" s="38" t="n">
        <x:v>174.33</x:v>
      </x:c>
      <x:c r="AE382" s="38" t="n">
        <x:v>145.23</x:v>
      </x:c>
      <x:c r="AF382" s="38" t="n">
        <x:v>4.8148</x:v>
      </x:c>
      <x:c r="AG382" s="38" t="n">
        <x:v>5.75</x:v>
      </x:c>
      <x:c r="AH382" s="38" t="n">
        <x:f>IF(E382="Fason",L382*S382,0)</x:f>
        <x:v>0</x:v>
      </x:c>
      <x:c r="AI382" s="38" t="n">
        <x:f>IF(E382="Kurum içi",AC382*AD382+AE382*AF382+AB382*12%,0)</x:f>
        <x:v>40205.3625105</x:v>
      </x:c>
      <x:c r="AJ382" s="38" t="n">
        <x:f>V382*AG382</x:f>
        <x:v>1831.1018172712654</x:v>
      </x:c>
      <x:c r="AK382" s="38" t="n">
        <x:f>AB382*2%</x:f>
        <x:v>6082.86221775</x:v>
      </x:c>
      <x:c r="AL382" s="38" t="n">
        <x:f>AB382+AH382+AI382+AJ382+AK382</x:f>
        <x:v>352262.43743302126</x:v>
      </x:c>
      <x:c r="AM382" s="38" t="n">
        <x:f>AL382/V382</x:f>
        <x:v>1106.1695183385898</x:v>
      </x:c>
      <x:c r="AN382" s="40" t="n">
        <x:f>(W382+X382)/AL382*100</x:f>
        <x:v>75.29544330721663</x:v>
      </x:c>
      <x:c r="AO382" s="28" t="str">
        <x:v>R01-R20; ilgili satırdaki bölgesel fiyat ve maliyet varsayımları</x:v>
      </x:c>
      <x:c r="AP382" s="28" t="str">
        <x:v>Girdi miktarları, alım fiyatı değişimi, fason bedeli ve parti sonucu simüle edilmiştir; işletme kaydı değildir.</x:v>
      </x:c>
    </x:row>
    <x:row r="383" ht="22" customHeight="1">
      <x:c r="A383" t="str">
        <x:v>SUC-0382</x:v>
      </x:c>
      <x:c r="B383" s="36" t="n">
        <x:v>46290</x:v>
      </x:c>
      <x:c r="C383" t="str">
        <x:v>Karadeniz</x:v>
      </x:c>
      <x:c r="D383" t="str">
        <x:v>ERZURUM_CI</x:v>
      </x:c>
      <x:c r="E383" t="str">
        <x:v>Fason</x:v>
      </x:c>
      <x:c r="F383" s="42" t="str">
        <x:v>SENTETİK/SİMÜLE — gerçek parti kaydı değildir</x:v>
      </x:c>
      <x:c r="G383" s="38" t="n">
        <x:v>296.986</x:v>
      </x:c>
      <x:c r="H383" s="38" t="n">
        <x:v>52.032</x:v>
      </x:c>
      <x:c r="I383" s="38" t="n">
        <x:v>16.337</x:v>
      </x:c>
      <x:c r="J383" s="38" t="n">
        <x:v>5.447</x:v>
      </x:c>
      <x:c r="K383" s="38" t="n">
        <x:v>0.377</x:v>
      </x:c>
      <x:c r="L383" s="38" t="n">
        <x:f>SUM(G383:K383)</x:f>
        <x:v>371.179</x:v>
      </x:c>
      <x:c r="M383" s="38" t="n">
        <x:v>472.014</x:v>
      </x:c>
      <x:c r="N383" s="38" t="n">
        <x:v>592.36</x:v>
      </x:c>
      <x:c r="O383" s="38" t="n">
        <x:v>479.01</x:v>
      </x:c>
      <x:c r="P383" s="38" t="n">
        <x:v>400</x:v>
      </x:c>
      <x:c r="Q383" s="38" t="n">
        <x:v>19.88</x:v>
      </x:c>
      <x:c r="R383" s="38" t="n">
        <x:v>43.7475</x:v>
      </x:c>
      <x:c r="S383" s="38" t="n">
        <x:v>117.3</x:v>
      </x:c>
      <x:c r="T383" s="40" t="n">
        <x:v>19.03</x:v>
      </x:c>
      <x:c r="U383" s="40" t="n">
        <x:v>1.47</x:v>
      </x:c>
      <x:c r="V383" s="38" t="n">
        <x:f>L383*(1-T383/100)*(1-U383/100)</x:f>
        <x:v>296.12564484638995</x:v>
      </x:c>
      <x:c r="W383" s="38" t="n">
        <x:f>G383*N383</x:f>
        <x:v>175922.62696</x:v>
      </x:c>
      <x:c r="X383" s="38" t="n">
        <x:f>H383*O383</x:f>
        <x:v>24923.848319999997</x:v>
      </x:c>
      <x:c r="Y383" s="38" t="n">
        <x:f>I383*P383</x:f>
        <x:v>6534.8</x:v>
      </x:c>
      <x:c r="Z383" s="38" t="n">
        <x:f>J383*Q383+K383*P383</x:f>
        <x:v>259.08636</x:v>
      </x:c>
      <x:c r="AA383" s="38" t="n">
        <x:f>M383*R383</x:f>
        <x:v>20649.432465</x:v>
      </x:c>
      <x:c r="AB383" s="38" t="n">
        <x:f>SUM(W383:AA383)</x:f>
        <x:v>228289.79410499995</x:v>
      </x:c>
      <x:c r="AC383" s="38" t="n">
        <x:v>20.21</x:v>
      </x:c>
      <x:c r="AD383" s="38" t="n">
        <x:v>174.33</x:v>
      </x:c>
      <x:c r="AE383" s="38" t="n">
        <x:v>167.76</x:v>
      </x:c>
      <x:c r="AF383" s="38" t="n">
        <x:v>4.8148</x:v>
      </x:c>
      <x:c r="AG383" s="38" t="n">
        <x:v>5.32</x:v>
      </x:c>
      <x:c r="AH383" s="38" t="n">
        <x:f>IF(E383="Fason",L383*S383,0)</x:f>
        <x:v>43539.2967</x:v>
      </x:c>
      <x:c r="AI383" s="38" t="n">
        <x:f>IF(E383="Kurum içi",AC383*AD383+AE383*AF383+AB383*12%,0)</x:f>
        <x:v>0</x:v>
      </x:c>
      <x:c r="AJ383" s="38" t="n">
        <x:f>V383*AG383</x:f>
        <x:v>1575.3884305827946</x:v>
      </x:c>
      <x:c r="AK383" s="38" t="n">
        <x:f>AB383*2%</x:f>
        <x:v>4565.795882099999</x:v>
      </x:c>
      <x:c r="AL383" s="38" t="n">
        <x:f>AB383+AH383+AI383+AJ383+AK383</x:f>
        <x:v>277970.2751176827</x:v>
      </x:c>
      <x:c r="AM383" s="38" t="n">
        <x:f>AL383/V383</x:f>
        <x:v>938.6903159362472</x:v>
      </x:c>
      <x:c r="AN383" s="40" t="n">
        <x:f>(W383+X383)/AL383*100</x:f>
        <x:v>72.25465931383086</x:v>
      </x:c>
      <x:c r="AO383" s="28" t="str">
        <x:v>R01-R20; ilgili satırdaki bölgesel fiyat ve maliyet varsayımları</x:v>
      </x:c>
      <x:c r="AP383" s="28" t="str">
        <x:v>Girdi miktarları, alım fiyatı değişimi, fason bedeli ve parti sonucu simüle edilmiştir; işletme kaydı değildir.</x:v>
      </x:c>
    </x:row>
    <x:row r="384" ht="22" customHeight="1">
      <x:c r="A384" t="str">
        <x:v>SUC-0383</x:v>
      </x:c>
      <x:c r="B384" s="36" t="n">
        <x:v>46316</x:v>
      </x:c>
      <x:c r="C384" t="str">
        <x:v>Doğu Anadolu</x:v>
      </x:c>
      <x:c r="D384" t="str">
        <x:v>ERZURUM_CI</x:v>
      </x:c>
      <x:c r="E384" t="str">
        <x:v>Kurum içi</x:v>
      </x:c>
      <x:c r="F384" s="42" t="str">
        <x:v>SENTETİK/SİMÜLE — gerçek parti kaydı değildir</x:v>
      </x:c>
      <x:c r="G384" s="38" t="n">
        <x:v>218.078</x:v>
      </x:c>
      <x:c r="H384" s="38" t="n">
        <x:v>36.913</x:v>
      </x:c>
      <x:c r="I384" s="38" t="n">
        <x:v>13.14</x:v>
      </x:c>
      <x:c r="J384" s="38" t="n">
        <x:v>4.781</x:v>
      </x:c>
      <x:c r="K384" s="38" t="n">
        <x:v>0.309</x:v>
      </x:c>
      <x:c r="L384" s="38" t="n">
        <x:f>SUM(G384:K384)</x:f>
        <x:v>273.221</x:v>
      </x:c>
      <x:c r="M384" s="38" t="n">
        <x:v>346.946</x:v>
      </x:c>
      <x:c r="N384" s="38" t="n">
        <x:v>588.44</x:v>
      </x:c>
      <x:c r="O384" s="38" t="n">
        <x:v>439.94</x:v>
      </x:c>
      <x:c r="P384" s="38" t="n">
        <x:v>400</x:v>
      </x:c>
      <x:c r="Q384" s="38" t="n">
        <x:v>19.88</x:v>
      </x:c>
      <x:c r="R384" s="38" t="n">
        <x:v>43.7475</x:v>
      </x:c>
      <x:c r="S384" s="38" t="n">
        <x:v>113.42</x:v>
      </x:c>
      <x:c r="T384" s="40" t="n">
        <x:v>29.95</x:v>
      </x:c>
      <x:c r="U384" s="40" t="n">
        <x:v>0.73</x:v>
      </x:c>
      <x:c r="V384" s="38" t="n">
        <x:f>L384*(1-T384/100)*(1-U384/100)</x:f>
        <x:v>189.99415393335002</x:v>
      </x:c>
      <x:c r="W384" s="38" t="n">
        <x:f>G384*N384</x:f>
        <x:v>128325.81832000002</x:v>
      </x:c>
      <x:c r="X384" s="38" t="n">
        <x:f>H384*O384</x:f>
        <x:v>16239.50522</x:v>
      </x:c>
      <x:c r="Y384" s="38" t="n">
        <x:f>I384*P384</x:f>
        <x:v>5256</x:v>
      </x:c>
      <x:c r="Z384" s="38" t="n">
        <x:f>J384*Q384+K384*P384</x:f>
        <x:v>218.64628</x:v>
      </x:c>
      <x:c r="AA384" s="38" t="n">
        <x:f>M384*R384</x:f>
        <x:v>15178.020135000002</x:v>
      </x:c>
      <x:c r="AB384" s="38" t="n">
        <x:f>SUM(W384:AA384)</x:f>
        <x:v>165217.989955</x:v>
      </x:c>
      <x:c r="AC384" s="38" t="n">
        <x:v>10.52</x:v>
      </x:c>
      <x:c r="AD384" s="38" t="n">
        <x:v>174.33</x:v>
      </x:c>
      <x:c r="AE384" s="38" t="n">
        <x:v>76.67</x:v>
      </x:c>
      <x:c r="AF384" s="38" t="n">
        <x:v>4.8148</x:v>
      </x:c>
      <x:c r="AG384" s="38" t="n">
        <x:v>5.21</x:v>
      </x:c>
      <x:c r="AH384" s="38" t="n">
        <x:f>IF(E384="Fason",L384*S384,0)</x:f>
        <x:v>0</x:v>
      </x:c>
      <x:c r="AI384" s="38" t="n">
        <x:f>IF(E384="Kurum içi",AC384*AD384+AE384*AF384+AB384*12%,0)</x:f>
        <x:v>22029.2611106</x:v>
      </x:c>
      <x:c r="AJ384" s="38" t="n">
        <x:f>V384*AG384</x:f>
        <x:v>989.8695419927536</x:v>
      </x:c>
      <x:c r="AK384" s="38" t="n">
        <x:f>AB384*2%</x:f>
        <x:v>3304.3597991</x:v>
      </x:c>
      <x:c r="AL384" s="38" t="n">
        <x:f>AB384+AH384+AI384+AJ384+AK384</x:f>
        <x:v>191541.48040669275</x:v>
      </x:c>
      <x:c r="AM384" s="38" t="n">
        <x:f>AL384/V384</x:f>
        <x:v>1008.1440741270677</x:v>
      </x:c>
      <x:c r="AN384" s="40" t="n">
        <x:f>(W384+X384)/AL384*100</x:f>
        <x:v>75.47468215921165</x:v>
      </x:c>
      <x:c r="AO384" s="28" t="str">
        <x:v>R01-R20; ilgili satırdaki bölgesel fiyat ve maliyet varsayımları</x:v>
      </x:c>
      <x:c r="AP384" s="28" t="str">
        <x:v>Girdi miktarları, alım fiyatı değişimi, fason bedeli ve parti sonucu simüle edilmiştir; işletme kaydı değildir.</x:v>
      </x:c>
    </x:row>
    <x:row r="385" ht="22" customHeight="1">
      <x:c r="A385" t="str">
        <x:v>SUC-0384</x:v>
      </x:c>
      <x:c r="B385" s="36" t="n">
        <x:v>46274</x:v>
      </x:c>
      <x:c r="C385" t="str">
        <x:v>Ege</x:v>
      </x:c>
      <x:c r="D385" t="str">
        <x:v>MEB_STANDART</x:v>
      </x:c>
      <x:c r="E385" t="str">
        <x:v>Kurum içi</x:v>
      </x:c>
      <x:c r="F385" s="42" t="str">
        <x:v>SENTETİK/SİMÜLE — gerçek parti kaydı değildir</x:v>
      </x:c>
      <x:c r="G385" s="38" t="n">
        <x:v>242.051</x:v>
      </x:c>
      <x:c r="H385" s="38" t="n">
        <x:v>75.186</x:v>
      </x:c>
      <x:c r="I385" s="38" t="n">
        <x:v>16.388</x:v>
      </x:c>
      <x:c r="J385" s="38" t="n">
        <x:v>8.971</x:v>
      </x:c>
      <x:c r="K385" s="38" t="n">
        <x:v>3.085</x:v>
      </x:c>
      <x:c r="L385" s="38" t="n">
        <x:f>SUM(G385:K385)</x:f>
        <x:v>345.6809999999999</x:v>
      </x:c>
      <x:c r="M385" s="38" t="n">
        <x:v>456.858</x:v>
      </x:c>
      <x:c r="N385" s="38" t="n">
        <x:v>609.97</x:v>
      </x:c>
      <x:c r="O385" s="38" t="n">
        <x:v>411.5</x:v>
      </x:c>
      <x:c r="P385" s="38" t="n">
        <x:v>669.9</x:v>
      </x:c>
      <x:c r="Q385" s="38" t="n">
        <x:v>19.88</x:v>
      </x:c>
      <x:c r="R385" s="38" t="n">
        <x:v>43.7475</x:v>
      </x:c>
      <x:c r="S385" s="38" t="n">
        <x:v>111.4</x:v>
      </x:c>
      <x:c r="T385" s="40" t="n">
        <x:v>16.23</x:v>
      </x:c>
      <x:c r="U385" s="40" t="n">
        <x:v>0.85</x:v>
      </x:c>
      <x:c r="V385" s="38" t="n">
        <x:f>L385*(1-T385/100)*(1-U385/100)</x:f>
        <x:v>287.11556942354997</x:v>
      </x:c>
      <x:c r="W385" s="38" t="n">
        <x:f>G385*N385</x:f>
        <x:v>147643.84847</x:v>
      </x:c>
      <x:c r="X385" s="38" t="n">
        <x:f>H385*O385</x:f>
        <x:v>30939.039000000004</x:v>
      </x:c>
      <x:c r="Y385" s="38" t="n">
        <x:f>I385*P385</x:f>
        <x:v>10978.3212</x:v>
      </x:c>
      <x:c r="Z385" s="38" t="n">
        <x:f>J385*Q385+K385*P385</x:f>
        <x:v>2244.9849799999997</x:v>
      </x:c>
      <x:c r="AA385" s="38" t="n">
        <x:f>M385*R385</x:f>
        <x:v>19986.395355</x:v>
      </x:c>
      <x:c r="AB385" s="38" t="n">
        <x:f>SUM(W385:AA385)</x:f>
        <x:v>211792.58900500002</x:v>
      </x:c>
      <x:c r="AC385" s="38" t="n">
        <x:v>22.74</x:v>
      </x:c>
      <x:c r="AD385" s="38" t="n">
        <x:v>174.33</x:v>
      </x:c>
      <x:c r="AE385" s="38" t="n">
        <x:v>156.26</x:v>
      </x:c>
      <x:c r="AF385" s="38" t="n">
        <x:v>4.8148</x:v>
      </x:c>
      <x:c r="AG385" s="38" t="n">
        <x:v>5.78</x:v>
      </x:c>
      <x:c r="AH385" s="38" t="n">
        <x:f>IF(E385="Fason",L385*S385,0)</x:f>
        <x:v>0</x:v>
      </x:c>
      <x:c r="AI385" s="38" t="n">
        <x:f>IF(E385="Kurum içi",AC385*AD385+AE385*AF385+AB385*12%,0)</x:f>
        <x:v>30131.735528600002</x:v>
      </x:c>
      <x:c r="AJ385" s="38" t="n">
        <x:f>V385*AG385</x:f>
        <x:v>1659.527991268119</x:v>
      </x:c>
      <x:c r="AK385" s="38" t="n">
        <x:f>AB385*2%</x:f>
        <x:v>4235.851780100001</x:v>
      </x:c>
      <x:c r="AL385" s="38" t="n">
        <x:f>AB385+AH385+AI385+AJ385+AK385</x:f>
        <x:v>247819.70430496812</x:v>
      </x:c>
      <x:c r="AM385" s="38" t="n">
        <x:f>AL385/V385</x:f>
        <x:v>863.1357219760765</x:v>
      </x:c>
      <x:c r="AN385" s="40" t="n">
        <x:f>(W385+X385)/AL385*100</x:f>
        <x:v>72.0616175258748</x:v>
      </x:c>
      <x:c r="AO385" s="28" t="str">
        <x:v>R01-R20; ilgili satırdaki bölgesel fiyat ve maliyet varsayımları</x:v>
      </x:c>
      <x:c r="AP385" s="28" t="str">
        <x:v>Girdi miktarları, alım fiyatı değişimi, fason bedeli ve parti sonucu simüle edilmiştir; işletme kaydı değildir.</x:v>
      </x:c>
    </x:row>
    <x:row r="386" ht="22" customHeight="1">
      <x:c r="A386" t="str">
        <x:v>SUC-0385</x:v>
      </x:c>
      <x:c r="B386" s="36" t="n">
        <x:v>46281</x:v>
      </x:c>
      <x:c r="C386" t="str">
        <x:v>İç Anadolu</x:v>
      </x:c>
      <x:c r="D386" t="str">
        <x:v>MEB_STANDART</x:v>
      </x:c>
      <x:c r="E386" t="str">
        <x:v>Fason</x:v>
      </x:c>
      <x:c r="F386" s="42" t="str">
        <x:v>SENTETİK/SİMÜLE — gerçek parti kaydı değildir</x:v>
      </x:c>
      <x:c r="G386" s="38" t="n">
        <x:v>292.959</x:v>
      </x:c>
      <x:c r="H386" s="38" t="n">
        <x:v>90.34</x:v>
      </x:c>
      <x:c r="I386" s="38" t="n">
        <x:v>20.27</x:v>
      </x:c>
      <x:c r="J386" s="38" t="n">
        <x:v>10.243</x:v>
      </x:c>
      <x:c r="K386" s="38" t="n">
        <x:v>4.17</x:v>
      </x:c>
      <x:c r="L386" s="38" t="n">
        <x:f>SUM(G386:K386)</x:f>
        <x:v>417.98199999999997</x:v>
      </x:c>
      <x:c r="M386" s="38" t="n">
        <x:v>520.793</x:v>
      </x:c>
      <x:c r="N386" s="38" t="n">
        <x:v>594.99</x:v>
      </x:c>
      <x:c r="O386" s="38" t="n">
        <x:v>481.4</x:v>
      </x:c>
      <x:c r="P386" s="38" t="n">
        <x:v>400</x:v>
      </x:c>
      <x:c r="Q386" s="38" t="n">
        <x:v>19.88</x:v>
      </x:c>
      <x:c r="R386" s="38" t="n">
        <x:v>43.7475</x:v>
      </x:c>
      <x:c r="S386" s="38" t="n">
        <x:v>91.69</x:v>
      </x:c>
      <x:c r="T386" s="40" t="n">
        <x:v>25.67</x:v>
      </x:c>
      <x:c r="U386" s="40" t="n">
        <x:v>1.42</x:v>
      </x:c>
      <x:c r="V386" s="38" t="n">
        <x:f>L386*(1-T386/100)*(1-U386/100)</x:f>
        <x:v>306.27427910747997</x:v>
      </x:c>
      <x:c r="W386" s="38" t="n">
        <x:f>G386*N386</x:f>
        <x:v>174307.67541</x:v>
      </x:c>
      <x:c r="X386" s="38" t="n">
        <x:f>H386*O386</x:f>
        <x:v>43489.676</x:v>
      </x:c>
      <x:c r="Y386" s="38" t="n">
        <x:f>I386*P386</x:f>
        <x:v>8108</x:v>
      </x:c>
      <x:c r="Z386" s="38" t="n">
        <x:f>J386*Q386+K386*P386</x:f>
        <x:v>1871.63084</x:v>
      </x:c>
      <x:c r="AA386" s="38" t="n">
        <x:f>M386*R386</x:f>
        <x:v>22783.3917675</x:v>
      </x:c>
      <x:c r="AB386" s="38" t="n">
        <x:f>SUM(W386:AA386)</x:f>
        <x:v>250560.3740175</x:v>
      </x:c>
      <x:c r="AC386" s="38" t="n">
        <x:v>22.82</x:v>
      </x:c>
      <x:c r="AD386" s="38" t="n">
        <x:v>174.33</x:v>
      </x:c>
      <x:c r="AE386" s="38" t="n">
        <x:v>198.72</x:v>
      </x:c>
      <x:c r="AF386" s="38" t="n">
        <x:v>4.8148</x:v>
      </x:c>
      <x:c r="AG386" s="38" t="n">
        <x:v>5.54</x:v>
      </x:c>
      <x:c r="AH386" s="38" t="n">
        <x:f>IF(E386="Fason",L386*S386,0)</x:f>
        <x:v>38324.76957999999</x:v>
      </x:c>
      <x:c r="AI386" s="38" t="n">
        <x:f>IF(E386="Kurum içi",AC386*AD386+AE386*AF386+AB386*12%,0)</x:f>
        <x:v>0</x:v>
      </x:c>
      <x:c r="AJ386" s="38" t="n">
        <x:f>V386*AG386</x:f>
        <x:v>1696.759506255439</x:v>
      </x:c>
      <x:c r="AK386" s="38" t="n">
        <x:f>AB386*2%</x:f>
        <x:v>5011.20748035</x:v>
      </x:c>
      <x:c r="AL386" s="38" t="n">
        <x:f>AB386+AH386+AI386+AJ386+AK386</x:f>
        <x:v>295593.1105841054</x:v>
      </x:c>
      <x:c r="AM386" s="38" t="n">
        <x:f>AL386/V386</x:f>
        <x:v>965.125479832976</x:v>
      </x:c>
      <x:c r="AN386" s="40" t="n">
        <x:f>(W386+X386)/AL386*100</x:f>
        <x:v>73.6814707824626</x:v>
      </x:c>
      <x:c r="AO386" s="28" t="str">
        <x:v>R01-R20; ilgili satırdaki bölgesel fiyat ve maliyet varsayımları</x:v>
      </x:c>
      <x:c r="AP386" s="28" t="str">
        <x:v>Girdi miktarları, alım fiyatı değişimi, fason bedeli ve parti sonucu simüle edilmiştir; işletme kaydı değildir.</x:v>
      </x:c>
    </x:row>
    <x:row r="387" ht="22" customHeight="1">
      <x:c r="A387" t="str">
        <x:v>SUC-0386</x:v>
      </x:c>
      <x:c r="B387" s="36" t="n">
        <x:v>46297</x:v>
      </x:c>
      <x:c r="C387" t="str">
        <x:v>Karadeniz</x:v>
      </x:c>
      <x:c r="D387" t="str">
        <x:v>MEB_STANDART</x:v>
      </x:c>
      <x:c r="E387" t="str">
        <x:v>Kurum içi</x:v>
      </x:c>
      <x:c r="F387" s="42" t="str">
        <x:v>SENTETİK/SİMÜLE — gerçek parti kaydı değildir</x:v>
      </x:c>
      <x:c r="G387" s="38" t="n">
        <x:v>143.163</x:v>
      </x:c>
      <x:c r="H387" s="38" t="n">
        <x:v>46.905</x:v>
      </x:c>
      <x:c r="I387" s="38" t="n">
        <x:v>9.299</x:v>
      </x:c>
      <x:c r="J387" s="38" t="n">
        <x:v>5.199</x:v>
      </x:c>
      <x:c r="K387" s="38" t="n">
        <x:v>2.034</x:v>
      </x:c>
      <x:c r="L387" s="38" t="n">
        <x:f>SUM(G387:K387)</x:f>
        <x:v>206.60000000000002</x:v>
      </x:c>
      <x:c r="M387" s="38" t="n">
        <x:v>251.488</x:v>
      </x:c>
      <x:c r="N387" s="38" t="n">
        <x:v>607.27</x:v>
      </x:c>
      <x:c r="O387" s="38" t="n">
        <x:v>439.56</x:v>
      </x:c>
      <x:c r="P387" s="38" t="n">
        <x:v>550</x:v>
      </x:c>
      <x:c r="Q387" s="38" t="n">
        <x:v>19.88</x:v>
      </x:c>
      <x:c r="R387" s="38" t="n">
        <x:v>43.7475</x:v>
      </x:c>
      <x:c r="S387" s="38" t="n">
        <x:v>67.92</x:v>
      </x:c>
      <x:c r="T387" s="40" t="n">
        <x:v>33.28</x:v>
      </x:c>
      <x:c r="U387" s="40" t="n">
        <x:v>1.71</x:v>
      </x:c>
      <x:c r="V387" s="38" t="n">
        <x:f>L387*(1-T387/100)*(1-U387/100)</x:f>
        <x:v>135.486395808</x:v>
      </x:c>
      <x:c r="W387" s="38" t="n">
        <x:f>G387*N387</x:f>
        <x:v>86938.59501</x:v>
      </x:c>
      <x:c r="X387" s="38" t="n">
        <x:f>H387*O387</x:f>
        <x:v>20617.5618</x:v>
      </x:c>
      <x:c r="Y387" s="38" t="n">
        <x:f>I387*P387</x:f>
        <x:v>5114.45</x:v>
      </x:c>
      <x:c r="Z387" s="38" t="n">
        <x:f>J387*Q387+K387*P387</x:f>
        <x:v>1222.0561199999997</x:v>
      </x:c>
      <x:c r="AA387" s="38" t="n">
        <x:f>M387*R387</x:f>
        <x:v>11001.97128</x:v>
      </x:c>
      <x:c r="AB387" s="38" t="n">
        <x:f>SUM(W387:AA387)</x:f>
        <x:v>124894.63420999999</x:v>
      </x:c>
      <x:c r="AC387" s="38" t="n">
        <x:v>7.42</x:v>
      </x:c>
      <x:c r="AD387" s="38" t="n">
        <x:v>174.33</x:v>
      </x:c>
      <x:c r="AE387" s="38" t="n">
        <x:v>54.31</x:v>
      </x:c>
      <x:c r="AF387" s="38" t="n">
        <x:v>4.8148</x:v>
      </x:c>
      <x:c r="AG387" s="38" t="n">
        <x:v>5.36</x:v>
      </x:c>
      <x:c r="AH387" s="38" t="n">
        <x:f>IF(E387="Fason",L387*S387,0)</x:f>
        <x:v>0</x:v>
      </x:c>
      <x:c r="AI387" s="38" t="n">
        <x:f>IF(E387="Kurum içi",AC387*AD387+AE387*AF387+AB387*12%,0)</x:f>
        <x:v>16542.376493199998</x:v>
      </x:c>
      <x:c r="AJ387" s="38" t="n">
        <x:f>V387*AG387</x:f>
        <x:v>726.20708153088</x:v>
      </x:c>
      <x:c r="AK387" s="38" t="n">
        <x:f>AB387*2%</x:f>
        <x:v>2497.8926841999996</x:v>
      </x:c>
      <x:c r="AL387" s="38" t="n">
        <x:f>AB387+AH387+AI387+AJ387+AK387</x:f>
        <x:v>144661.11046893086</x:v>
      </x:c>
      <x:c r="AM387" s="38" t="n">
        <x:f>AL387/V387</x:f>
        <x:v>1067.7168700681395</x:v>
      </x:c>
      <x:c r="AN387" s="40" t="n">
        <x:f>(W387+X387)/AL387*100</x:f>
        <x:v>74.35042940106563</x:v>
      </x:c>
      <x:c r="AO387" s="28" t="str">
        <x:v>R01-R20; ilgili satırdaki bölgesel fiyat ve maliyet varsayımları</x:v>
      </x:c>
      <x:c r="AP387" s="28" t="str">
        <x:v>Girdi miktarları, alım fiyatı değişimi, fason bedeli ve parti sonucu simüle edilmiştir; işletme kaydı değildir.</x:v>
      </x:c>
    </x:row>
    <x:row r="388" ht="22" customHeight="1">
      <x:c r="A388" t="str">
        <x:v>SUC-0387</x:v>
      </x:c>
      <x:c r="B388" s="36" t="n">
        <x:v>46317</x:v>
      </x:c>
      <x:c r="C388" t="str">
        <x:v>Ege</x:v>
      </x:c>
      <x:c r="D388" t="str">
        <x:v>MEB_STANDART</x:v>
      </x:c>
      <x:c r="E388" t="str">
        <x:v>Fason</x:v>
      </x:c>
      <x:c r="F388" s="42" t="str">
        <x:v>SENTETİK/SİMÜLE — gerçek parti kaydı değildir</x:v>
      </x:c>
      <x:c r="G388" s="38" t="n">
        <x:v>219.248</x:v>
      </x:c>
      <x:c r="H388" s="38" t="n">
        <x:v>69.128</x:v>
      </x:c>
      <x:c r="I388" s="38" t="n">
        <x:v>14.022</x:v>
      </x:c>
      <x:c r="J388" s="38" t="n">
        <x:v>8.287</x:v>
      </x:c>
      <x:c r="K388" s="38" t="n">
        <x:v>3.112</x:v>
      </x:c>
      <x:c r="L388" s="38" t="n">
        <x:f>SUM(G388:K388)</x:f>
        <x:v>313.79699999999997</x:v>
      </x:c>
      <x:c r="M388" s="38" t="n">
        <x:v>378.465</x:v>
      </x:c>
      <x:c r="N388" s="38" t="n">
        <x:v>583.17</x:v>
      </x:c>
      <x:c r="O388" s="38" t="n">
        <x:v>443.72</x:v>
      </x:c>
      <x:c r="P388" s="38" t="n">
        <x:v>400</x:v>
      </x:c>
      <x:c r="Q388" s="38" t="n">
        <x:v>19.88</x:v>
      </x:c>
      <x:c r="R388" s="38" t="n">
        <x:v>43.7475</x:v>
      </x:c>
      <x:c r="S388" s="38" t="n">
        <x:v>110.02</x:v>
      </x:c>
      <x:c r="T388" s="40" t="n">
        <x:v>20.45</x:v>
      </x:c>
      <x:c r="U388" s="40" t="n">
        <x:v>1.72</x:v>
      </x:c>
      <x:c r="V388" s="38" t="n">
        <x:f>L388*(1-T388/100)*(1-U388/100)</x:f>
        <x:v>245.33195466779998</x:v>
      </x:c>
      <x:c r="W388" s="38" t="n">
        <x:f>G388*N388</x:f>
        <x:v>127858.85615999998</x:v>
      </x:c>
      <x:c r="X388" s="38" t="n">
        <x:f>H388*O388</x:f>
        <x:v>30673.476160000002</x:v>
      </x:c>
      <x:c r="Y388" s="38" t="n">
        <x:f>I388*P388</x:f>
        <x:v>5608.8</x:v>
      </x:c>
      <x:c r="Z388" s="38" t="n">
        <x:f>J388*Q388+K388*P388</x:f>
        <x:v>1409.54556</x:v>
      </x:c>
      <x:c r="AA388" s="38" t="n">
        <x:f>M388*R388</x:f>
        <x:v>16556.8975875</x:v>
      </x:c>
      <x:c r="AB388" s="38" t="n">
        <x:f>SUM(W388:AA388)</x:f>
        <x:v>182107.57546749996</x:v>
      </x:c>
      <x:c r="AC388" s="38" t="n">
        <x:v>11.55</x:v>
      </x:c>
      <x:c r="AD388" s="38" t="n">
        <x:v>174.33</x:v>
      </x:c>
      <x:c r="AE388" s="38" t="n">
        <x:v>86.39</x:v>
      </x:c>
      <x:c r="AF388" s="38" t="n">
        <x:v>4.8148</x:v>
      </x:c>
      <x:c r="AG388" s="38" t="n">
        <x:v>5.68</x:v>
      </x:c>
      <x:c r="AH388" s="38" t="n">
        <x:f>IF(E388="Fason",L388*S388,0)</x:f>
        <x:v>34523.94594</x:v>
      </x:c>
      <x:c r="AI388" s="38" t="n">
        <x:f>IF(E388="Kurum içi",AC388*AD388+AE388*AF388+AB388*12%,0)</x:f>
        <x:v>0</x:v>
      </x:c>
      <x:c r="AJ388" s="38" t="n">
        <x:f>V388*AG388</x:f>
        <x:v>1393.4855025131037</x:v>
      </x:c>
      <x:c r="AK388" s="38" t="n">
        <x:f>AB388*2%</x:f>
        <x:v>3642.1515093499993</x:v>
      </x:c>
      <x:c r="AL388" s="38" t="n">
        <x:f>AB388+AH388+AI388+AJ388+AK388</x:f>
        <x:v>221667.15841936306</x:v>
      </x:c>
      <x:c r="AM388" s="38" t="n">
        <x:f>AL388/V388</x:f>
        <x:v>903.5396906184478</x:v>
      </x:c>
      <x:c r="AN388" s="40" t="n">
        <x:f>(W388+X388)/AL388*100</x:f>
        <x:v>71.5181867491977</x:v>
      </x:c>
      <x:c r="AO388" s="28" t="str">
        <x:v>R01-R20; ilgili satırdaki bölgesel fiyat ve maliyet varsayımları</x:v>
      </x:c>
      <x:c r="AP388" s="28" t="str">
        <x:v>Girdi miktarları, alım fiyatı değişimi, fason bedeli ve parti sonucu simüle edilmiştir; işletme kaydı değildir.</x:v>
      </x:c>
    </x:row>
    <x:row r="389" ht="22" customHeight="1">
      <x:c r="A389" t="str">
        <x:v>SUC-0388</x:v>
      </x:c>
      <x:c r="B389" s="36" t="n">
        <x:v>46298</x:v>
      </x:c>
      <x:c r="C389" t="str">
        <x:v>Akdeniz</x:v>
      </x:c>
      <x:c r="D389" t="str">
        <x:v>MEB_STANDART</x:v>
      </x:c>
      <x:c r="E389" t="str">
        <x:v>Fason</x:v>
      </x:c>
      <x:c r="F389" s="42" t="str">
        <x:v>SENTETİK/SİMÜLE — gerçek parti kaydı değildir</x:v>
      </x:c>
      <x:c r="G389" s="38" t="n">
        <x:v>136.417</x:v>
      </x:c>
      <x:c r="H389" s="38" t="n">
        <x:v>42.682</x:v>
      </x:c>
      <x:c r="I389" s="38" t="n">
        <x:v>9.183</x:v>
      </x:c>
      <x:c r="J389" s="38" t="n">
        <x:v>5.029</x:v>
      </x:c>
      <x:c r="K389" s="38" t="n">
        <x:v>1.936</x:v>
      </x:c>
      <x:c r="L389" s="38" t="n">
        <x:f>SUM(G389:K389)</x:f>
        <x:v>195.24699999999999</x:v>
      </x:c>
      <x:c r="M389" s="38" t="n">
        <x:v>233.961</x:v>
      </x:c>
      <x:c r="N389" s="38" t="n">
        <x:v>573.57</x:v>
      </x:c>
      <x:c r="O389" s="38" t="n">
        <x:v>455</x:v>
      </x:c>
      <x:c r="P389" s="38" t="n">
        <x:v>669.9</x:v>
      </x:c>
      <x:c r="Q389" s="38" t="n">
        <x:v>19.88</x:v>
      </x:c>
      <x:c r="R389" s="38" t="n">
        <x:v>43.7475</x:v>
      </x:c>
      <x:c r="S389" s="38" t="n">
        <x:v>106.87</x:v>
      </x:c>
      <x:c r="T389" s="40" t="n">
        <x:v>22.83</x:v>
      </x:c>
      <x:c r="U389" s="40" t="n">
        <x:v>1.48</x:v>
      </x:c>
      <x:c r="V389" s="38" t="n">
        <x:f>L389*(1-T389/100)*(1-U389/100)</x:f>
        <x:v>148.44216267348</x:v>
      </x:c>
      <x:c r="W389" s="38" t="n">
        <x:f>G389*N389</x:f>
        <x:v>78244.69869</x:v>
      </x:c>
      <x:c r="X389" s="38" t="n">
        <x:f>H389*O389</x:f>
        <x:v>19420.31</x:v>
      </x:c>
      <x:c r="Y389" s="38" t="n">
        <x:f>I389*P389</x:f>
        <x:v>6151.691699999999</x:v>
      </x:c>
      <x:c r="Z389" s="38" t="n">
        <x:f>J389*Q389+K389*P389</x:f>
        <x:v>1396.9029199999998</x:v>
      </x:c>
      <x:c r="AA389" s="38" t="n">
        <x:f>M389*R389</x:f>
        <x:v>10235.208847500002</x:v>
      </x:c>
      <x:c r="AB389" s="38" t="n">
        <x:f>SUM(W389:AA389)</x:f>
        <x:v>115448.8121575</x:v>
      </x:c>
      <x:c r="AC389" s="38" t="n">
        <x:v>8.26</x:v>
      </x:c>
      <x:c r="AD389" s="38" t="n">
        <x:v>174.33</x:v>
      </x:c>
      <x:c r="AE389" s="38" t="n">
        <x:v>87.88</x:v>
      </x:c>
      <x:c r="AF389" s="38" t="n">
        <x:v>4.8148</x:v>
      </x:c>
      <x:c r="AG389" s="38" t="n">
        <x:v>5.11</x:v>
      </x:c>
      <x:c r="AH389" s="38" t="n">
        <x:f>IF(E389="Fason",L389*S389,0)</x:f>
        <x:v>20866.046889999998</x:v>
      </x:c>
      <x:c r="AI389" s="38" t="n">
        <x:f>IF(E389="Kurum içi",AC389*AD389+AE389*AF389+AB389*12%,0)</x:f>
        <x:v>0</x:v>
      </x:c>
      <x:c r="AJ389" s="38" t="n">
        <x:f>V389*AG389</x:f>
        <x:v>758.5394512614829</x:v>
      </x:c>
      <x:c r="AK389" s="38" t="n">
        <x:f>AB389*2%</x:f>
        <x:v>2308.97624315</x:v>
      </x:c>
      <x:c r="AL389" s="38" t="n">
        <x:f>AB389+AH389+AI389+AJ389+AK389</x:f>
        <x:v>139382.3747419115</x:v>
      </x:c>
      <x:c r="AM389" s="38" t="n">
        <x:f>AL389/V389</x:f>
        <x:v>938.9675563303615</x:v>
      </x:c>
      <x:c r="AN389" s="40" t="n">
        <x:f>(W389+X389)/AL389*100</x:f>
        <x:v>70.06984123411743</x:v>
      </x:c>
      <x:c r="AO389" s="28" t="str">
        <x:v>R01-R20; ilgili satırdaki bölgesel fiyat ve maliyet varsayımları</x:v>
      </x:c>
      <x:c r="AP389" s="28" t="str">
        <x:v>Girdi miktarları, alım fiyatı değişimi, fason bedeli ve parti sonucu simüle edilmiştir; işletme kaydı değildir.</x:v>
      </x:c>
    </x:row>
    <x:row r="390" ht="22" customHeight="1">
      <x:c r="A390" t="str">
        <x:v>SUC-0389</x:v>
      </x:c>
      <x:c r="B390" s="36" t="n">
        <x:v>46297</x:v>
      </x:c>
      <x:c r="C390" t="str">
        <x:v>Marmara</x:v>
      </x:c>
      <x:c r="D390" t="str">
        <x:v>MEB_STANDART</x:v>
      </x:c>
      <x:c r="E390" t="str">
        <x:v>Kurum içi</x:v>
      </x:c>
      <x:c r="F390" s="42" t="str">
        <x:v>SENTETİK/SİMÜLE — gerçek parti kaydı değildir</x:v>
      </x:c>
      <x:c r="G390" s="38" t="n">
        <x:v>215.898</x:v>
      </x:c>
      <x:c r="H390" s="38" t="n">
        <x:v>65.367</x:v>
      </x:c>
      <x:c r="I390" s="38" t="n">
        <x:v>14.747</x:v>
      </x:c>
      <x:c r="J390" s="38" t="n">
        <x:v>7.731</x:v>
      </x:c>
      <x:c r="K390" s="38" t="n">
        <x:v>3.115</x:v>
      </x:c>
      <x:c r="L390" s="38" t="n">
        <x:f>SUM(G390:K390)</x:f>
        <x:v>306.858</x:v>
      </x:c>
      <x:c r="M390" s="38" t="n">
        <x:v>391.208</x:v>
      </x:c>
      <x:c r="N390" s="38" t="n">
        <x:v>590.68</x:v>
      </x:c>
      <x:c r="O390" s="38" t="n">
        <x:v>412.64</x:v>
      </x:c>
      <x:c r="P390" s="38" t="n">
        <x:v>400</x:v>
      </x:c>
      <x:c r="Q390" s="38" t="n">
        <x:v>19.88</x:v>
      </x:c>
      <x:c r="R390" s="38" t="n">
        <x:v>43.7475</x:v>
      </x:c>
      <x:c r="S390" s="38" t="n">
        <x:v>101.79</x:v>
      </x:c>
      <x:c r="T390" s="40" t="n">
        <x:v>23.75</x:v>
      </x:c>
      <x:c r="U390" s="40" t="n">
        <x:v>0.38</x:v>
      </x:c>
      <x:c r="V390" s="38" t="n">
        <x:f>L390*(1-T390/100)*(1-U390/100)</x:f>
        <x:v>233.09010394499998</x:v>
      </x:c>
      <x:c r="W390" s="38" t="n">
        <x:f>G390*N390</x:f>
        <x:v>127526.63063999999</x:v>
      </x:c>
      <x:c r="X390" s="38" t="n">
        <x:f>H390*O390</x:f>
        <x:v>26973.03888</x:v>
      </x:c>
      <x:c r="Y390" s="38" t="n">
        <x:f>I390*P390</x:f>
        <x:v>5898.8</x:v>
      </x:c>
      <x:c r="Z390" s="38" t="n">
        <x:f>J390*Q390+K390*P390</x:f>
        <x:v>1399.69228</x:v>
      </x:c>
      <x:c r="AA390" s="38" t="n">
        <x:f>M390*R390</x:f>
        <x:v>17114.371980000004</x:v>
      </x:c>
      <x:c r="AB390" s="38" t="n">
        <x:f>SUM(W390:AA390)</x:f>
        <x:v>178912.53377999997</x:v>
      </x:c>
      <x:c r="AC390" s="38" t="n">
        <x:v>12.12</x:v>
      </x:c>
      <x:c r="AD390" s="38" t="n">
        <x:v>174.33</x:v>
      </x:c>
      <x:c r="AE390" s="38" t="n">
        <x:v>83.16</x:v>
      </x:c>
      <x:c r="AF390" s="38" t="n">
        <x:v>4.8148</x:v>
      </x:c>
      <x:c r="AG390" s="38" t="n">
        <x:v>5.34</x:v>
      </x:c>
      <x:c r="AH390" s="38" t="n">
        <x:f>IF(E390="Fason",L390*S390,0)</x:f>
        <x:v>0</x:v>
      </x:c>
      <x:c r="AI390" s="38" t="n">
        <x:f>IF(E390="Kurum içi",AC390*AD390+AE390*AF390+AB390*12%,0)</x:f>
        <x:v>23982.782421599994</x:v>
      </x:c>
      <x:c r="AJ390" s="38" t="n">
        <x:f>V390*AG390</x:f>
        <x:v>1244.7011550662999</x:v>
      </x:c>
      <x:c r="AK390" s="38" t="n">
        <x:f>AB390*2%</x:f>
        <x:v>3578.2506755999993</x:v>
      </x:c>
      <x:c r="AL390" s="38" t="n">
        <x:f>AB390+AH390+AI390+AJ390+AK390</x:f>
        <x:v>207718.26803226623</x:v>
      </x:c>
      <x:c r="AM390" s="38" t="n">
        <x:f>AL390/V390</x:f>
        <x:v>891.1500939622881</x:v>
      </x:c>
      <x:c r="AN390" s="40" t="n">
        <x:f>(W390+X390)/AL390*100</x:f>
        <x:v>74.37943276900448</x:v>
      </x:c>
      <x:c r="AO390" s="28" t="str">
        <x:v>R01-R20; ilgili satırdaki bölgesel fiyat ve maliyet varsayımları</x:v>
      </x:c>
      <x:c r="AP390" s="28" t="str">
        <x:v>Girdi miktarları, alım fiyatı değişimi, fason bedeli ve parti sonucu simüle edilmiştir; işletme kaydı değildir.</x:v>
      </x:c>
    </x:row>
    <x:row r="391" ht="22" customHeight="1">
      <x:c r="A391" t="str">
        <x:v>SUC-0390</x:v>
      </x:c>
      <x:c r="B391" s="36" t="n">
        <x:v>46276</x:v>
      </x:c>
      <x:c r="C391" t="str">
        <x:v>Ege</x:v>
      </x:c>
      <x:c r="D391" t="str">
        <x:v>ERZURUM_CI</x:v>
      </x:c>
      <x:c r="E391" t="str">
        <x:v>Kurum içi</x:v>
      </x:c>
      <x:c r="F391" s="42" t="str">
        <x:v>SENTETİK/SİMÜLE — gerçek parti kaydı değildir</x:v>
      </x:c>
      <x:c r="G391" s="38" t="n">
        <x:v>231.033</x:v>
      </x:c>
      <x:c r="H391" s="38" t="n">
        <x:v>42.81</x:v>
      </x:c>
      <x:c r="I391" s="38" t="n">
        <x:v>13.203</x:v>
      </x:c>
      <x:c r="J391" s="38" t="n">
        <x:v>4.511</x:v>
      </x:c>
      <x:c r="K391" s="38" t="n">
        <x:v>0.17</x:v>
      </x:c>
      <x:c r="L391" s="38" t="n">
        <x:f>SUM(G391:K391)</x:f>
        <x:v>291.727</x:v>
      </x:c>
      <x:c r="M391" s="38" t="n">
        <x:v>358.007</x:v>
      </x:c>
      <x:c r="N391" s="38" t="n">
        <x:v>587.45</x:v>
      </x:c>
      <x:c r="O391" s="38" t="n">
        <x:v>411.36</x:v>
      </x:c>
      <x:c r="P391" s="38" t="n">
        <x:v>669.9</x:v>
      </x:c>
      <x:c r="Q391" s="38" t="n">
        <x:v>19.88</x:v>
      </x:c>
      <x:c r="R391" s="38" t="n">
        <x:v>43.7475</x:v>
      </x:c>
      <x:c r="S391" s="38" t="n">
        <x:v>122.27</x:v>
      </x:c>
      <x:c r="T391" s="40" t="n">
        <x:v>17.23</x:v>
      </x:c>
      <x:c r="U391" s="40" t="n">
        <x:v>1.25</x:v>
      </x:c>
      <x:c r="V391" s="38" t="n">
        <x:f>L391*(1-T391/100)*(1-U391/100)</x:f>
        <x:v>238.44415742624997</x:v>
      </x:c>
      <x:c r="W391" s="38" t="n">
        <x:f>G391*N391</x:f>
        <x:v>135720.33585</x:v>
      </x:c>
      <x:c r="X391" s="38" t="n">
        <x:f>H391*O391</x:f>
        <x:v>17610.321600000003</x:v>
      </x:c>
      <x:c r="Y391" s="38" t="n">
        <x:f>I391*P391</x:f>
        <x:v>8844.689699999999</x:v>
      </x:c>
      <x:c r="Z391" s="38" t="n">
        <x:f>J391*Q391+K391*P391</x:f>
        <x:v>203.56168000000002</x:v>
      </x:c>
      <x:c r="AA391" s="38" t="n">
        <x:f>M391*R391</x:f>
        <x:v>15661.9112325</x:v>
      </x:c>
      <x:c r="AB391" s="38" t="n">
        <x:f>SUM(W391:AA391)</x:f>
        <x:v>178040.8200625</x:v>
      </x:c>
      <x:c r="AC391" s="38" t="n">
        <x:v>10.8</x:v>
      </x:c>
      <x:c r="AD391" s="38" t="n">
        <x:v>174.33</x:v>
      </x:c>
      <x:c r="AE391" s="38" t="n">
        <x:v>97.57</x:v>
      </x:c>
      <x:c r="AF391" s="38" t="n">
        <x:v>4.8148</x:v>
      </x:c>
      <x:c r="AG391" s="38" t="n">
        <x:v>5.47</x:v>
      </x:c>
      <x:c r="AH391" s="38" t="n">
        <x:f>IF(E391="Fason",L391*S391,0)</x:f>
        <x:v>0</x:v>
      </x:c>
      <x:c r="AI391" s="38" t="n">
        <x:f>IF(E391="Kurum içi",AC391*AD391+AE391*AF391+AB391*12%,0)</x:f>
        <x:v>23717.442443499996</x:v>
      </x:c>
      <x:c r="AJ391" s="38" t="n">
        <x:f>V391*AG391</x:f>
        <x:v>1304.2895411215873</x:v>
      </x:c>
      <x:c r="AK391" s="38" t="n">
        <x:f>AB391*2%</x:f>
        <x:v>3560.8164012499997</x:v>
      </x:c>
      <x:c r="AL391" s="38" t="n">
        <x:f>AB391+AH391+AI391+AJ391+AK391</x:f>
        <x:v>206623.3684483716</x:v>
      </x:c>
      <x:c r="AM391" s="38" t="n">
        <x:f>AL391/V391</x:f>
        <x:v>866.5482546464974</x:v>
      </x:c>
      <x:c r="AN391" s="40" t="n">
        <x:f>(W391+X391)/AL391*100</x:f>
        <x:v>74.20780069622779</x:v>
      </x:c>
      <x:c r="AO391" s="28" t="str">
        <x:v>R01-R20; ilgili satırdaki bölgesel fiyat ve maliyet varsayımları</x:v>
      </x:c>
      <x:c r="AP391" s="28" t="str">
        <x:v>Girdi miktarları, alım fiyatı değişimi, fason bedeli ve parti sonucu simüle edilmiştir; işletme kaydı değildir.</x:v>
      </x:c>
    </x:row>
    <x:row r="392" ht="22" customHeight="1">
      <x:c r="A392" t="str">
        <x:v>SUC-0391</x:v>
      </x:c>
      <x:c r="B392" s="36" t="n">
        <x:v>46288</x:v>
      </x:c>
      <x:c r="C392" t="str">
        <x:v>Akdeniz</x:v>
      </x:c>
      <x:c r="D392" t="str">
        <x:v>ERZURUM_CI</x:v>
      </x:c>
      <x:c r="E392" t="str">
        <x:v>Fason</x:v>
      </x:c>
      <x:c r="F392" s="42" t="str">
        <x:v>SENTETİK/SİMÜLE — gerçek parti kaydı değildir</x:v>
      </x:c>
      <x:c r="G392" s="38" t="n">
        <x:v>254.384</x:v>
      </x:c>
      <x:c r="H392" s="38" t="n">
        <x:v>46.775</x:v>
      </x:c>
      <x:c r="I392" s="38" t="n">
        <x:v>15.354</x:v>
      </x:c>
      <x:c r="J392" s="38" t="n">
        <x:v>5.568</x:v>
      </x:c>
      <x:c r="K392" s="38" t="n">
        <x:v>0.636</x:v>
      </x:c>
      <x:c r="L392" s="38" t="n">
        <x:f>SUM(G392:K392)</x:f>
        <x:v>322.717</x:v>
      </x:c>
      <x:c r="M392" s="38" t="n">
        <x:v>416.565</x:v>
      </x:c>
      <x:c r="N392" s="38" t="n">
        <x:v>575.87</x:v>
      </x:c>
      <x:c r="O392" s="38" t="n">
        <x:v>441.52</x:v>
      </x:c>
      <x:c r="P392" s="38" t="n">
        <x:v>550</x:v>
      </x:c>
      <x:c r="Q392" s="38" t="n">
        <x:v>19.88</x:v>
      </x:c>
      <x:c r="R392" s="38" t="n">
        <x:v>43.7475</x:v>
      </x:c>
      <x:c r="S392" s="38" t="n">
        <x:v>68.52</x:v>
      </x:c>
      <x:c r="T392" s="40" t="n">
        <x:v>31.44</x:v>
      </x:c>
      <x:c r="U392" s="40" t="n">
        <x:v>1.76</x:v>
      </x:c>
      <x:c r="V392" s="38" t="n">
        <x:f>L392*(1-T392/100)*(1-U392/100)</x:f>
        <x:v>217.36069115648</x:v>
      </x:c>
      <x:c r="W392" s="38" t="n">
        <x:f>G392*N392</x:f>
        <x:v>146492.11408</x:v>
      </x:c>
      <x:c r="X392" s="38" t="n">
        <x:f>H392*O392</x:f>
        <x:v>20652.097999999998</x:v>
      </x:c>
      <x:c r="Y392" s="38" t="n">
        <x:f>I392*P392</x:f>
        <x:v>8444.699999999999</x:v>
      </x:c>
      <x:c r="Z392" s="38" t="n">
        <x:f>J392*Q392+K392*P392</x:f>
        <x:v>460.49184</x:v>
      </x:c>
      <x:c r="AA392" s="38" t="n">
        <x:f>M392*R392</x:f>
        <x:v>18223.6773375</x:v>
      </x:c>
      <x:c r="AB392" s="38" t="n">
        <x:f>SUM(W392:AA392)</x:f>
        <x:v>194273.08125750002</x:v>
      </x:c>
      <x:c r="AC392" s="38" t="n">
        <x:v>11.87</x:v>
      </x:c>
      <x:c r="AD392" s="38" t="n">
        <x:v>174.33</x:v>
      </x:c>
      <x:c r="AE392" s="38" t="n">
        <x:v>72.05</x:v>
      </x:c>
      <x:c r="AF392" s="38" t="n">
        <x:v>4.8148</x:v>
      </x:c>
      <x:c r="AG392" s="38" t="n">
        <x:v>5.16</x:v>
      </x:c>
      <x:c r="AH392" s="38" t="n">
        <x:f>IF(E392="Fason",L392*S392,0)</x:f>
        <x:v>22112.568839999996</x:v>
      </x:c>
      <x:c r="AI392" s="38" t="n">
        <x:f>IF(E392="Kurum içi",AC392*AD392+AE392*AF392+AB392*12%,0)</x:f>
        <x:v>0</x:v>
      </x:c>
      <x:c r="AJ392" s="38" t="n">
        <x:f>V392*AG392</x:f>
        <x:v>1121.5811663674367</x:v>
      </x:c>
      <x:c r="AK392" s="38" t="n">
        <x:f>AB392*2%</x:f>
        <x:v>3885.4616251500006</x:v>
      </x:c>
      <x:c r="AL392" s="38" t="n">
        <x:f>AB392+AH392+AI392+AJ392+AK392</x:f>
        <x:v>221392.69288901743</x:v>
      </x:c>
      <x:c r="AM392" s="38" t="n">
        <x:f>AL392/V392</x:f>
        <x:v>1018.5498201679658</x:v>
      </x:c>
      <x:c r="AN392" s="40" t="n">
        <x:f>(W392+X392)/AL392*100</x:f>
        <x:v>75.49671576730321</x:v>
      </x:c>
      <x:c r="AO392" s="28" t="str">
        <x:v>R01-R20; ilgili satırdaki bölgesel fiyat ve maliyet varsayımları</x:v>
      </x:c>
      <x:c r="AP392" s="28" t="str">
        <x:v>Girdi miktarları, alım fiyatı değişimi, fason bedeli ve parti sonucu simüle edilmiştir; işletme kaydı değildir.</x:v>
      </x:c>
    </x:row>
    <x:row r="393" ht="22" customHeight="1">
      <x:c r="A393" t="str">
        <x:v>SUC-0392</x:v>
      </x:c>
      <x:c r="B393" s="36" t="n">
        <x:v>46316</x:v>
      </x:c>
      <x:c r="C393" t="str">
        <x:v>Ege</x:v>
      </x:c>
      <x:c r="D393" t="str">
        <x:v>ERZURUM_CI</x:v>
      </x:c>
      <x:c r="E393" t="str">
        <x:v>Kurum içi</x:v>
      </x:c>
      <x:c r="F393" s="42" t="str">
        <x:v>SENTETİK/SİMÜLE — gerçek parti kaydı değildir</x:v>
      </x:c>
      <x:c r="G393" s="38" t="n">
        <x:v>273.132</x:v>
      </x:c>
      <x:c r="H393" s="38" t="n">
        <x:v>45.355</x:v>
      </x:c>
      <x:c r="I393" s="38" t="n">
        <x:v>16.525</x:v>
      </x:c>
      <x:c r="J393" s="38" t="n">
        <x:v>4.97</x:v>
      </x:c>
      <x:c r="K393" s="38" t="n">
        <x:v>0.668</x:v>
      </x:c>
      <x:c r="L393" s="38" t="n">
        <x:f>SUM(G393:K393)</x:f>
        <x:v>340.65000000000003</x:v>
      </x:c>
      <x:c r="M393" s="38" t="n">
        <x:v>450.647</x:v>
      </x:c>
      <x:c r="N393" s="38" t="n">
        <x:v>606.21</x:v>
      </x:c>
      <x:c r="O393" s="38" t="n">
        <x:v>412.85</x:v>
      </x:c>
      <x:c r="P393" s="38" t="n">
        <x:v>550</x:v>
      </x:c>
      <x:c r="Q393" s="38" t="n">
        <x:v>19.88</x:v>
      </x:c>
      <x:c r="R393" s="38" t="n">
        <x:v>43.7475</x:v>
      </x:c>
      <x:c r="S393" s="38" t="n">
        <x:v>86.33</x:v>
      </x:c>
      <x:c r="T393" s="40" t="n">
        <x:v>16.01</x:v>
      </x:c>
      <x:c r="U393" s="40" t="n">
        <x:v>0.92</x:v>
      </x:c>
      <x:c r="V393" s="38" t="n">
        <x:f>L393*(1-T393/100)*(1-U393/100)</x:f>
        <x:v>283.47970519800003</x:v>
      </x:c>
      <x:c r="W393" s="38" t="n">
        <x:f>G393*N393</x:f>
        <x:v>165575.34972000003</x:v>
      </x:c>
      <x:c r="X393" s="38" t="n">
        <x:f>H393*O393</x:f>
        <x:v>18724.81175</x:v>
      </x:c>
      <x:c r="Y393" s="38" t="n">
        <x:f>I393*P393</x:f>
        <x:v>9088.75</x:v>
      </x:c>
      <x:c r="Z393" s="38" t="n">
        <x:f>J393*Q393+K393*P393</x:f>
        <x:v>466.20360000000005</x:v>
      </x:c>
      <x:c r="AA393" s="38" t="n">
        <x:f>M393*R393</x:f>
        <x:v>19714.6796325</x:v>
      </x:c>
      <x:c r="AB393" s="38" t="n">
        <x:f>SUM(W393:AA393)</x:f>
        <x:v>213569.79470250002</x:v>
      </x:c>
      <x:c r="AC393" s="38" t="n">
        <x:v>18.27</x:v>
      </x:c>
      <x:c r="AD393" s="38" t="n">
        <x:v>174.33</x:v>
      </x:c>
      <x:c r="AE393" s="38" t="n">
        <x:v>144.45</x:v>
      </x:c>
      <x:c r="AF393" s="38" t="n">
        <x:v>4.8148</x:v>
      </x:c>
      <x:c r="AG393" s="38" t="n">
        <x:v>5.72</x:v>
      </x:c>
      <x:c r="AH393" s="38" t="n">
        <x:f>IF(E393="Fason",L393*S393,0)</x:f>
        <x:v>0</x:v>
      </x:c>
      <x:c r="AI393" s="38" t="n">
        <x:f>IF(E393="Kurum içi",AC393*AD393+AE393*AF393+AB393*12%,0)</x:f>
        <x:v>29508.8823243</x:v>
      </x:c>
      <x:c r="AJ393" s="38" t="n">
        <x:f>V393*AG393</x:f>
        <x:v>1621.50391373256</x:v>
      </x:c>
      <x:c r="AK393" s="38" t="n">
        <x:f>AB393*2%</x:f>
        <x:v>4271.395894050001</x:v>
      </x:c>
      <x:c r="AL393" s="38" t="n">
        <x:f>AB393+AH393+AI393+AJ393+AK393</x:f>
        <x:v>248971.57683458258</x:v>
      </x:c>
      <x:c r="AM393" s="38" t="n">
        <x:f>AL393/V393</x:f>
        <x:v>878.2694925574485</x:v>
      </x:c>
      <x:c r="AN393" s="40" t="n">
        <x:f>(W393+X393)/AL393*100</x:f>
        <x:v>74.02457895523133</x:v>
      </x:c>
      <x:c r="AO393" s="28" t="str">
        <x:v>R01-R20; ilgili satırdaki bölgesel fiyat ve maliyet varsayımları</x:v>
      </x:c>
      <x:c r="AP393" s="28" t="str">
        <x:v>Girdi miktarları, alım fiyatı değişimi, fason bedeli ve parti sonucu simüle edilmiştir; işletme kaydı değildir.</x:v>
      </x:c>
    </x:row>
    <x:row r="394" ht="22" customHeight="1">
      <x:c r="A394" t="str">
        <x:v>SUC-0393</x:v>
      </x:c>
      <x:c r="B394" s="36" t="n">
        <x:v>46268</x:v>
      </x:c>
      <x:c r="C394" t="str">
        <x:v>Ege</x:v>
      </x:c>
      <x:c r="D394" t="str">
        <x:v>ERZURUM_CI</x:v>
      </x:c>
      <x:c r="E394" t="str">
        <x:v>Kurum içi</x:v>
      </x:c>
      <x:c r="F394" s="42" t="str">
        <x:v>SENTETİK/SİMÜLE — gerçek parti kaydı değildir</x:v>
      </x:c>
      <x:c r="G394" s="38" t="n">
        <x:v>281.026</x:v>
      </x:c>
      <x:c r="H394" s="38" t="n">
        <x:v>49.205</x:v>
      </x:c>
      <x:c r="I394" s="38" t="n">
        <x:v>16.646</x:v>
      </x:c>
      <x:c r="J394" s="38" t="n">
        <x:v>6.091</x:v>
      </x:c>
      <x:c r="K394" s="38" t="n">
        <x:v>0.222</x:v>
      </x:c>
      <x:c r="L394" s="38" t="n">
        <x:f>SUM(G394:K394)</x:f>
        <x:v>353.19</x:v>
      </x:c>
      <x:c r="M394" s="38" t="n">
        <x:v>469.767</x:v>
      </x:c>
      <x:c r="N394" s="38" t="n">
        <x:v>587.11</x:v>
      </x:c>
      <x:c r="O394" s="38" t="n">
        <x:v>460.87</x:v>
      </x:c>
      <x:c r="P394" s="38" t="n">
        <x:v>550</x:v>
      </x:c>
      <x:c r="Q394" s="38" t="n">
        <x:v>19.88</x:v>
      </x:c>
      <x:c r="R394" s="38" t="n">
        <x:v>43.7475</x:v>
      </x:c>
      <x:c r="S394" s="38" t="n">
        <x:v>95.2</x:v>
      </x:c>
      <x:c r="T394" s="40" t="n">
        <x:v>25.24</x:v>
      </x:c>
      <x:c r="U394" s="40" t="n">
        <x:v>1.36</x:v>
      </x:c>
      <x:c r="V394" s="38" t="n">
        <x:f>L394*(1-T394/100)*(1-U394/100)</x:f>
        <x:v>260.4538341216</x:v>
      </x:c>
      <x:c r="W394" s="38" t="n">
        <x:f>G394*N394</x:f>
        <x:v>164993.17486</x:v>
      </x:c>
      <x:c r="X394" s="38" t="n">
        <x:f>H394*O394</x:f>
        <x:v>22677.10835</x:v>
      </x:c>
      <x:c r="Y394" s="38" t="n">
        <x:f>I394*P394</x:f>
        <x:v>9155.300000000001</x:v>
      </x:c>
      <x:c r="Z394" s="38" t="n">
        <x:f>J394*Q394+K394*P394</x:f>
        <x:v>243.18908</x:v>
      </x:c>
      <x:c r="AA394" s="38" t="n">
        <x:f>M394*R394</x:f>
        <x:v>20551.1318325</x:v>
      </x:c>
      <x:c r="AB394" s="38" t="n">
        <x:f>SUM(W394:AA394)</x:f>
        <x:v>217619.90412249998</x:v>
      </x:c>
      <x:c r="AC394" s="38" t="n">
        <x:v>18.94</x:v>
      </x:c>
      <x:c r="AD394" s="38" t="n">
        <x:v>174.33</x:v>
      </x:c>
      <x:c r="AE394" s="38" t="n">
        <x:v>111.48</x:v>
      </x:c>
      <x:c r="AF394" s="38" t="n">
        <x:v>4.8148</x:v>
      </x:c>
      <x:c r="AG394" s="38" t="n">
        <x:v>5.22</x:v>
      </x:c>
      <x:c r="AH394" s="38" t="n">
        <x:f>IF(E394="Fason",L394*S394,0)</x:f>
        <x:v>0</x:v>
      </x:c>
      <x:c r="AI394" s="38" t="n">
        <x:f>IF(E394="Kurum içi",AC394*AD394+AE394*AF394+AB394*12%,0)</x:f>
        <x:v>29952.952598699998</x:v>
      </x:c>
      <x:c r="AJ394" s="38" t="n">
        <x:f>V394*AG394</x:f>
        <x:v>1359.5690141147518</x:v>
      </x:c>
      <x:c r="AK394" s="38" t="n">
        <x:f>AB394*2%</x:f>
        <x:v>4352.3980824499995</x:v>
      </x:c>
      <x:c r="AL394" s="38" t="n">
        <x:f>AB394+AH394+AI394+AJ394+AK394</x:f>
        <x:v>253284.82381776476</x:v>
      </x:c>
      <x:c r="AM394" s="38" t="n">
        <x:f>AL394/V394</x:f>
        <x:v>972.4749288947378</x:v>
      </x:c>
      <x:c r="AN394" s="40" t="n">
        <x:f>(W394+X394)/AL394*100</x:f>
        <x:v>74.09456294350521</x:v>
      </x:c>
      <x:c r="AO394" s="28" t="str">
        <x:v>R01-R20; ilgili satırdaki bölgesel fiyat ve maliyet varsayımları</x:v>
      </x:c>
      <x:c r="AP394" s="28" t="str">
        <x:v>Girdi miktarları, alım fiyatı değişimi, fason bedeli ve parti sonucu simüle edilmiştir; işletme kaydı değildir.</x:v>
      </x:c>
    </x:row>
    <x:row r="395" ht="22" customHeight="1">
      <x:c r="A395" t="str">
        <x:v>SUC-0394</x:v>
      </x:c>
      <x:c r="B395" s="36" t="n">
        <x:v>46312</x:v>
      </x:c>
      <x:c r="C395" t="str">
        <x:v>Ege</x:v>
      </x:c>
      <x:c r="D395" t="str">
        <x:v>ERZURUM_CI</x:v>
      </x:c>
      <x:c r="E395" t="str">
        <x:v>Fason</x:v>
      </x:c>
      <x:c r="F395" s="42" t="str">
        <x:v>SENTETİK/SİMÜLE — gerçek parti kaydı değildir</x:v>
      </x:c>
      <x:c r="G395" s="38" t="n">
        <x:v>197.822</x:v>
      </x:c>
      <x:c r="H395" s="38" t="n">
        <x:v>32.549</x:v>
      </x:c>
      <x:c r="I395" s="38" t="n">
        <x:v>12.072</x:v>
      </x:c>
      <x:c r="J395" s="38" t="n">
        <x:v>3.647</x:v>
      </x:c>
      <x:c r="K395" s="38" t="n">
        <x:v>0.576</x:v>
      </x:c>
      <x:c r="L395" s="38" t="n">
        <x:f>SUM(G395:K395)</x:f>
        <x:v>246.666</x:v>
      </x:c>
      <x:c r="M395" s="38" t="n">
        <x:v>322.458</x:v>
      </x:c>
      <x:c r="N395" s="38" t="n">
        <x:v>598.78</x:v>
      </x:c>
      <x:c r="O395" s="38" t="n">
        <x:v>431.05</x:v>
      </x:c>
      <x:c r="P395" s="38" t="n">
        <x:v>400</x:v>
      </x:c>
      <x:c r="Q395" s="38" t="n">
        <x:v>19.88</x:v>
      </x:c>
      <x:c r="R395" s="38" t="n">
        <x:v>43.7475</x:v>
      </x:c>
      <x:c r="S395" s="38" t="n">
        <x:v>85.96</x:v>
      </x:c>
      <x:c r="T395" s="40" t="n">
        <x:v>17.25</x:v>
      </x:c>
      <x:c r="U395" s="40" t="n">
        <x:v>1.07</x:v>
      </x:c>
      <x:c r="V395" s="38" t="n">
        <x:f>L395*(1-T395/100)*(1-U395/100)</x:f>
        <x:v>201.9320725695</x:v>
      </x:c>
      <x:c r="W395" s="38" t="n">
        <x:f>G395*N395</x:f>
        <x:v>118451.85716</x:v>
      </x:c>
      <x:c r="X395" s="38" t="n">
        <x:f>H395*O395</x:f>
        <x:v>14030.24645</x:v>
      </x:c>
      <x:c r="Y395" s="38" t="n">
        <x:f>I395*P395</x:f>
        <x:v>4828.799999999999</x:v>
      </x:c>
      <x:c r="Z395" s="38" t="n">
        <x:f>J395*Q395+K395*P395</x:f>
        <x:v>302.90236</x:v>
      </x:c>
      <x:c r="AA395" s="38" t="n">
        <x:f>M395*R395</x:f>
        <x:v>14106.731355000002</x:v>
      </x:c>
      <x:c r="AB395" s="38" t="n">
        <x:f>SUM(W395:AA395)</x:f>
        <x:v>151720.53732499998</x:v>
      </x:c>
      <x:c r="AC395" s="38" t="n">
        <x:v>14.64</x:v>
      </x:c>
      <x:c r="AD395" s="38" t="n">
        <x:v>174.33</x:v>
      </x:c>
      <x:c r="AE395" s="38" t="n">
        <x:v>115.74</x:v>
      </x:c>
      <x:c r="AF395" s="38" t="n">
        <x:v>4.8148</x:v>
      </x:c>
      <x:c r="AG395" s="38" t="n">
        <x:v>5.32</x:v>
      </x:c>
      <x:c r="AH395" s="38" t="n">
        <x:f>IF(E395="Fason",L395*S395,0)</x:f>
        <x:v>21203.409359999998</x:v>
      </x:c>
      <x:c r="AI395" s="38" t="n">
        <x:f>IF(E395="Kurum içi",AC395*AD395+AE395*AF395+AB395*12%,0)</x:f>
        <x:v>0</x:v>
      </x:c>
      <x:c r="AJ395" s="38" t="n">
        <x:f>V395*AG395</x:f>
        <x:v>1074.27862606974</x:v>
      </x:c>
      <x:c r="AK395" s="38" t="n">
        <x:f>AB395*2%</x:f>
        <x:v>3034.4107464999997</x:v>
      </x:c>
      <x:c r="AL395" s="38" t="n">
        <x:f>AB395+AH395+AI395+AJ395+AK395</x:f>
        <x:v>177032.63605756973</x:v>
      </x:c>
      <x:c r="AM395" s="38" t="n">
        <x:f>AL395/V395</x:f>
        <x:v>876.6939981594033</x:v>
      </x:c>
      <x:c r="AN395" s="40" t="n">
        <x:f>(W395+X395)/AL395*100</x:f>
        <x:v>74.83484772091276</x:v>
      </x:c>
      <x:c r="AO395" s="28" t="str">
        <x:v>R01-R20; ilgili satırdaki bölgesel fiyat ve maliyet varsayımları</x:v>
      </x:c>
      <x:c r="AP395" s="28" t="str">
        <x:v>Girdi miktarları, alım fiyatı değişimi, fason bedeli ve parti sonucu simüle edilmiştir; işletme kaydı değildir.</x:v>
      </x:c>
    </x:row>
    <x:row r="396" ht="22" customHeight="1">
      <x:c r="A396" t="str">
        <x:v>SUC-0395</x:v>
      </x:c>
      <x:c r="B396" s="36" t="n">
        <x:v>46296</x:v>
      </x:c>
      <x:c r="C396" t="str">
        <x:v>Karadeniz</x:v>
      </x:c>
      <x:c r="D396" t="str">
        <x:v>MEB_STANDART</x:v>
      </x:c>
      <x:c r="E396" t="str">
        <x:v>Kurum içi</x:v>
      </x:c>
      <x:c r="F396" s="42" t="str">
        <x:v>SENTETİK/SİMÜLE — gerçek parti kaydı değildir</x:v>
      </x:c>
      <x:c r="G396" s="38" t="n">
        <x:v>306.964</x:v>
      </x:c>
      <x:c r="H396" s="38" t="n">
        <x:v>93.083</x:v>
      </x:c>
      <x:c r="I396" s="38" t="n">
        <x:v>20.83</x:v>
      </x:c>
      <x:c r="J396" s="38" t="n">
        <x:v>10.136</x:v>
      </x:c>
      <x:c r="K396" s="38" t="n">
        <x:v>4.618</x:v>
      </x:c>
      <x:c r="L396" s="38" t="n">
        <x:f>SUM(G396:K396)</x:f>
        <x:v>435.63100000000003</x:v>
      </x:c>
      <x:c r="M396" s="38" t="n">
        <x:v>533.118</x:v>
      </x:c>
      <x:c r="N396" s="38" t="n">
        <x:v>609.91</x:v>
      </x:c>
      <x:c r="O396" s="38" t="n">
        <x:v>467.76</x:v>
      </x:c>
      <x:c r="P396" s="38" t="n">
        <x:v>550</x:v>
      </x:c>
      <x:c r="Q396" s="38" t="n">
        <x:v>19.88</x:v>
      </x:c>
      <x:c r="R396" s="38" t="n">
        <x:v>43.7475</x:v>
      </x:c>
      <x:c r="S396" s="38" t="n">
        <x:v>75.36</x:v>
      </x:c>
      <x:c r="T396" s="40" t="n">
        <x:v>20.1</x:v>
      </x:c>
      <x:c r="U396" s="40" t="n">
        <x:v>0.49</x:v>
      </x:c>
      <x:c r="V396" s="38" t="n">
        <x:f>L396*(1-T396/100)*(1-U396/100)</x:f>
        <x:v>346.3636300719</x:v>
      </x:c>
      <x:c r="W396" s="38" t="n">
        <x:f>G396*N396</x:f>
        <x:v>187220.41324</x:v>
      </x:c>
      <x:c r="X396" s="38" t="n">
        <x:f>H396*O396</x:f>
        <x:v>43540.50408</x:v>
      </x:c>
      <x:c r="Y396" s="38" t="n">
        <x:f>I396*P396</x:f>
        <x:v>11456.499999999998</x:v>
      </x:c>
      <x:c r="Z396" s="38" t="n">
        <x:f>J396*Q396+K396*P396</x:f>
        <x:v>2741.40368</x:v>
      </x:c>
      <x:c r="AA396" s="38" t="n">
        <x:f>M396*R396</x:f>
        <x:v>23322.579705000004</x:v>
      </x:c>
      <x:c r="AB396" s="38" t="n">
        <x:f>SUM(W396:AA396)</x:f>
        <x:v>268281.400705</x:v>
      </x:c>
      <x:c r="AC396" s="38" t="n">
        <x:v>28.53</x:v>
      </x:c>
      <x:c r="AD396" s="38" t="n">
        <x:v>174.33</x:v>
      </x:c>
      <x:c r="AE396" s="38" t="n">
        <x:v>166.1</x:v>
      </x:c>
      <x:c r="AF396" s="38" t="n">
        <x:v>4.8148</x:v>
      </x:c>
      <x:c r="AG396" s="38" t="n">
        <x:v>5.65</x:v>
      </x:c>
      <x:c r="AH396" s="38" t="n">
        <x:f>IF(E396="Fason",L396*S396,0)</x:f>
        <x:v>0</x:v>
      </x:c>
      <x:c r="AI396" s="38" t="n">
        <x:f>IF(E396="Kurum içi",AC396*AD396+AE396*AF396+AB396*12%,0)</x:f>
        <x:v>37967.141264599995</x:v>
      </x:c>
      <x:c r="AJ396" s="38" t="n">
        <x:f>V396*AG396</x:f>
        <x:v>1956.954509906235</x:v>
      </x:c>
      <x:c r="AK396" s="38" t="n">
        <x:f>AB396*2%</x:f>
        <x:v>5365.6280141</x:v>
      </x:c>
      <x:c r="AL396" s="38" t="n">
        <x:f>AB396+AH396+AI396+AJ396+AK396</x:f>
        <x:v>313571.1244936062</x:v>
      </x:c>
      <x:c r="AM396" s="38" t="n">
        <x:f>AL396/V396</x:f>
        <x:v>905.3234729885279</x:v>
      </x:c>
      <x:c r="AN396" s="40" t="n">
        <x:f>(W396+X396)/AL396*100</x:f>
        <x:v>73.59125228531853</x:v>
      </x:c>
      <x:c r="AO396" s="28" t="str">
        <x:v>R01-R20; ilgili satırdaki bölgesel fiyat ve maliyet varsayımları</x:v>
      </x:c>
      <x:c r="AP396" s="28" t="str">
        <x:v>Girdi miktarları, alım fiyatı değişimi, fason bedeli ve parti sonucu simüle edilmiştir; işletme kaydı değildir.</x:v>
      </x:c>
    </x:row>
    <x:row r="397" ht="22" customHeight="1">
      <x:c r="A397" t="str">
        <x:v>SUC-0396</x:v>
      </x:c>
      <x:c r="B397" s="36" t="n">
        <x:v>46300</x:v>
      </x:c>
      <x:c r="C397" t="str">
        <x:v>Marmara</x:v>
      </x:c>
      <x:c r="D397" t="str">
        <x:v>MEB_STANDART</x:v>
      </x:c>
      <x:c r="E397" t="str">
        <x:v>Kurum içi</x:v>
      </x:c>
      <x:c r="F397" s="42" t="str">
        <x:v>SENTETİK/SİMÜLE — gerçek parti kaydı değildir</x:v>
      </x:c>
      <x:c r="G397" s="38" t="n">
        <x:v>42.211</x:v>
      </x:c>
      <x:c r="H397" s="38" t="n">
        <x:v>13.351</x:v>
      </x:c>
      <x:c r="I397" s="38" t="n">
        <x:v>2.56</x:v>
      </x:c>
      <x:c r="J397" s="38" t="n">
        <x:v>1.524</x:v>
      </x:c>
      <x:c r="K397" s="38" t="n">
        <x:v>0.591</x:v>
      </x:c>
      <x:c r="L397" s="38" t="n">
        <x:f>SUM(G397:K397)</x:f>
        <x:v>60.237</x:v>
      </x:c>
      <x:c r="M397" s="38" t="n">
        <x:v>77.115</x:v>
      </x:c>
      <x:c r="N397" s="38" t="n">
        <x:v>612.69</x:v>
      </x:c>
      <x:c r="O397" s="38" t="n">
        <x:v>470.92</x:v>
      </x:c>
      <x:c r="P397" s="38" t="n">
        <x:v>669.9</x:v>
      </x:c>
      <x:c r="Q397" s="38" t="n">
        <x:v>19.88</x:v>
      </x:c>
      <x:c r="R397" s="38" t="n">
        <x:v>43.7475</x:v>
      </x:c>
      <x:c r="S397" s="38" t="n">
        <x:v>98.02</x:v>
      </x:c>
      <x:c r="T397" s="40" t="n">
        <x:v>20.05</x:v>
      </x:c>
      <x:c r="U397" s="40" t="n">
        <x:v>0.71</x:v>
      </x:c>
      <x:c r="V397" s="38" t="n">
        <x:f>L397*(1-T397/100)*(1-U397/100)</x:f>
        <x:v>47.817549181349996</x:v>
      </x:c>
      <x:c r="W397" s="38" t="n">
        <x:f>G397*N397</x:f>
        <x:v>25862.25759</x:v>
      </x:c>
      <x:c r="X397" s="38" t="n">
        <x:f>H397*O397</x:f>
        <x:v>6287.252920000001</x:v>
      </x:c>
      <x:c r="Y397" s="38" t="n">
        <x:f>I397*P397</x:f>
        <x:v>1714.944</x:v>
      </x:c>
      <x:c r="Z397" s="38" t="n">
        <x:f>J397*Q397+K397*P397</x:f>
        <x:v>426.20802</x:v>
      </x:c>
      <x:c r="AA397" s="38" t="n">
        <x:f>M397*R397</x:f>
        <x:v>3373.5884625</x:v>
      </x:c>
      <x:c r="AB397" s="38" t="n">
        <x:f>SUM(W397:AA397)</x:f>
        <x:v>37664.250992500005</x:v>
      </x:c>
      <x:c r="AC397" s="38" t="n">
        <x:v>2.38</x:v>
      </x:c>
      <x:c r="AD397" s="38" t="n">
        <x:v>174.33</x:v>
      </x:c>
      <x:c r="AE397" s="38" t="n">
        <x:v>13.3</x:v>
      </x:c>
      <x:c r="AF397" s="38" t="n">
        <x:v>4.8148</x:v>
      </x:c>
      <x:c r="AG397" s="38" t="n">
        <x:v>5.38</x:v>
      </x:c>
      <x:c r="AH397" s="38" t="n">
        <x:f>IF(E397="Fason",L397*S397,0)</x:f>
        <x:v>0</x:v>
      </x:c>
      <x:c r="AI397" s="38" t="n">
        <x:f>IF(E397="Kurum içi",AC397*AD397+AE397*AF397+AB397*12%,0)</x:f>
        <x:v>4998.6523591000005</x:v>
      </x:c>
      <x:c r="AJ397" s="38" t="n">
        <x:f>V397*AG397</x:f>
        <x:v>257.258414595663</x:v>
      </x:c>
      <x:c r="AK397" s="38" t="n">
        <x:f>AB397*2%</x:f>
        <x:v>753.2850198500001</x:v>
      </x:c>
      <x:c r="AL397" s="38" t="n">
        <x:f>AB397+AH397+AI397+AJ397+AK397</x:f>
        <x:v>43673.44678604567</x:v>
      </x:c>
      <x:c r="AM397" s="38" t="n">
        <x:f>AL397/V397</x:f>
        <x:v>913.335115114586</x:v>
      </x:c>
      <x:c r="AN397" s="40" t="n">
        <x:f>(W397+X397)/AL397*100</x:f>
        <x:v>73.61340328254617</x:v>
      </x:c>
      <x:c r="AO397" s="28" t="str">
        <x:v>R01-R20; ilgili satırdaki bölgesel fiyat ve maliyet varsayımları</x:v>
      </x:c>
      <x:c r="AP397" s="28" t="str">
        <x:v>Girdi miktarları, alım fiyatı değişimi, fason bedeli ve parti sonucu simüle edilmiştir; işletme kaydı değildir.</x:v>
      </x:c>
    </x:row>
    <x:row r="398" ht="22" customHeight="1">
      <x:c r="A398" t="str">
        <x:v>SUC-0397</x:v>
      </x:c>
      <x:c r="B398" s="36" t="n">
        <x:v>46298</x:v>
      </x:c>
      <x:c r="C398" t="str">
        <x:v>Güneydoğu Anadolu</x:v>
      </x:c>
      <x:c r="D398" t="str">
        <x:v>MEB_STANDART</x:v>
      </x:c>
      <x:c r="E398" t="str">
        <x:v>Kurum içi</x:v>
      </x:c>
      <x:c r="F398" s="42" t="str">
        <x:v>SENTETİK/SİMÜLE — gerçek parti kaydı değildir</x:v>
      </x:c>
      <x:c r="G398" s="38" t="n">
        <x:v>299.411</x:v>
      </x:c>
      <x:c r="H398" s="38" t="n">
        <x:v>96.764</x:v>
      </x:c>
      <x:c r="I398" s="38" t="n">
        <x:v>19.076</x:v>
      </x:c>
      <x:c r="J398" s="38" t="n">
        <x:v>10.535</x:v>
      </x:c>
      <x:c r="K398" s="38" t="n">
        <x:v>4.705</x:v>
      </x:c>
      <x:c r="L398" s="38" t="n">
        <x:f>SUM(G398:K398)</x:f>
        <x:v>430.49100000000004</x:v>
      </x:c>
      <x:c r="M398" s="38" t="n">
        <x:v>562.488</x:v>
      </x:c>
      <x:c r="N398" s="38" t="n">
        <x:v>584.76</x:v>
      </x:c>
      <x:c r="O398" s="38" t="n">
        <x:v>411.71</x:v>
      </x:c>
      <x:c r="P398" s="38" t="n">
        <x:v>400</x:v>
      </x:c>
      <x:c r="Q398" s="38" t="n">
        <x:v>19.88</x:v>
      </x:c>
      <x:c r="R398" s="38" t="n">
        <x:v>43.7475</x:v>
      </x:c>
      <x:c r="S398" s="38" t="n">
        <x:v>87</x:v>
      </x:c>
      <x:c r="T398" s="40" t="n">
        <x:v>29.67</x:v>
      </x:c>
      <x:c r="U398" s="40" t="n">
        <x:v>0.55</x:v>
      </x:c>
      <x:c r="V398" s="38" t="n">
        <x:f>L398*(1-T398/100)*(1-U398/100)</x:f>
        <x:v>301.0991165383501</x:v>
      </x:c>
      <x:c r="W398" s="38" t="n">
        <x:f>G398*N398</x:f>
        <x:v>175083.57636</x:v>
      </x:c>
      <x:c r="X398" s="38" t="n">
        <x:f>H398*O398</x:f>
        <x:v>39838.706439999994</x:v>
      </x:c>
      <x:c r="Y398" s="38" t="n">
        <x:f>I398*P398</x:f>
        <x:v>7630.400000000001</x:v>
      </x:c>
      <x:c r="Z398" s="38" t="n">
        <x:f>J398*Q398+K398*P398</x:f>
        <x:v>2091.4358</x:v>
      </x:c>
      <x:c r="AA398" s="38" t="n">
        <x:f>M398*R398</x:f>
        <x:v>24607.443780000005</x:v>
      </x:c>
      <x:c r="AB398" s="38" t="n">
        <x:f>SUM(W398:AA398)</x:f>
        <x:v>249251.56238</x:v>
      </x:c>
      <x:c r="AC398" s="38" t="n">
        <x:v>28.24</x:v>
      </x:c>
      <x:c r="AD398" s="38" t="n">
        <x:v>174.33</x:v>
      </x:c>
      <x:c r="AE398" s="38" t="n">
        <x:v>118.88</x:v>
      </x:c>
      <x:c r="AF398" s="38" t="n">
        <x:v>4.8148</x:v>
      </x:c>
      <x:c r="AG398" s="38" t="n">
        <x:v>5.84</x:v>
      </x:c>
      <x:c r="AH398" s="38" t="n">
        <x:f>IF(E398="Fason",L398*S398,0)</x:f>
        <x:v>0</x:v>
      </x:c>
      <x:c r="AI398" s="38" t="n">
        <x:f>IF(E398="Kurum içi",AC398*AD398+AE398*AF398+AB398*12%,0)</x:f>
        <x:v>35405.6501096</x:v>
      </x:c>
      <x:c r="AJ398" s="38" t="n">
        <x:f>V398*AG398</x:f>
        <x:v>1758.4188405839643</x:v>
      </x:c>
      <x:c r="AK398" s="38" t="n">
        <x:f>AB398*2%</x:f>
        <x:v>4985.0312476</x:v>
      </x:c>
      <x:c r="AL398" s="38" t="n">
        <x:f>AB398+AH398+AI398+AJ398+AK398</x:f>
        <x:v>291400.6625777839</x:v>
      </x:c>
      <x:c r="AM398" s="38" t="n">
        <x:f>AL398/V398</x:f>
        <x:v>967.7898292360785</x:v>
      </x:c>
      <x:c r="AN398" s="40" t="n">
        <x:f>(W398+X398)/AL398*100</x:f>
        <x:v>73.75490532477103</x:v>
      </x:c>
      <x:c r="AO398" s="28" t="str">
        <x:v>R01-R20; ilgili satırdaki bölgesel fiyat ve maliyet varsayımları</x:v>
      </x:c>
      <x:c r="AP398" s="28" t="str">
        <x:v>Girdi miktarları, alım fiyatı değişimi, fason bedeli ve parti sonucu simüle edilmiştir; işletme kaydı değildir.</x:v>
      </x:c>
    </x:row>
    <x:row r="399" ht="22" customHeight="1">
      <x:c r="A399" t="str">
        <x:v>SUC-0398</x:v>
      </x:c>
      <x:c r="B399" s="36" t="n">
        <x:v>46277</x:v>
      </x:c>
      <x:c r="C399" t="str">
        <x:v>Akdeniz</x:v>
      </x:c>
      <x:c r="D399" t="str">
        <x:v>ERZURUM_CI</x:v>
      </x:c>
      <x:c r="E399" t="str">
        <x:v>Fason</x:v>
      </x:c>
      <x:c r="F399" s="42" t="str">
        <x:v>SENTETİK/SİMÜLE — gerçek parti kaydı değildir</x:v>
      </x:c>
      <x:c r="G399" s="38" t="n">
        <x:v>105.349</x:v>
      </x:c>
      <x:c r="H399" s="38" t="n">
        <x:v>19.286</x:v>
      </x:c>
      <x:c r="I399" s="38" t="n">
        <x:v>6.138</x:v>
      </x:c>
      <x:c r="J399" s="38" t="n">
        <x:v>1.984</x:v>
      </x:c>
      <x:c r="K399" s="38" t="n">
        <x:v>0.013</x:v>
      </x:c>
      <x:c r="L399" s="38" t="n">
        <x:f>SUM(G399:K399)</x:f>
        <x:v>132.77</x:v>
      </x:c>
      <x:c r="M399" s="38" t="n">
        <x:v>163.085</x:v>
      </x:c>
      <x:c r="N399" s="38" t="n">
        <x:v>593.07</x:v>
      </x:c>
      <x:c r="O399" s="38" t="n">
        <x:v>414.07</x:v>
      </x:c>
      <x:c r="P399" s="38" t="n">
        <x:v>669.9</x:v>
      </x:c>
      <x:c r="Q399" s="38" t="n">
        <x:v>19.88</x:v>
      </x:c>
      <x:c r="R399" s="38" t="n">
        <x:v>43.7475</x:v>
      </x:c>
      <x:c r="S399" s="38" t="n">
        <x:v>80.22</x:v>
      </x:c>
      <x:c r="T399" s="40" t="n">
        <x:v>15.86</x:v>
      </x:c>
      <x:c r="U399" s="40" t="n">
        <x:v>1.19</x:v>
      </x:c>
      <x:c r="V399" s="38" t="n">
        <x:f>L399*(1-T399/100)*(1-U399/100)</x:f>
        <x:v>110.3832971318</x:v>
      </x:c>
      <x:c r="W399" s="38" t="n">
        <x:f>G399*N399</x:f>
        <x:v>62479.331430000006</x:v>
      </x:c>
      <x:c r="X399" s="38" t="n">
        <x:f>H399*O399</x:f>
        <x:v>7985.75402</x:v>
      </x:c>
      <x:c r="Y399" s="38" t="n">
        <x:f>I399*P399</x:f>
        <x:v>4111.8462</x:v>
      </x:c>
      <x:c r="Z399" s="38" t="n">
        <x:f>J399*Q399+K399*P399</x:f>
        <x:v>48.150619999999996</x:v>
      </x:c>
      <x:c r="AA399" s="38" t="n">
        <x:f>M399*R399</x:f>
        <x:v>7134.561037500001</x:v>
      </x:c>
      <x:c r="AB399" s="38" t="n">
        <x:f>SUM(W399:AA399)</x:f>
        <x:v>81759.64330750001</x:v>
      </x:c>
      <x:c r="AC399" s="38" t="n">
        <x:v>7.52</x:v>
      </x:c>
      <x:c r="AD399" s="38" t="n">
        <x:v>174.33</x:v>
      </x:c>
      <x:c r="AE399" s="38" t="n">
        <x:v>40.45</x:v>
      </x:c>
      <x:c r="AF399" s="38" t="n">
        <x:v>4.8148</x:v>
      </x:c>
      <x:c r="AG399" s="38" t="n">
        <x:v>5.71</x:v>
      </x:c>
      <x:c r="AH399" s="38" t="n">
        <x:f>IF(E399="Fason",L399*S399,0)</x:f>
        <x:v>10650.8094</x:v>
      </x:c>
      <x:c r="AI399" s="38" t="n">
        <x:f>IF(E399="Kurum içi",AC399*AD399+AE399*AF399+AB399*12%,0)</x:f>
        <x:v>0</x:v>
      </x:c>
      <x:c r="AJ399" s="38" t="n">
        <x:f>V399*AG399</x:f>
        <x:v>630.288626622578</x:v>
      </x:c>
      <x:c r="AK399" s="38" t="n">
        <x:f>AB399*2%</x:f>
        <x:v>1635.1928661500003</x:v>
      </x:c>
      <x:c r="AL399" s="38" t="n">
        <x:f>AB399+AH399+AI399+AJ399+AK399</x:f>
        <x:v>94675.93420027259</x:v>
      </x:c>
      <x:c r="AM399" s="38" t="n">
        <x:f>AL399/V399</x:f>
        <x:v>857.7016329492994</x:v>
      </x:c>
      <x:c r="AN399" s="40" t="n">
        <x:f>(W399+X399)/AL399*100</x:f>
        <x:v>74.42766321264051</x:v>
      </x:c>
      <x:c r="AO399" s="28" t="str">
        <x:v>R01-R20; ilgili satırdaki bölgesel fiyat ve maliyet varsayımları</x:v>
      </x:c>
      <x:c r="AP399" s="28" t="str">
        <x:v>Girdi miktarları, alım fiyatı değişimi, fason bedeli ve parti sonucu simüle edilmiştir; işletme kaydı değildir.</x:v>
      </x:c>
    </x:row>
    <x:row r="400" ht="22" customHeight="1">
      <x:c r="A400" t="str">
        <x:v>SUC-0399</x:v>
      </x:c>
      <x:c r="B400" s="36" t="n">
        <x:v>46278</x:v>
      </x:c>
      <x:c r="C400" t="str">
        <x:v>Güneydoğu Anadolu</x:v>
      </x:c>
      <x:c r="D400" t="str">
        <x:v>MEB_STANDART</x:v>
      </x:c>
      <x:c r="E400" t="str">
        <x:v>Kurum içi</x:v>
      </x:c>
      <x:c r="F400" s="42" t="str">
        <x:v>SENTETİK/SİMÜLE — gerçek parti kaydı değildir</x:v>
      </x:c>
      <x:c r="G400" s="38" t="n">
        <x:v>133.169</x:v>
      </x:c>
      <x:c r="H400" s="38" t="n">
        <x:v>43.101</x:v>
      </x:c>
      <x:c r="I400" s="38" t="n">
        <x:v>8.134</x:v>
      </x:c>
      <x:c r="J400" s="38" t="n">
        <x:v>4.69</x:v>
      </x:c>
      <x:c r="K400" s="38" t="n">
        <x:v>2.032</x:v>
      </x:c>
      <x:c r="L400" s="38" t="n">
        <x:f>SUM(G400:K400)</x:f>
        <x:v>191.126</x:v>
      </x:c>
      <x:c r="M400" s="38" t="n">
        <x:v>223.555</x:v>
      </x:c>
      <x:c r="N400" s="38" t="n">
        <x:v>599.73</x:v>
      </x:c>
      <x:c r="O400" s="38" t="n">
        <x:v>480.84</x:v>
      </x:c>
      <x:c r="P400" s="38" t="n">
        <x:v>669.9</x:v>
      </x:c>
      <x:c r="Q400" s="38" t="n">
        <x:v>19.88</x:v>
      </x:c>
      <x:c r="R400" s="38" t="n">
        <x:v>43.7475</x:v>
      </x:c>
      <x:c r="S400" s="38" t="n">
        <x:v>91.31</x:v>
      </x:c>
      <x:c r="T400" s="40" t="n">
        <x:v>26.65</x:v>
      </x:c>
      <x:c r="U400" s="40" t="n">
        <x:v>0.44</x:v>
      </x:c>
      <x:c r="V400" s="38" t="n">
        <x:f>L400*(1-T400/100)*(1-U400/100)</x:f>
        <x:v>139.5740809476</x:v>
      </x:c>
      <x:c r="W400" s="38" t="n">
        <x:f>G400*N400</x:f>
        <x:v>79865.44437000001</x:v>
      </x:c>
      <x:c r="X400" s="38" t="n">
        <x:f>H400*O400</x:f>
        <x:v>20724.684839999998</x:v>
      </x:c>
      <x:c r="Y400" s="38" t="n">
        <x:f>I400*P400</x:f>
        <x:v>5448.9666</x:v>
      </x:c>
      <x:c r="Z400" s="38" t="n">
        <x:f>J400*Q400+K400*P400</x:f>
        <x:v>1454.474</x:v>
      </x:c>
      <x:c r="AA400" s="38" t="n">
        <x:f>M400*R400</x:f>
        <x:v>9779.9723625</x:v>
      </x:c>
      <x:c r="AB400" s="38" t="n">
        <x:f>SUM(W400:AA400)</x:f>
        <x:v>117273.54217250002</x:v>
      </x:c>
      <x:c r="AC400" s="38" t="n">
        <x:v>6.87</x:v>
      </x:c>
      <x:c r="AD400" s="38" t="n">
        <x:v>174.33</x:v>
      </x:c>
      <x:c r="AE400" s="38" t="n">
        <x:v>91.43</x:v>
      </x:c>
      <x:c r="AF400" s="38" t="n">
        <x:v>4.8148</x:v>
      </x:c>
      <x:c r="AG400" s="38" t="n">
        <x:v>5.24</x:v>
      </x:c>
      <x:c r="AH400" s="38" t="n">
        <x:f>IF(E400="Fason",L400*S400,0)</x:f>
        <x:v>0</x:v>
      </x:c>
      <x:c r="AI400" s="38" t="n">
        <x:f>IF(E400="Kurum içi",AC400*AD400+AE400*AF400+AB400*12%,0)</x:f>
        <x:v>15710.689324700003</x:v>
      </x:c>
      <x:c r="AJ400" s="38" t="n">
        <x:f>V400*AG400</x:f>
        <x:v>731.368184165424</x:v>
      </x:c>
      <x:c r="AK400" s="38" t="n">
        <x:f>AB400*2%</x:f>
        <x:v>2345.4708434500003</x:v>
      </x:c>
      <x:c r="AL400" s="38" t="n">
        <x:f>AB400+AH400+AI400+AJ400+AK400</x:f>
        <x:v>136061.07052481544</x:v>
      </x:c>
      <x:c r="AM400" s="38" t="n">
        <x:f>AL400/V400</x:f>
        <x:v>974.8304957558456</x:v>
      </x:c>
      <x:c r="AN400" s="40" t="n">
        <x:f>(W400+X400)/AL400*100</x:f>
        <x:v>73.93013212523117</x:v>
      </x:c>
      <x:c r="AO400" s="28" t="str">
        <x:v>R01-R20; ilgili satırdaki bölgesel fiyat ve maliyet varsayımları</x:v>
      </x:c>
      <x:c r="AP400" s="28" t="str">
        <x:v>Girdi miktarları, alım fiyatı değişimi, fason bedeli ve parti sonucu simüle edilmiştir; işletme kaydı değildir.</x:v>
      </x:c>
    </x:row>
    <x:row r="401" ht="22" customHeight="1">
      <x:c r="A401" t="str">
        <x:v>SUC-0400</x:v>
      </x:c>
      <x:c r="B401" s="36" t="n">
        <x:v>46283</x:v>
      </x:c>
      <x:c r="C401" t="str">
        <x:v>Güneydoğu Anadolu</x:v>
      </x:c>
      <x:c r="D401" t="str">
        <x:v>MEB_STANDART</x:v>
      </x:c>
      <x:c r="E401" t="str">
        <x:v>Fason</x:v>
      </x:c>
      <x:c r="F401" s="42" t="str">
        <x:v>SENTETİK/SİMÜLE — gerçek parti kaydı değildir</x:v>
      </x:c>
      <x:c r="G401" s="38" t="n">
        <x:v>315.452</x:v>
      </x:c>
      <x:c r="H401" s="38" t="n">
        <x:v>99.612</x:v>
      </x:c>
      <x:c r="I401" s="38" t="n">
        <x:v>20.062</x:v>
      </x:c>
      <x:c r="J401" s="38" t="n">
        <x:v>11.156</x:v>
      </x:c>
      <x:c r="K401" s="38" t="n">
        <x:v>4.227</x:v>
      </x:c>
      <x:c r="L401" s="38" t="n">
        <x:f>SUM(G401:K401)</x:f>
        <x:v>450.50899999999996</x:v>
      </x:c>
      <x:c r="M401" s="38" t="n">
        <x:v>557.706</x:v>
      </x:c>
      <x:c r="N401" s="38" t="n">
        <x:v>597.98</x:v>
      </x:c>
      <x:c r="O401" s="38" t="n">
        <x:v>448.39</x:v>
      </x:c>
      <x:c r="P401" s="38" t="n">
        <x:v>550</x:v>
      </x:c>
      <x:c r="Q401" s="38" t="n">
        <x:v>19.88</x:v>
      </x:c>
      <x:c r="R401" s="38" t="n">
        <x:v>43.7475</x:v>
      </x:c>
      <x:c r="S401" s="38" t="n">
        <x:v>99.85</x:v>
      </x:c>
      <x:c r="T401" s="40" t="n">
        <x:v>19.16</x:v>
      </x:c>
      <x:c r="U401" s="40" t="n">
        <x:v>1.44</x:v>
      </x:c>
      <x:c r="V401" s="38" t="n">
        <x:f>L401*(1-T401/100)*(1-U401/100)</x:f>
        <x:v>358.94711835136</x:v>
      </x:c>
      <x:c r="W401" s="38" t="n">
        <x:f>G401*N401</x:f>
        <x:v>188633.98696</x:v>
      </x:c>
      <x:c r="X401" s="38" t="n">
        <x:f>H401*O401</x:f>
        <x:v>44665.024679999995</x:v>
      </x:c>
      <x:c r="Y401" s="38" t="n">
        <x:f>I401*P401</x:f>
        <x:v>11034.1</x:v>
      </x:c>
      <x:c r="Z401" s="38" t="n">
        <x:f>J401*Q401+K401*P401</x:f>
        <x:v>2546.6312800000005</x:v>
      </x:c>
      <x:c r="AA401" s="38" t="n">
        <x:f>M401*R401</x:f>
        <x:v>24398.243235</x:v>
      </x:c>
      <x:c r="AB401" s="38" t="n">
        <x:f>SUM(W401:AA401)</x:f>
        <x:v>271277.98615500005</x:v>
      </x:c>
      <x:c r="AC401" s="38" t="n">
        <x:v>30.51</x:v>
      </x:c>
      <x:c r="AD401" s="38" t="n">
        <x:v>174.33</x:v>
      </x:c>
      <x:c r="AE401" s="38" t="n">
        <x:v>142.32</x:v>
      </x:c>
      <x:c r="AF401" s="38" t="n">
        <x:v>4.8148</x:v>
      </x:c>
      <x:c r="AG401" s="38" t="n">
        <x:v>5.88</x:v>
      </x:c>
      <x:c r="AH401" s="38" t="n">
        <x:f>IF(E401="Fason",L401*S401,0)</x:f>
        <x:v>44983.32364999999</x:v>
      </x:c>
      <x:c r="AI401" s="38" t="n">
        <x:f>IF(E401="Kurum içi",AC401*AD401+AE401*AF401+AB401*12%,0)</x:f>
        <x:v>0</x:v>
      </x:c>
      <x:c r="AJ401" s="38" t="n">
        <x:f>V401*AG401</x:f>
        <x:v>2110.6090559059967</x:v>
      </x:c>
      <x:c r="AK401" s="38" t="n">
        <x:f>AB401*2%</x:f>
        <x:v>5425.559723100001</x:v>
      </x:c>
      <x:c r="AL401" s="38" t="n">
        <x:f>AB401+AH401+AI401+AJ401+AK401</x:f>
        <x:v>323797.478584006</x:v>
      </x:c>
      <x:c r="AM401" s="38" t="n">
        <x:f>AL401/V401</x:f>
        <x:v>902.075715417926</x:v>
      </x:c>
      <x:c r="AN401" s="40" t="n">
        <x:f>(W401+X401)/AL401*100</x:f>
        <x:v>72.05090436782784</x:v>
      </x:c>
      <x:c r="AO401" s="28" t="str">
        <x:v>R01-R20; ilgili satırdaki bölgesel fiyat ve maliyet varsayımları</x:v>
      </x:c>
      <x:c r="AP401" s="28" t="str">
        <x:v>Girdi miktarları, alım fiyatı değişimi, fason bedeli ve parti sonucu simüle edilmiştir; işletme kaydı değildir.</x:v>
      </x:c>
    </x:row>
    <x:row r="402" ht="22" customHeight="1">
      <x:c r="A402" t="str">
        <x:v>SUC-0401</x:v>
      </x:c>
      <x:c r="B402" s="36" t="n">
        <x:v>46284</x:v>
      </x:c>
      <x:c r="C402" t="str">
        <x:v>Güneydoğu Anadolu</x:v>
      </x:c>
      <x:c r="D402" t="str">
        <x:v>MEB_STANDART</x:v>
      </x:c>
      <x:c r="E402" t="str">
        <x:v>Kurum içi</x:v>
      </x:c>
      <x:c r="F402" s="42" t="str">
        <x:v>SENTETİK/SİMÜLE — gerçek parti kaydı değildir</x:v>
      </x:c>
      <x:c r="G402" s="38" t="n">
        <x:v>123.382</x:v>
      </x:c>
      <x:c r="H402" s="38" t="n">
        <x:v>38.048</x:v>
      </x:c>
      <x:c r="I402" s="38" t="n">
        <x:v>8.226</x:v>
      </x:c>
      <x:c r="J402" s="38" t="n">
        <x:v>4.309</x:v>
      </x:c>
      <x:c r="K402" s="38" t="n">
        <x:v>1.79</x:v>
      </x:c>
      <x:c r="L402" s="38" t="n">
        <x:f>SUM(G402:K402)</x:f>
        <x:v>175.755</x:v>
      </x:c>
      <x:c r="M402" s="38" t="n">
        <x:v>222.615</x:v>
      </x:c>
      <x:c r="N402" s="38" t="n">
        <x:v>567.26</x:v>
      </x:c>
      <x:c r="O402" s="38" t="n">
        <x:v>443.26</x:v>
      </x:c>
      <x:c r="P402" s="38" t="n">
        <x:v>669.9</x:v>
      </x:c>
      <x:c r="Q402" s="38" t="n">
        <x:v>19.88</x:v>
      </x:c>
      <x:c r="R402" s="38" t="n">
        <x:v>43.7475</x:v>
      </x:c>
      <x:c r="S402" s="38" t="n">
        <x:v>107.9</x:v>
      </x:c>
      <x:c r="T402" s="40" t="n">
        <x:v>24.34</x:v>
      </x:c>
      <x:c r="U402" s="40" t="n">
        <x:v>1.32</x:v>
      </x:c>
      <x:c r="V402" s="38" t="n">
        <x:f>L402*(1-T402/100)*(1-U402/100)</x:f>
        <x:v>131.2209467244</x:v>
      </x:c>
      <x:c r="W402" s="38" t="n">
        <x:f>G402*N402</x:f>
        <x:v>69989.67332</x:v>
      </x:c>
      <x:c r="X402" s="38" t="n">
        <x:f>H402*O402</x:f>
        <x:v>16865.15648</x:v>
      </x:c>
      <x:c r="Y402" s="38" t="n">
        <x:f>I402*P402</x:f>
        <x:v>5510.597400000001</x:v>
      </x:c>
      <x:c r="Z402" s="38" t="n">
        <x:f>J402*Q402+K402*P402</x:f>
        <x:v>1284.78392</x:v>
      </x:c>
      <x:c r="AA402" s="38" t="n">
        <x:f>M402*R402</x:f>
        <x:v>9738.849712500001</x:v>
      </x:c>
      <x:c r="AB402" s="38" t="n">
        <x:f>SUM(W402:AA402)</x:f>
        <x:v>103389.0608325</x:v>
      </x:c>
      <x:c r="AC402" s="38" t="n">
        <x:v>7.1</x:v>
      </x:c>
      <x:c r="AD402" s="38" t="n">
        <x:v>174.33</x:v>
      </x:c>
      <x:c r="AE402" s="38" t="n">
        <x:v>61</x:v>
      </x:c>
      <x:c r="AF402" s="38" t="n">
        <x:v>4.8148</x:v>
      </x:c>
      <x:c r="AG402" s="38" t="n">
        <x:v>5.32</x:v>
      </x:c>
      <x:c r="AH402" s="38" t="n">
        <x:f>IF(E402="Fason",L402*S402,0)</x:f>
        <x:v>0</x:v>
      </x:c>
      <x:c r="AI402" s="38" t="n">
        <x:f>IF(E402="Kurum içi",AC402*AD402+AE402*AF402+AB402*12%,0)</x:f>
        <x:v>13938.1330999</x:v>
      </x:c>
      <x:c r="AJ402" s="38" t="n">
        <x:f>V402*AG402</x:f>
        <x:v>698.095436573808</x:v>
      </x:c>
      <x:c r="AK402" s="38" t="n">
        <x:f>AB402*2%</x:f>
        <x:v>2067.7812166500003</x:v>
      </x:c>
      <x:c r="AL402" s="38" t="n">
        <x:f>AB402+AH402+AI402+AJ402+AK402</x:f>
        <x:v>120093.07058562382</x:v>
      </x:c>
      <x:c r="AM402" s="38" t="n">
        <x:f>AL402/V402</x:f>
        <x:v>915.197410043476</x:v>
      </x:c>
      <x:c r="AN402" s="40" t="n">
        <x:f>(W402+X402)/AL402*100</x:f>
        <x:v>72.3229320196908</x:v>
      </x:c>
      <x:c r="AO402" s="28" t="str">
        <x:v>R01-R20; ilgili satırdaki bölgesel fiyat ve maliyet varsayımları</x:v>
      </x:c>
      <x:c r="AP402" s="28" t="str">
        <x:v>Girdi miktarları, alım fiyatı değişimi, fason bedeli ve parti sonucu simüle edilmiştir; işletme kaydı değildir.</x:v>
      </x:c>
    </x:row>
    <x:row r="403" ht="22" customHeight="1">
      <x:c r="A403" t="str">
        <x:v>SUC-0402</x:v>
      </x:c>
      <x:c r="B403" s="36" t="n">
        <x:v>46280</x:v>
      </x:c>
      <x:c r="C403" t="str">
        <x:v>Karadeniz</x:v>
      </x:c>
      <x:c r="D403" t="str">
        <x:v>MEB_STANDART</x:v>
      </x:c>
      <x:c r="E403" t="str">
        <x:v>Kurum içi</x:v>
      </x:c>
      <x:c r="F403" s="42" t="str">
        <x:v>SENTETİK/SİMÜLE — gerçek parti kaydı değildir</x:v>
      </x:c>
      <x:c r="G403" s="38" t="n">
        <x:v>106.177</x:v>
      </x:c>
      <x:c r="H403" s="38" t="n">
        <x:v>33.845</x:v>
      </x:c>
      <x:c r="I403" s="38" t="n">
        <x:v>6.919</x:v>
      </x:c>
      <x:c r="J403" s="38" t="n">
        <x:v>4.048</x:v>
      </x:c>
      <x:c r="K403" s="38" t="n">
        <x:v>1.554</x:v>
      </x:c>
      <x:c r="L403" s="38" t="n">
        <x:f>SUM(G403:K403)</x:f>
        <x:v>152.543</x:v>
      </x:c>
      <x:c r="M403" s="38" t="n">
        <x:v>206.408</x:v>
      </x:c>
      <x:c r="N403" s="38" t="n">
        <x:v>599.01</x:v>
      </x:c>
      <x:c r="O403" s="38" t="n">
        <x:v>447.9</x:v>
      </x:c>
      <x:c r="P403" s="38" t="n">
        <x:v>400</x:v>
      </x:c>
      <x:c r="Q403" s="38" t="n">
        <x:v>19.88</x:v>
      </x:c>
      <x:c r="R403" s="38" t="n">
        <x:v>43.7475</x:v>
      </x:c>
      <x:c r="S403" s="38" t="n">
        <x:v>70.47</x:v>
      </x:c>
      <x:c r="T403" s="40" t="n">
        <x:v>18</x:v>
      </x:c>
      <x:c r="U403" s="40" t="n">
        <x:v>0.57</x:v>
      </x:c>
      <x:c r="V403" s="38" t="n">
        <x:f>L403*(1-T403/100)*(1-U403/100)</x:f>
        <x:v>124.37227401800001</x:v>
      </x:c>
      <x:c r="W403" s="38" t="n">
        <x:f>G403*N403</x:f>
        <x:v>63601.08477</x:v>
      </x:c>
      <x:c r="X403" s="38" t="n">
        <x:f>H403*O403</x:f>
        <x:v>15159.1755</x:v>
      </x:c>
      <x:c r="Y403" s="38" t="n">
        <x:f>I403*P403</x:f>
        <x:v>2767.6</x:v>
      </x:c>
      <x:c r="Z403" s="38" t="n">
        <x:f>J403*Q403+K403*P403</x:f>
        <x:v>702.07424</x:v>
      </x:c>
      <x:c r="AA403" s="38" t="n">
        <x:f>M403*R403</x:f>
        <x:v>9029.83398</x:v>
      </x:c>
      <x:c r="AB403" s="38" t="n">
        <x:f>SUM(W403:AA403)</x:f>
        <x:v>91259.76849</x:v>
      </x:c>
      <x:c r="AC403" s="38" t="n">
        <x:v>5.34</x:v>
      </x:c>
      <x:c r="AD403" s="38" t="n">
        <x:v>174.33</x:v>
      </x:c>
      <x:c r="AE403" s="38" t="n">
        <x:v>65.35</x:v>
      </x:c>
      <x:c r="AF403" s="38" t="n">
        <x:v>4.8148</x:v>
      </x:c>
      <x:c r="AG403" s="38" t="n">
        <x:v>5.7</x:v>
      </x:c>
      <x:c r="AH403" s="38" t="n">
        <x:f>IF(E403="Fason",L403*S403,0)</x:f>
        <x:v>0</x:v>
      </x:c>
      <x:c r="AI403" s="38" t="n">
        <x:f>IF(E403="Kurum içi",AC403*AD403+AE403*AF403+AB403*12%,0)</x:f>
        <x:v>12196.741598800001</x:v>
      </x:c>
      <x:c r="AJ403" s="38" t="n">
        <x:f>V403*AG403</x:f>
        <x:v>708.9219619026001</x:v>
      </x:c>
      <x:c r="AK403" s="38" t="n">
        <x:f>AB403*2%</x:f>
        <x:v>1825.1953698</x:v>
      </x:c>
      <x:c r="AL403" s="38" t="n">
        <x:f>AB403+AH403+AI403+AJ403+AK403</x:f>
        <x:v>105990.6274205026</x:v>
      </x:c>
      <x:c r="AM403" s="38" t="n">
        <x:f>AL403/V403</x:f>
        <x:v>852.2046272560949</x:v>
      </x:c>
      <x:c r="AN403" s="40" t="n">
        <x:f>(W403+X403)/AL403*100</x:f>
        <x:v>74.30870274739479</x:v>
      </x:c>
      <x:c r="AO403" s="28" t="str">
        <x:v>R01-R20; ilgili satırdaki bölgesel fiyat ve maliyet varsayımları</x:v>
      </x:c>
      <x:c r="AP403" s="28" t="str">
        <x:v>Girdi miktarları, alım fiyatı değişimi, fason bedeli ve parti sonucu simüle edilmiştir; işletme kaydı değildir.</x:v>
      </x:c>
    </x:row>
    <x:row r="404" ht="22" customHeight="1">
      <x:c r="A404" t="str">
        <x:v>SUC-0403</x:v>
      </x:c>
      <x:c r="B404" s="36" t="n">
        <x:v>46317</x:v>
      </x:c>
      <x:c r="C404" t="str">
        <x:v>İç Anadolu</x:v>
      </x:c>
      <x:c r="D404" t="str">
        <x:v>MEB_STANDART</x:v>
      </x:c>
      <x:c r="E404" t="str">
        <x:v>Kurum içi</x:v>
      </x:c>
      <x:c r="F404" s="42" t="str">
        <x:v>SENTETİK/SİMÜLE — gerçek parti kaydı değildir</x:v>
      </x:c>
      <x:c r="G404" s="38" t="n">
        <x:v>333.339</x:v>
      </x:c>
      <x:c r="H404" s="38" t="n">
        <x:v>98.391</x:v>
      </x:c>
      <x:c r="I404" s="38" t="n">
        <x:v>20.533</x:v>
      </x:c>
      <x:c r="J404" s="38" t="n">
        <x:v>11.674</x:v>
      </x:c>
      <x:c r="K404" s="38" t="n">
        <x:v>4.3</x:v>
      </x:c>
      <x:c r="L404" s="38" t="n">
        <x:f>SUM(G404:K404)</x:f>
        <x:v>468.237</x:v>
      </x:c>
      <x:c r="M404" s="38" t="n">
        <x:v>604.729</x:v>
      </x:c>
      <x:c r="N404" s="38" t="n">
        <x:v>593.79</x:v>
      </x:c>
      <x:c r="O404" s="38" t="n">
        <x:v>431.91</x:v>
      </x:c>
      <x:c r="P404" s="38" t="n">
        <x:v>550</x:v>
      </x:c>
      <x:c r="Q404" s="38" t="n">
        <x:v>19.88</x:v>
      </x:c>
      <x:c r="R404" s="38" t="n">
        <x:v>43.7475</x:v>
      </x:c>
      <x:c r="S404" s="38" t="n">
        <x:v>119.12</x:v>
      </x:c>
      <x:c r="T404" s="40" t="n">
        <x:v>20.07</x:v>
      </x:c>
      <x:c r="U404" s="40" t="n">
        <x:v>0.69</x:v>
      </x:c>
      <x:c r="V404" s="38" t="n">
        <x:f>L404*(1-T404/100)*(1-U404/100)</x:f>
        <x:v>371.67942744471003</x:v>
      </x:c>
      <x:c r="W404" s="38" t="n">
        <x:f>G404*N404</x:f>
        <x:v>197933.36481</x:v>
      </x:c>
      <x:c r="X404" s="38" t="n">
        <x:f>H404*O404</x:f>
        <x:v>42496.05681</x:v>
      </x:c>
      <x:c r="Y404" s="38" t="n">
        <x:f>I404*P404</x:f>
        <x:v>11293.150000000001</x:v>
      </x:c>
      <x:c r="Z404" s="38" t="n">
        <x:f>J404*Q404+K404*P404</x:f>
        <x:v>2597.07912</x:v>
      </x:c>
      <x:c r="AA404" s="38" t="n">
        <x:f>M404*R404</x:f>
        <x:v>26455.381927500002</x:v>
      </x:c>
      <x:c r="AB404" s="38" t="n">
        <x:f>SUM(W404:AA404)</x:f>
        <x:v>280775.0326675</x:v>
      </x:c>
      <x:c r="AC404" s="38" t="n">
        <x:v>28.98</x:v>
      </x:c>
      <x:c r="AD404" s="38" t="n">
        <x:v>174.33</x:v>
      </x:c>
      <x:c r="AE404" s="38" t="n">
        <x:v>191.87</x:v>
      </x:c>
      <x:c r="AF404" s="38" t="n">
        <x:v>4.8148</x:v>
      </x:c>
      <x:c r="AG404" s="38" t="n">
        <x:v>5.76</x:v>
      </x:c>
      <x:c r="AH404" s="38" t="n">
        <x:f>IF(E404="Fason",L404*S404,0)</x:f>
        <x:v>0</x:v>
      </x:c>
      <x:c r="AI404" s="38" t="n">
        <x:f>IF(E404="Kurum içi",AC404*AD404+AE404*AF404+AB404*12%,0)</x:f>
        <x:v>39668.902996100005</x:v>
      </x:c>
      <x:c r="AJ404" s="38" t="n">
        <x:f>V404*AG404</x:f>
        <x:v>2140.8735020815298</x:v>
      </x:c>
      <x:c r="AK404" s="38" t="n">
        <x:f>AB404*2%</x:f>
        <x:v>5615.500653350001</x:v>
      </x:c>
      <x:c r="AL404" s="38" t="n">
        <x:f>AB404+AH404+AI404+AJ404+AK404</x:f>
        <x:v>328200.3098190316</x:v>
      </x:c>
      <x:c r="AM404" s="38" t="n">
        <x:f>AL404/V404</x:f>
        <x:v>883.0198434048485</x:v>
      </x:c>
      <x:c r="AN404" s="40" t="n">
        <x:f>(W404+X404)/AL404*100</x:f>
        <x:v>73.25691488608645</x:v>
      </x:c>
      <x:c r="AO404" s="28" t="str">
        <x:v>R01-R20; ilgili satırdaki bölgesel fiyat ve maliyet varsayımları</x:v>
      </x:c>
      <x:c r="AP404" s="28" t="str">
        <x:v>Girdi miktarları, alım fiyatı değişimi, fason bedeli ve parti sonucu simüle edilmiştir; işletme kaydı değildir.</x:v>
      </x:c>
    </x:row>
    <x:row r="405" ht="22" customHeight="1">
      <x:c r="A405" t="str">
        <x:v>SUC-0404</x:v>
      </x:c>
      <x:c r="B405" s="36" t="n">
        <x:v>46267</x:v>
      </x:c>
      <x:c r="C405" t="str">
        <x:v>Karadeniz</x:v>
      </x:c>
      <x:c r="D405" t="str">
        <x:v>MEB_STANDART</x:v>
      </x:c>
      <x:c r="E405" t="str">
        <x:v>Fason</x:v>
      </x:c>
      <x:c r="F405" s="42" t="str">
        <x:v>SENTETİK/SİMÜLE — gerçek parti kaydı değildir</x:v>
      </x:c>
      <x:c r="G405" s="38" t="n">
        <x:v>87.872</x:v>
      </x:c>
      <x:c r="H405" s="38" t="n">
        <x:v>27.957</x:v>
      </x:c>
      <x:c r="I405" s="38" t="n">
        <x:v>5.695</x:v>
      </x:c>
      <x:c r="J405" s="38" t="n">
        <x:v>3.01</x:v>
      </x:c>
      <x:c r="K405" s="38" t="n">
        <x:v>1.325</x:v>
      </x:c>
      <x:c r="L405" s="38" t="n">
        <x:f>SUM(G405:K405)</x:f>
        <x:v>125.85900000000001</x:v>
      </x:c>
      <x:c r="M405" s="38" t="n">
        <x:v>167.899</x:v>
      </x:c>
      <x:c r="N405" s="38" t="n">
        <x:v>609.55</x:v>
      </x:c>
      <x:c r="O405" s="38" t="n">
        <x:v>421.87</x:v>
      </x:c>
      <x:c r="P405" s="38" t="n">
        <x:v>669.9</x:v>
      </x:c>
      <x:c r="Q405" s="38" t="n">
        <x:v>19.88</x:v>
      </x:c>
      <x:c r="R405" s="38" t="n">
        <x:v>43.7475</x:v>
      </x:c>
      <x:c r="S405" s="38" t="n">
        <x:v>102.33</x:v>
      </x:c>
      <x:c r="T405" s="40" t="n">
        <x:v>18.05</x:v>
      </x:c>
      <x:c r="U405" s="40" t="n">
        <x:v>1.42</x:v>
      </x:c>
      <x:c r="V405" s="38" t="n">
        <x:f>L405*(1-T405/100)*(1-U405/100)</x:f>
        <x:v>101.67684190290001</x:v>
      </x:c>
      <x:c r="W405" s="38" t="n">
        <x:f>G405*N405</x:f>
        <x:v>53562.37759999999</x:v>
      </x:c>
      <x:c r="X405" s="38" t="n">
        <x:f>H405*O405</x:f>
        <x:v>11794.21959</x:v>
      </x:c>
      <x:c r="Y405" s="38" t="n">
        <x:f>I405*P405</x:f>
        <x:v>3815.0805</x:v>
      </x:c>
      <x:c r="Z405" s="38" t="n">
        <x:f>J405*Q405+K405*P405</x:f>
        <x:v>947.4562999999999</x:v>
      </x:c>
      <x:c r="AA405" s="38" t="n">
        <x:f>M405*R405</x:f>
        <x:v>7345.1615025</x:v>
      </x:c>
      <x:c r="AB405" s="38" t="n">
        <x:f>SUM(W405:AA405)</x:f>
        <x:v>77464.29549250001</x:v>
      </x:c>
      <x:c r="AC405" s="38" t="n">
        <x:v>7.18</x:v>
      </x:c>
      <x:c r="AD405" s="38" t="n">
        <x:v>174.33</x:v>
      </x:c>
      <x:c r="AE405" s="38" t="n">
        <x:v>55.78</x:v>
      </x:c>
      <x:c r="AF405" s="38" t="n">
        <x:v>4.8148</x:v>
      </x:c>
      <x:c r="AG405" s="38" t="n">
        <x:v>5.4</x:v>
      </x:c>
      <x:c r="AH405" s="38" t="n">
        <x:f>IF(E405="Fason",L405*S405,0)</x:f>
        <x:v>12879.15147</x:v>
      </x:c>
      <x:c r="AI405" s="38" t="n">
        <x:f>IF(E405="Kurum içi",AC405*AD405+AE405*AF405+AB405*12%,0)</x:f>
        <x:v>0</x:v>
      </x:c>
      <x:c r="AJ405" s="38" t="n">
        <x:f>V405*AG405</x:f>
        <x:v>549.0549462756601</x:v>
      </x:c>
      <x:c r="AK405" s="38" t="n">
        <x:f>AB405*2%</x:f>
        <x:v>1549.2859098500003</x:v>
      </x:c>
      <x:c r="AL405" s="38" t="n">
        <x:f>AB405+AH405+AI405+AJ405+AK405</x:f>
        <x:v>92441.78781862567</x:v>
      </x:c>
      <x:c r="AM405" s="38" t="n">
        <x:f>AL405/V405</x:f>
        <x:v>909.1724928564</x:v>
      </x:c>
      <x:c r="AN405" s="40" t="n">
        <x:f>(W405+X405)/AL405*100</x:f>
        <x:v>70.70027390451615</x:v>
      </x:c>
      <x:c r="AO405" s="28" t="str">
        <x:v>R01-R20; ilgili satırdaki bölgesel fiyat ve maliyet varsayımları</x:v>
      </x:c>
      <x:c r="AP405" s="28" t="str">
        <x:v>Girdi miktarları, alım fiyatı değişimi, fason bedeli ve parti sonucu simüle edilmiştir; işletme kaydı değildir.</x:v>
      </x:c>
    </x:row>
    <x:row r="406" ht="22" customHeight="1">
      <x:c r="A406" t="str">
        <x:v>SUC-0405</x:v>
      </x:c>
      <x:c r="B406" s="36" t="n">
        <x:v>46307</x:v>
      </x:c>
      <x:c r="C406" t="str">
        <x:v>Doğu Anadolu</x:v>
      </x:c>
      <x:c r="D406" t="str">
        <x:v>MEB_STANDART</x:v>
      </x:c>
      <x:c r="E406" t="str">
        <x:v>Kurum içi</x:v>
      </x:c>
      <x:c r="F406" s="42" t="str">
        <x:v>SENTETİK/SİMÜLE — gerçek parti kaydı değildir</x:v>
      </x:c>
      <x:c r="G406" s="38" t="n">
        <x:v>244.809</x:v>
      </x:c>
      <x:c r="H406" s="38" t="n">
        <x:v>75.82</x:v>
      </x:c>
      <x:c r="I406" s="38" t="n">
        <x:v>16.329</x:v>
      </x:c>
      <x:c r="J406" s="38" t="n">
        <x:v>8.606</x:v>
      </x:c>
      <x:c r="K406" s="38" t="n">
        <x:v>4.047</x:v>
      </x:c>
      <x:c r="L406" s="38" t="n">
        <x:f>SUM(G406:K406)</x:f>
        <x:v>349.61100000000005</x:v>
      </x:c>
      <x:c r="M406" s="38" t="n">
        <x:v>415.745</x:v>
      </x:c>
      <x:c r="N406" s="38" t="n">
        <x:v>592.12</x:v>
      </x:c>
      <x:c r="O406" s="38" t="n">
        <x:v>414.07</x:v>
      </x:c>
      <x:c r="P406" s="38" t="n">
        <x:v>669.9</x:v>
      </x:c>
      <x:c r="Q406" s="38" t="n">
        <x:v>19.88</x:v>
      </x:c>
      <x:c r="R406" s="38" t="n">
        <x:v>43.7475</x:v>
      </x:c>
      <x:c r="S406" s="38" t="n">
        <x:v>77</x:v>
      </x:c>
      <x:c r="T406" s="40" t="n">
        <x:v>24.6</x:v>
      </x:c>
      <x:c r="U406" s="40" t="n">
        <x:v>1.38</x:v>
      </x:c>
      <x:c r="V406" s="38" t="n">
        <x:f>L406*(1-T406/100)*(1-U406/100)</x:f>
        <x:v>259.96892162280005</x:v>
      </x:c>
      <x:c r="W406" s="38" t="n">
        <x:f>G406*N406</x:f>
        <x:v>144956.30508</x:v>
      </x:c>
      <x:c r="X406" s="38" t="n">
        <x:f>H406*O406</x:f>
        <x:v>31394.787399999997</x:v>
      </x:c>
      <x:c r="Y406" s="38" t="n">
        <x:f>I406*P406</x:f>
        <x:v>10938.7971</x:v>
      </x:c>
      <x:c r="Z406" s="38" t="n">
        <x:f>J406*Q406+K406*P406</x:f>
        <x:v>2882.17258</x:v>
      </x:c>
      <x:c r="AA406" s="38" t="n">
        <x:f>M406*R406</x:f>
        <x:v>18187.8043875</x:v>
      </x:c>
      <x:c r="AB406" s="38" t="n">
        <x:f>SUM(W406:AA406)</x:f>
        <x:v>208359.86654750002</x:v>
      </x:c>
      <x:c r="AC406" s="38" t="n">
        <x:v>15.18</x:v>
      </x:c>
      <x:c r="AD406" s="38" t="n">
        <x:v>174.33</x:v>
      </x:c>
      <x:c r="AE406" s="38" t="n">
        <x:v>160.84</x:v>
      </x:c>
      <x:c r="AF406" s="38" t="n">
        <x:v>4.8148</x:v>
      </x:c>
      <x:c r="AG406" s="38" t="n">
        <x:v>5.88</x:v>
      </x:c>
      <x:c r="AH406" s="38" t="n">
        <x:f>IF(E406="Fason",L406*S406,0)</x:f>
        <x:v>0</x:v>
      </x:c>
      <x:c r="AI406" s="38" t="n">
        <x:f>IF(E406="Kurum içi",AC406*AD406+AE406*AF406+AB406*12%,0)</x:f>
        <x:v>28423.9258177</x:v>
      </x:c>
      <x:c r="AJ406" s="38" t="n">
        <x:f>V406*AG406</x:f>
        <x:v>1528.6172591420643</x:v>
      </x:c>
      <x:c r="AK406" s="38" t="n">
        <x:f>AB406*2%</x:f>
        <x:v>4167.197330950001</x:v>
      </x:c>
      <x:c r="AL406" s="38" t="n">
        <x:f>AB406+AH406+AI406+AJ406+AK406</x:f>
        <x:v>242479.60695529208</x:v>
      </x:c>
      <x:c r="AM406" s="38" t="n">
        <x:f>AL406/V406</x:f>
        <x:v>932.7253636383354</x:v>
      </x:c>
      <x:c r="AN406" s="40" t="n">
        <x:f>(W406+X406)/AL406*100</x:f>
        <x:v>72.72821607324498</x:v>
      </x:c>
      <x:c r="AO406" s="28" t="str">
        <x:v>R01-R20; ilgili satırdaki bölgesel fiyat ve maliyet varsayımları</x:v>
      </x:c>
      <x:c r="AP406" s="28" t="str">
        <x:v>Girdi miktarları, alım fiyatı değişimi, fason bedeli ve parti sonucu simüle edilmiştir; işletme kaydı değildir.</x:v>
      </x:c>
    </x:row>
    <x:row r="407" ht="22" customHeight="1">
      <x:c r="A407" t="str">
        <x:v>SUC-0406</x:v>
      </x:c>
      <x:c r="B407" s="36" t="n">
        <x:v>46277</x:v>
      </x:c>
      <x:c r="C407" t="str">
        <x:v>İç Anadolu</x:v>
      </x:c>
      <x:c r="D407" t="str">
        <x:v>MEB_STANDART</x:v>
      </x:c>
      <x:c r="E407" t="str">
        <x:v>Fason</x:v>
      </x:c>
      <x:c r="F407" s="42" t="str">
        <x:v>SENTETİK/SİMÜLE — gerçek parti kaydı değildir</x:v>
      </x:c>
      <x:c r="G407" s="38" t="n">
        <x:v>238.294</x:v>
      </x:c>
      <x:c r="H407" s="38" t="n">
        <x:v>71.741</x:v>
      </x:c>
      <x:c r="I407" s="38" t="n">
        <x:v>15.201</x:v>
      </x:c>
      <x:c r="J407" s="38" t="n">
        <x:v>8.127</x:v>
      </x:c>
      <x:c r="K407" s="38" t="n">
        <x:v>3.246</x:v>
      </x:c>
      <x:c r="L407" s="38" t="n">
        <x:f>SUM(G407:K407)</x:f>
        <x:v>336.60900000000004</x:v>
      </x:c>
      <x:c r="M407" s="38" t="n">
        <x:v>391.672</x:v>
      </x:c>
      <x:c r="N407" s="38" t="n">
        <x:v>575.77</x:v>
      </x:c>
      <x:c r="O407" s="38" t="n">
        <x:v>471.02</x:v>
      </x:c>
      <x:c r="P407" s="38" t="n">
        <x:v>550</x:v>
      </x:c>
      <x:c r="Q407" s="38" t="n">
        <x:v>19.88</x:v>
      </x:c>
      <x:c r="R407" s="38" t="n">
        <x:v>43.7475</x:v>
      </x:c>
      <x:c r="S407" s="38" t="n">
        <x:v>121.22</x:v>
      </x:c>
      <x:c r="T407" s="40" t="n">
        <x:v>18.09</x:v>
      </x:c>
      <x:c r="U407" s="40" t="n">
        <x:v>1.77</x:v>
      </x:c>
      <x:c r="V407" s="38" t="n">
        <x:f>L407*(1-T407/100)*(1-U407/100)</x:f>
        <x:v>270.83625105537004</x:v>
      </x:c>
      <x:c r="W407" s="38" t="n">
        <x:f>G407*N407</x:f>
        <x:v>137202.53638</x:v>
      </x:c>
      <x:c r="X407" s="38" t="n">
        <x:f>H407*O407</x:f>
        <x:v>33791.44582</x:v>
      </x:c>
      <x:c r="Y407" s="38" t="n">
        <x:f>I407*P407</x:f>
        <x:v>8360.550000000001</x:v>
      </x:c>
      <x:c r="Z407" s="38" t="n">
        <x:f>J407*Q407+K407*P407</x:f>
        <x:v>1946.86476</x:v>
      </x:c>
      <x:c r="AA407" s="38" t="n">
        <x:f>M407*R407</x:f>
        <x:v>17134.670820000003</x:v>
      </x:c>
      <x:c r="AB407" s="38" t="n">
        <x:f>SUM(W407:AA407)</x:f>
        <x:v>198436.06777999998</x:v>
      </x:c>
      <x:c r="AC407" s="38" t="n">
        <x:v>15.08</x:v>
      </x:c>
      <x:c r="AD407" s="38" t="n">
        <x:v>174.33</x:v>
      </x:c>
      <x:c r="AE407" s="38" t="n">
        <x:v>144.69</x:v>
      </x:c>
      <x:c r="AF407" s="38" t="n">
        <x:v>4.8148</x:v>
      </x:c>
      <x:c r="AG407" s="38" t="n">
        <x:v>5.84</x:v>
      </x:c>
      <x:c r="AH407" s="38" t="n">
        <x:f>IF(E407="Fason",L407*S407,0)</x:f>
        <x:v>40803.74298</x:v>
      </x:c>
      <x:c r="AI407" s="38" t="n">
        <x:f>IF(E407="Kurum içi",AC407*AD407+AE407*AF407+AB407*12%,0)</x:f>
        <x:v>0</x:v>
      </x:c>
      <x:c r="AJ407" s="38" t="n">
        <x:f>V407*AG407</x:f>
        <x:v>1581.683706163361</x:v>
      </x:c>
      <x:c r="AK407" s="38" t="n">
        <x:f>AB407*2%</x:f>
        <x:v>3968.7213555999997</x:v>
      </x:c>
      <x:c r="AL407" s="38" t="n">
        <x:f>AB407+AH407+AI407+AJ407+AK407</x:f>
        <x:v>244790.21582176336</x:v>
      </x:c>
      <x:c r="AM407" s="38" t="n">
        <x:f>AL407/V407</x:f>
        <x:v>903.8310597930932</x:v>
      </x:c>
      <x:c r="AN407" s="40" t="n">
        <x:f>(W407+X407)/AL407*100</x:f>
        <x:v>69.85327482390234</x:v>
      </x:c>
      <x:c r="AO407" s="28" t="str">
        <x:v>R01-R20; ilgili satırdaki bölgesel fiyat ve maliyet varsayımları</x:v>
      </x:c>
      <x:c r="AP407" s="28" t="str">
        <x:v>Girdi miktarları, alım fiyatı değişimi, fason bedeli ve parti sonucu simüle edilmiştir; işletme kaydı değildir.</x:v>
      </x:c>
    </x:row>
    <x:row r="408" ht="22" customHeight="1">
      <x:c r="A408" t="str">
        <x:v>SUC-0407</x:v>
      </x:c>
      <x:c r="B408" s="36" t="n">
        <x:v>46276</x:v>
      </x:c>
      <x:c r="C408" t="str">
        <x:v>Karadeniz</x:v>
      </x:c>
      <x:c r="D408" t="str">
        <x:v>MEB_STANDART</x:v>
      </x:c>
      <x:c r="E408" t="str">
        <x:v>Fason</x:v>
      </x:c>
      <x:c r="F408" s="42" t="str">
        <x:v>SENTETİK/SİMÜLE — gerçek parti kaydı değildir</x:v>
      </x:c>
      <x:c r="G408" s="38" t="n">
        <x:v>84.133</x:v>
      </x:c>
      <x:c r="H408" s="38" t="n">
        <x:v>27.488</x:v>
      </x:c>
      <x:c r="I408" s="38" t="n">
        <x:v>5.108</x:v>
      </x:c>
      <x:c r="J408" s="38" t="n">
        <x:v>3.209</x:v>
      </x:c>
      <x:c r="K408" s="38" t="n">
        <x:v>1.259</x:v>
      </x:c>
      <x:c r="L408" s="38" t="n">
        <x:f>SUM(G408:K408)</x:f>
        <x:v>121.197</x:v>
      </x:c>
      <x:c r="M408" s="38" t="n">
        <x:v>143.465</x:v>
      </x:c>
      <x:c r="N408" s="38" t="n">
        <x:v>597.76</x:v>
      </x:c>
      <x:c r="O408" s="38" t="n">
        <x:v>441.32</x:v>
      </x:c>
      <x:c r="P408" s="38" t="n">
        <x:v>550</x:v>
      </x:c>
      <x:c r="Q408" s="38" t="n">
        <x:v>19.88</x:v>
      </x:c>
      <x:c r="R408" s="38" t="n">
        <x:v>43.7475</x:v>
      </x:c>
      <x:c r="S408" s="38" t="n">
        <x:v>65.71</x:v>
      </x:c>
      <x:c r="T408" s="40" t="n">
        <x:v>27.58</x:v>
      </x:c>
      <x:c r="U408" s="40" t="n">
        <x:v>1.32</x:v>
      </x:c>
      <x:c r="V408" s="38" t="n">
        <x:f>L408*(1-T408/100)*(1-U408/100)</x:f>
        <x:v>86.61229195032</x:v>
      </x:c>
      <x:c r="W408" s="38" t="n">
        <x:f>G408*N408</x:f>
        <x:v>50291.342079999995</x:v>
      </x:c>
      <x:c r="X408" s="38" t="n">
        <x:f>H408*O408</x:f>
        <x:v>12131.00416</x:v>
      </x:c>
      <x:c r="Y408" s="38" t="n">
        <x:f>I408*P408</x:f>
        <x:v>2809.3999999999996</x:v>
      </x:c>
      <x:c r="Z408" s="38" t="n">
        <x:f>J408*Q408+K408*P408</x:f>
        <x:v>756.24492</x:v>
      </x:c>
      <x:c r="AA408" s="38" t="n">
        <x:f>M408*R408</x:f>
        <x:v>6276.2350875</x:v>
      </x:c>
      <x:c r="AB408" s="38" t="n">
        <x:f>SUM(W408:AA408)</x:f>
        <x:v>72264.2262475</x:v>
      </x:c>
      <x:c r="AC408" s="38" t="n">
        <x:v>7.62</x:v>
      </x:c>
      <x:c r="AD408" s="38" t="n">
        <x:v>174.33</x:v>
      </x:c>
      <x:c r="AE408" s="38" t="n">
        <x:v>27.58</x:v>
      </x:c>
      <x:c r="AF408" s="38" t="n">
        <x:v>4.8148</x:v>
      </x:c>
      <x:c r="AG408" s="38" t="n">
        <x:v>5.34</x:v>
      </x:c>
      <x:c r="AH408" s="38" t="n">
        <x:f>IF(E408="Fason",L408*S408,0)</x:f>
        <x:v>7963.854869999999</x:v>
      </x:c>
      <x:c r="AI408" s="38" t="n">
        <x:f>IF(E408="Kurum içi",AC408*AD408+AE408*AF408+AB408*12%,0)</x:f>
        <x:v>0</x:v>
      </x:c>
      <x:c r="AJ408" s="38" t="n">
        <x:f>V408*AG408</x:f>
        <x:v>462.5096390147088</x:v>
      </x:c>
      <x:c r="AK408" s="38" t="n">
        <x:f>AB408*2%</x:f>
        <x:v>1445.28452495</x:v>
      </x:c>
      <x:c r="AL408" s="38" t="n">
        <x:f>AB408+AH408+AI408+AJ408+AK408</x:f>
        <x:v>82135.8752814647</x:v>
      </x:c>
      <x:c r="AM408" s="38" t="n">
        <x:f>AL408/V408</x:f>
        <x:v>948.3166122491837</x:v>
      </x:c>
      <x:c r="AN408" s="40" t="n">
        <x:f>(W408+X408)/AL408*100</x:f>
        <x:v>75.9988811540511</x:v>
      </x:c>
      <x:c r="AO408" s="28" t="str">
        <x:v>R01-R20; ilgili satırdaki bölgesel fiyat ve maliyet varsayımları</x:v>
      </x:c>
      <x:c r="AP408" s="28" t="str">
        <x:v>Girdi miktarları, alım fiyatı değişimi, fason bedeli ve parti sonucu simüle edilmiştir; işletme kaydı değildir.</x:v>
      </x:c>
    </x:row>
    <x:row r="409" ht="22" customHeight="1">
      <x:c r="A409" t="str">
        <x:v>SUC-0408</x:v>
      </x:c>
      <x:c r="B409" s="36" t="n">
        <x:v>46282</x:v>
      </x:c>
      <x:c r="C409" t="str">
        <x:v>Güneydoğu Anadolu</x:v>
      </x:c>
      <x:c r="D409" t="str">
        <x:v>MEB_STANDART</x:v>
      </x:c>
      <x:c r="E409" t="str">
        <x:v>Fason</x:v>
      </x:c>
      <x:c r="F409" s="42" t="str">
        <x:v>SENTETİK/SİMÜLE — gerçek parti kaydı değildir</x:v>
      </x:c>
      <x:c r="G409" s="38" t="n">
        <x:v>122.643</x:v>
      </x:c>
      <x:c r="H409" s="38" t="n">
        <x:v>37.307</x:v>
      </x:c>
      <x:c r="I409" s="38" t="n">
        <x:v>7.811</x:v>
      </x:c>
      <x:c r="J409" s="38" t="n">
        <x:v>4.163</x:v>
      </x:c>
      <x:c r="K409" s="38" t="n">
        <x:v>1.919</x:v>
      </x:c>
      <x:c r="L409" s="38" t="n">
        <x:f>SUM(G409:K409)</x:f>
        <x:v>173.84300000000002</x:v>
      </x:c>
      <x:c r="M409" s="38" t="n">
        <x:v>203.779</x:v>
      </x:c>
      <x:c r="N409" s="38" t="n">
        <x:v>580.51</x:v>
      </x:c>
      <x:c r="O409" s="38" t="n">
        <x:v>416.28</x:v>
      </x:c>
      <x:c r="P409" s="38" t="n">
        <x:v>550</x:v>
      </x:c>
      <x:c r="Q409" s="38" t="n">
        <x:v>19.88</x:v>
      </x:c>
      <x:c r="R409" s="38" t="n">
        <x:v>43.7475</x:v>
      </x:c>
      <x:c r="S409" s="38" t="n">
        <x:v>99.83</x:v>
      </x:c>
      <x:c r="T409" s="40" t="n">
        <x:v>19.97</x:v>
      </x:c>
      <x:c r="U409" s="40" t="n">
        <x:v>1.61</x:v>
      </x:c>
      <x:c r="V409" s="38" t="n">
        <x:f>L409*(1-T409/100)*(1-U409/100)</x:f>
        <x:v>136.88661539831</x:v>
      </x:c>
      <x:c r="W409" s="38" t="n">
        <x:f>G409*N409</x:f>
        <x:v>71195.48793</x:v>
      </x:c>
      <x:c r="X409" s="38" t="n">
        <x:f>H409*O409</x:f>
        <x:v>15530.15796</x:v>
      </x:c>
      <x:c r="Y409" s="38" t="n">
        <x:f>I409*P409</x:f>
        <x:v>4296.05</x:v>
      </x:c>
      <x:c r="Z409" s="38" t="n">
        <x:f>J409*Q409+K409*P409</x:f>
        <x:v>1138.21044</x:v>
      </x:c>
      <x:c r="AA409" s="38" t="n">
        <x:f>M409*R409</x:f>
        <x:v>8914.8218025</x:v>
      </x:c>
      <x:c r="AB409" s="38" t="n">
        <x:f>SUM(W409:AA409)</x:f>
        <x:v>101074.7281325</x:v>
      </x:c>
      <x:c r="AC409" s="38" t="n">
        <x:v>8.85</x:v>
      </x:c>
      <x:c r="AD409" s="38" t="n">
        <x:v>174.33</x:v>
      </x:c>
      <x:c r="AE409" s="38" t="n">
        <x:v>77.38</x:v>
      </x:c>
      <x:c r="AF409" s="38" t="n">
        <x:v>4.8148</x:v>
      </x:c>
      <x:c r="AG409" s="38" t="n">
        <x:v>5.54</x:v>
      </x:c>
      <x:c r="AH409" s="38" t="n">
        <x:f>IF(E409="Fason",L409*S409,0)</x:f>
        <x:v>17354.74669</x:v>
      </x:c>
      <x:c r="AI409" s="38" t="n">
        <x:f>IF(E409="Kurum içi",AC409*AD409+AE409*AF409+AB409*12%,0)</x:f>
        <x:v>0</x:v>
      </x:c>
      <x:c r="AJ409" s="38" t="n">
        <x:f>V409*AG409</x:f>
        <x:v>758.3518493066374</x:v>
      </x:c>
      <x:c r="AK409" s="38" t="n">
        <x:f>AB409*2%</x:f>
        <x:v>2021.4945626499998</x:v>
      </x:c>
      <x:c r="AL409" s="38" t="n">
        <x:f>AB409+AH409+AI409+AJ409+AK409</x:f>
        <x:v>121209.32123445663</x:v>
      </x:c>
      <x:c r="AM409" s="38" t="n">
        <x:f>AL409/V409</x:f>
        <x:v>885.4724100071005</x:v>
      </x:c>
      <x:c r="AN409" s="40" t="n">
        <x:f>(W409+X409)/AL409*100</x:f>
        <x:v>71.55031065824183</x:v>
      </x:c>
      <x:c r="AO409" s="28" t="str">
        <x:v>R01-R20; ilgili satırdaki bölgesel fiyat ve maliyet varsayımları</x:v>
      </x:c>
      <x:c r="AP409" s="28" t="str">
        <x:v>Girdi miktarları, alım fiyatı değişimi, fason bedeli ve parti sonucu simüle edilmiştir; işletme kaydı değildir.</x:v>
      </x:c>
    </x:row>
    <x:row r="410" ht="22" customHeight="1">
      <x:c r="A410" t="str">
        <x:v>SUC-0409</x:v>
      </x:c>
      <x:c r="B410" s="36" t="n">
        <x:v>46304</x:v>
      </x:c>
      <x:c r="C410" t="str">
        <x:v>Marmara</x:v>
      </x:c>
      <x:c r="D410" t="str">
        <x:v>ERZURUM_CI</x:v>
      </x:c>
      <x:c r="E410" t="str">
        <x:v>Kurum içi</x:v>
      </x:c>
      <x:c r="F410" s="42" t="str">
        <x:v>SENTETİK/SİMÜLE — gerçek parti kaydı değildir</x:v>
      </x:c>
      <x:c r="G410" s="38" t="n">
        <x:v>215.111</x:v>
      </x:c>
      <x:c r="H410" s="38" t="n">
        <x:v>38.892</x:v>
      </x:c>
      <x:c r="I410" s="38" t="n">
        <x:v>12.259</x:v>
      </x:c>
      <x:c r="J410" s="38" t="n">
        <x:v>4.561</x:v>
      </x:c>
      <x:c r="K410" s="38" t="n">
        <x:v>0.121</x:v>
      </x:c>
      <x:c r="L410" s="38" t="n">
        <x:f>SUM(G410:K410)</x:f>
        <x:v>270.94399999999996</x:v>
      </x:c>
      <x:c r="M410" s="38" t="n">
        <x:v>325.247</x:v>
      </x:c>
      <x:c r="N410" s="38" t="n">
        <x:v>616.89</x:v>
      </x:c>
      <x:c r="O410" s="38" t="n">
        <x:v>414.85</x:v>
      </x:c>
      <x:c r="P410" s="38" t="n">
        <x:v>400</x:v>
      </x:c>
      <x:c r="Q410" s="38" t="n">
        <x:v>19.88</x:v>
      </x:c>
      <x:c r="R410" s="38" t="n">
        <x:v>43.7475</x:v>
      </x:c>
      <x:c r="S410" s="38" t="n">
        <x:v>115.26</x:v>
      </x:c>
      <x:c r="T410" s="40" t="n">
        <x:v>27.23</x:v>
      </x:c>
      <x:c r="U410" s="40" t="n">
        <x:v>0.76</x:v>
      </x:c>
      <x:c r="V410" s="38" t="n">
        <x:f>L410*(1-T410/100)*(1-U410/100)</x:f>
        <x:v>195.66748758911996</x:v>
      </x:c>
      <x:c r="W410" s="38" t="n">
        <x:f>G410*N410</x:f>
        <x:v>132699.82478999998</x:v>
      </x:c>
      <x:c r="X410" s="38" t="n">
        <x:f>H410*O410</x:f>
        <x:v>16134.346200000002</x:v>
      </x:c>
      <x:c r="Y410" s="38" t="n">
        <x:f>I410*P410</x:f>
        <x:v>4903.6</x:v>
      </x:c>
      <x:c r="Z410" s="38" t="n">
        <x:f>J410*Q410+K410*P410</x:f>
        <x:v>139.07268</x:v>
      </x:c>
      <x:c r="AA410" s="38" t="n">
        <x:f>M410*R410</x:f>
        <x:v>14228.743132500002</x:v>
      </x:c>
      <x:c r="AB410" s="38" t="n">
        <x:f>SUM(W410:AA410)</x:f>
        <x:v>168105.5868025</x:v>
      </x:c>
      <x:c r="AC410" s="38" t="n">
        <x:v>18.21</x:v>
      </x:c>
      <x:c r="AD410" s="38" t="n">
        <x:v>174.33</x:v>
      </x:c>
      <x:c r="AE410" s="38" t="n">
        <x:v>102.35</x:v>
      </x:c>
      <x:c r="AF410" s="38" t="n">
        <x:v>4.8148</x:v>
      </x:c>
      <x:c r="AG410" s="38" t="n">
        <x:v>5.2</x:v>
      </x:c>
      <x:c r="AH410" s="38" t="n">
        <x:f>IF(E410="Fason",L410*S410,0)</x:f>
        <x:v>0</x:v>
      </x:c>
      <x:c r="AI410" s="38" t="n">
        <x:f>IF(E410="Kurum içi",AC410*AD410+AE410*AF410+AB410*12%,0)</x:f>
        <x:v>23840.0144963</x:v>
      </x:c>
      <x:c r="AJ410" s="38" t="n">
        <x:f>V410*AG410</x:f>
        <x:v>1017.4709354634239</x:v>
      </x:c>
      <x:c r="AK410" s="38" t="n">
        <x:f>AB410*2%</x:f>
        <x:v>3362.11173605</x:v>
      </x:c>
      <x:c r="AL410" s="38" t="n">
        <x:f>AB410+AH410+AI410+AJ410+AK410</x:f>
        <x:v>196325.1839703134</x:v>
      </x:c>
      <x:c r="AM410" s="38" t="n">
        <x:f>AL410/V410</x:f>
        <x:v>1003.3612961933386</x:v>
      </x:c>
      <x:c r="AN410" s="40" t="n">
        <x:f>(W410+X410)/AL410*100</x:f>
        <x:v>75.81002496985073</x:v>
      </x:c>
      <x:c r="AO410" s="28" t="str">
        <x:v>R01-R20; ilgili satırdaki bölgesel fiyat ve maliyet varsayımları</x:v>
      </x:c>
      <x:c r="AP410" s="28" t="str">
        <x:v>Girdi miktarları, alım fiyatı değişimi, fason bedeli ve parti sonucu simüle edilmiştir; işletme kaydı değildir.</x:v>
      </x:c>
    </x:row>
    <x:row r="411" ht="22" customHeight="1">
      <x:c r="A411" t="str">
        <x:v>SUC-0410</x:v>
      </x:c>
      <x:c r="B411" s="36" t="n">
        <x:v>46272</x:v>
      </x:c>
      <x:c r="C411" t="str">
        <x:v>İç Anadolu</x:v>
      </x:c>
      <x:c r="D411" t="str">
        <x:v>ERZURUM_CI</x:v>
      </x:c>
      <x:c r="E411" t="str">
        <x:v>Kurum içi</x:v>
      </x:c>
      <x:c r="F411" s="42" t="str">
        <x:v>SENTETİK/SİMÜLE — gerçek parti kaydı değildir</x:v>
      </x:c>
      <x:c r="G411" s="38" t="n">
        <x:v>262.334</x:v>
      </x:c>
      <x:c r="H411" s="38" t="n">
        <x:v>45.088</x:v>
      </x:c>
      <x:c r="I411" s="38" t="n">
        <x:v>15.916</x:v>
      </x:c>
      <x:c r="J411" s="38" t="n">
        <x:v>4.612</x:v>
      </x:c>
      <x:c r="K411" s="38" t="n">
        <x:v>0.198</x:v>
      </x:c>
      <x:c r="L411" s="38" t="n">
        <x:f>SUM(G411:K411)</x:f>
        <x:v>328.148</x:v>
      </x:c>
      <x:c r="M411" s="38" t="n">
        <x:v>397.712</x:v>
      </x:c>
      <x:c r="N411" s="38" t="n">
        <x:v>598.16</x:v>
      </x:c>
      <x:c r="O411" s="38" t="n">
        <x:v>463.2</x:v>
      </x:c>
      <x:c r="P411" s="38" t="n">
        <x:v>400</x:v>
      </x:c>
      <x:c r="Q411" s="38" t="n">
        <x:v>19.88</x:v>
      </x:c>
      <x:c r="R411" s="38" t="n">
        <x:v>43.7475</x:v>
      </x:c>
      <x:c r="S411" s="38" t="n">
        <x:v>74.07</x:v>
      </x:c>
      <x:c r="T411" s="40" t="n">
        <x:v>28.98</x:v>
      </x:c>
      <x:c r="U411" s="40" t="n">
        <x:v>1.05</x:v>
      </x:c>
      <x:c r="V411" s="38" t="n">
        <x:f>L411*(1-T411/100)*(1-U411/100)</x:f>
        <x:v>230.60367714920002</x:v>
      </x:c>
      <x:c r="W411" s="38" t="n">
        <x:f>G411*N411</x:f>
        <x:v>156917.70544</x:v>
      </x:c>
      <x:c r="X411" s="38" t="n">
        <x:f>H411*O411</x:f>
        <x:v>20884.7616</x:v>
      </x:c>
      <x:c r="Y411" s="38" t="n">
        <x:f>I411*P411</x:f>
        <x:v>6366.400000000001</x:v>
      </x:c>
      <x:c r="Z411" s="38" t="n">
        <x:f>J411*Q411+K411*P411</x:f>
        <x:v>170.88656</x:v>
      </x:c>
      <x:c r="AA411" s="38" t="n">
        <x:f>M411*R411</x:f>
        <x:v>17398.90572</x:v>
      </x:c>
      <x:c r="AB411" s="38" t="n">
        <x:f>SUM(W411:AA411)</x:f>
        <x:v>201738.65932</x:v>
      </x:c>
      <x:c r="AC411" s="38" t="n">
        <x:v>15.32</x:v>
      </x:c>
      <x:c r="AD411" s="38" t="n">
        <x:v>174.33</x:v>
      </x:c>
      <x:c r="AE411" s="38" t="n">
        <x:v>127.96</x:v>
      </x:c>
      <x:c r="AF411" s="38" t="n">
        <x:v>4.8148</x:v>
      </x:c>
      <x:c r="AG411" s="38" t="n">
        <x:v>5.13</x:v>
      </x:c>
      <x:c r="AH411" s="38" t="n">
        <x:f>IF(E411="Fason",L411*S411,0)</x:f>
        <x:v>0</x:v>
      </x:c>
      <x:c r="AI411" s="38" t="n">
        <x:f>IF(E411="Kurum içi",AC411*AD411+AE411*AF411+AB411*12%,0)</x:f>
        <x:v>27495.476526399998</x:v>
      </x:c>
      <x:c r="AJ411" s="38" t="n">
        <x:f>V411*AG411</x:f>
        <x:v>1182.9968637753962</x:v>
      </x:c>
      <x:c r="AK411" s="38" t="n">
        <x:f>AB411*2%</x:f>
        <x:v>4034.7731864</x:v>
      </x:c>
      <x:c r="AL411" s="38" t="n">
        <x:f>AB411+AH411+AI411+AJ411+AK411</x:f>
        <x:v>234451.9058965754</x:v>
      </x:c>
      <x:c r="AM411" s="38" t="n">
        <x:f>AL411/V411</x:f>
        <x:v>1016.6876295944127</x:v>
      </x:c>
      <x:c r="AN411" s="40" t="n">
        <x:f>(W411+X411)/AL411*100</x:f>
        <x:v>75.83750123935211</x:v>
      </x:c>
      <x:c r="AO411" s="28" t="str">
        <x:v>R01-R20; ilgili satırdaki bölgesel fiyat ve maliyet varsayımları</x:v>
      </x:c>
      <x:c r="AP411" s="28" t="str">
        <x:v>Girdi miktarları, alım fiyatı değişimi, fason bedeli ve parti sonucu simüle edilmiştir; işletme kaydı değildir.</x:v>
      </x:c>
    </x:row>
    <x:row r="412" ht="22" customHeight="1">
      <x:c r="A412" t="str">
        <x:v>SUC-0411</x:v>
      </x:c>
      <x:c r="B412" s="36" t="n">
        <x:v>46298</x:v>
      </x:c>
      <x:c r="C412" t="str">
        <x:v>Karadeniz</x:v>
      </x:c>
      <x:c r="D412" t="str">
        <x:v>MEB_STANDART</x:v>
      </x:c>
      <x:c r="E412" t="str">
        <x:v>Kurum içi</x:v>
      </x:c>
      <x:c r="F412" s="42" t="str">
        <x:v>SENTETİK/SİMÜLE — gerçek parti kaydı değildir</x:v>
      </x:c>
      <x:c r="G412" s="38" t="n">
        <x:v>236.882</x:v>
      </x:c>
      <x:c r="H412" s="38" t="n">
        <x:v>72.359</x:v>
      </x:c>
      <x:c r="I412" s="38" t="n">
        <x:v>15.122</x:v>
      </x:c>
      <x:c r="J412" s="38" t="n">
        <x:v>8.654</x:v>
      </x:c>
      <x:c r="K412" s="38" t="n">
        <x:v>3.132</x:v>
      </x:c>
      <x:c r="L412" s="38" t="n">
        <x:f>SUM(G412:K412)</x:f>
        <x:v>336.149</x:v>
      </x:c>
      <x:c r="M412" s="38" t="n">
        <x:v>427.549</x:v>
      </x:c>
      <x:c r="N412" s="38" t="n">
        <x:v>606.43</x:v>
      </x:c>
      <x:c r="O412" s="38" t="n">
        <x:v>465.98</x:v>
      </x:c>
      <x:c r="P412" s="38" t="n">
        <x:v>550</x:v>
      </x:c>
      <x:c r="Q412" s="38" t="n">
        <x:v>19.88</x:v>
      </x:c>
      <x:c r="R412" s="38" t="n">
        <x:v>43.7475</x:v>
      </x:c>
      <x:c r="S412" s="38" t="n">
        <x:v>107.94</x:v>
      </x:c>
      <x:c r="T412" s="40" t="n">
        <x:v>21.07</x:v>
      </x:c>
      <x:c r="U412" s="40" t="n">
        <x:v>1.57</x:v>
      </x:c>
      <x:c r="V412" s="38" t="n">
        <x:f>L412*(1-T412/100)*(1-U412/100)</x:f>
        <x:v>261.15684393051</x:v>
      </x:c>
      <x:c r="W412" s="38" t="n">
        <x:f>G412*N412</x:f>
        <x:v>143652.35126</x:v>
      </x:c>
      <x:c r="X412" s="38" t="n">
        <x:f>H412*O412</x:f>
        <x:v>33717.84682</x:v>
      </x:c>
      <x:c r="Y412" s="38" t="n">
        <x:f>I412*P412</x:f>
        <x:v>8317.1</x:v>
      </x:c>
      <x:c r="Z412" s="38" t="n">
        <x:f>J412*Q412+K412*P412</x:f>
        <x:v>1894.6415200000001</x:v>
      </x:c>
      <x:c r="AA412" s="38" t="n">
        <x:f>M412*R412</x:f>
        <x:v>18704.1998775</x:v>
      </x:c>
      <x:c r="AB412" s="38" t="n">
        <x:f>SUM(W412:AA412)</x:f>
        <x:v>206286.13947750002</x:v>
      </x:c>
      <x:c r="AC412" s="38" t="n">
        <x:v>17.35</x:v>
      </x:c>
      <x:c r="AD412" s="38" t="n">
        <x:v>174.33</x:v>
      </x:c>
      <x:c r="AE412" s="38" t="n">
        <x:v>145.77</x:v>
      </x:c>
      <x:c r="AF412" s="38" t="n">
        <x:v>4.8148</x:v>
      </x:c>
      <x:c r="AG412" s="38" t="n">
        <x:v>5.38</x:v>
      </x:c>
      <x:c r="AH412" s="38" t="n">
        <x:f>IF(E412="Fason",L412*S412,0)</x:f>
        <x:v>0</x:v>
      </x:c>
      <x:c r="AI412" s="38" t="n">
        <x:f>IF(E412="Kurum içi",AC412*AD412+AE412*AF412+AB412*12%,0)</x:f>
        <x:v>28480.8156333</x:v>
      </x:c>
      <x:c r="AJ412" s="38" t="n">
        <x:f>V412*AG412</x:f>
        <x:v>1405.0238203461436</x:v>
      </x:c>
      <x:c r="AK412" s="38" t="n">
        <x:f>AB412*2%</x:f>
        <x:v>4125.722789550001</x:v>
      </x:c>
      <x:c r="AL412" s="38" t="n">
        <x:f>AB412+AH412+AI412+AJ412+AK412</x:f>
        <x:v>240297.70172069615</x:v>
      </x:c>
      <x:c r="AM412" s="38" t="n">
        <x:f>AL412/V412</x:f>
        <x:v>920.1279128056696</x:v>
      </x:c>
      <x:c r="AN412" s="40" t="n">
        <x:f>(W412+X412)/AL412*100</x:f>
        <x:v>73.81269017968457</x:v>
      </x:c>
      <x:c r="AO412" s="28" t="str">
        <x:v>R01-R20; ilgili satırdaki bölgesel fiyat ve maliyet varsayımları</x:v>
      </x:c>
      <x:c r="AP412" s="28" t="str">
        <x:v>Girdi miktarları, alım fiyatı değişimi, fason bedeli ve parti sonucu simüle edilmiştir; işletme kaydı değildir.</x:v>
      </x:c>
    </x:row>
    <x:row r="413" ht="22" customHeight="1">
      <x:c r="A413" t="str">
        <x:v>SUC-0412</x:v>
      </x:c>
      <x:c r="B413" s="36" t="n">
        <x:v>46285</x:v>
      </x:c>
      <x:c r="C413" t="str">
        <x:v>Güneydoğu Anadolu</x:v>
      </x:c>
      <x:c r="D413" t="str">
        <x:v>ERZURUM_CI</x:v>
      </x:c>
      <x:c r="E413" t="str">
        <x:v>Kurum içi</x:v>
      </x:c>
      <x:c r="F413" s="42" t="str">
        <x:v>SENTETİK/SİMÜLE — gerçek parti kaydı değildir</x:v>
      </x:c>
      <x:c r="G413" s="38" t="n">
        <x:v>139.747</x:v>
      </x:c>
      <x:c r="H413" s="38" t="n">
        <x:v>24.435</x:v>
      </x:c>
      <x:c r="I413" s="38" t="n">
        <x:v>8.551</x:v>
      </x:c>
      <x:c r="J413" s="38" t="n">
        <x:v>2.792</x:v>
      </x:c>
      <x:c r="K413" s="38" t="n">
        <x:v>0.191</x:v>
      </x:c>
      <x:c r="L413" s="38" t="n">
        <x:f>SUM(G413:K413)</x:f>
        <x:v>175.716</x:v>
      </x:c>
      <x:c r="M413" s="38" t="n">
        <x:v>211.473</x:v>
      </x:c>
      <x:c r="N413" s="38" t="n">
        <x:v>592.69</x:v>
      </x:c>
      <x:c r="O413" s="38" t="n">
        <x:v>418.4</x:v>
      </x:c>
      <x:c r="P413" s="38" t="n">
        <x:v>550</x:v>
      </x:c>
      <x:c r="Q413" s="38" t="n">
        <x:v>19.88</x:v>
      </x:c>
      <x:c r="R413" s="38" t="n">
        <x:v>43.7475</x:v>
      </x:c>
      <x:c r="S413" s="38" t="n">
        <x:v>83.74</x:v>
      </x:c>
      <x:c r="T413" s="40" t="n">
        <x:v>18.92</x:v>
      </x:c>
      <x:c r="U413" s="40" t="n">
        <x:v>1.57</x:v>
      </x:c>
      <x:c r="V413" s="38" t="n">
        <x:f>L413*(1-T413/100)*(1-U413/100)</x:f>
        <x:v>140.23374543504</x:v>
      </x:c>
      <x:c r="W413" s="38" t="n">
        <x:f>G413*N413</x:f>
        <x:v>82826.64943000002</x:v>
      </x:c>
      <x:c r="X413" s="38" t="n">
        <x:f>H413*O413</x:f>
        <x:v>10223.604</x:v>
      </x:c>
      <x:c r="Y413" s="38" t="n">
        <x:f>I413*P413</x:f>
        <x:v>4703.05</x:v>
      </x:c>
      <x:c r="Z413" s="38" t="n">
        <x:f>J413*Q413+K413*P413</x:f>
        <x:v>160.55496</x:v>
      </x:c>
      <x:c r="AA413" s="38" t="n">
        <x:f>M413*R413</x:f>
        <x:v>9251.415067500002</x:v>
      </x:c>
      <x:c r="AB413" s="38" t="n">
        <x:f>SUM(W413:AA413)</x:f>
        <x:v>107165.2734575</x:v>
      </x:c>
      <x:c r="AC413" s="38" t="n">
        <x:v>11.74</x:v>
      </x:c>
      <x:c r="AD413" s="38" t="n">
        <x:v>174.33</x:v>
      </x:c>
      <x:c r="AE413" s="38" t="n">
        <x:v>83.93</x:v>
      </x:c>
      <x:c r="AF413" s="38" t="n">
        <x:v>4.8148</x:v>
      </x:c>
      <x:c r="AG413" s="38" t="n">
        <x:v>5.72</x:v>
      </x:c>
      <x:c r="AH413" s="38" t="n">
        <x:f>IF(E413="Fason",L413*S413,0)</x:f>
        <x:v>0</x:v>
      </x:c>
      <x:c r="AI413" s="38" t="n">
        <x:f>IF(E413="Kurum içi",AC413*AD413+AE413*AF413+AB413*12%,0)</x:f>
        <x:v>15310.573178900002</x:v>
      </x:c>
      <x:c r="AJ413" s="38" t="n">
        <x:f>V413*AG413</x:f>
        <x:v>802.1370238884288</x:v>
      </x:c>
      <x:c r="AK413" s="38" t="n">
        <x:f>AB413*2%</x:f>
        <x:v>2143.30546915</x:v>
      </x:c>
      <x:c r="AL413" s="38" t="n">
        <x:f>AB413+AH413+AI413+AJ413+AK413</x:f>
        <x:v>125421.28912943843</x:v>
      </x:c>
      <x:c r="AM413" s="38" t="n">
        <x:f>AL413/V413</x:f>
        <x:v>894.3730964351723</x:v>
      </x:c>
      <x:c r="AN413" s="40" t="n">
        <x:f>(W413+X413)/AL413*100</x:f>
        <x:v>74.19015868507732</x:v>
      </x:c>
      <x:c r="AO413" s="28" t="str">
        <x:v>R01-R20; ilgili satırdaki bölgesel fiyat ve maliyet varsayımları</x:v>
      </x:c>
      <x:c r="AP413" s="28" t="str">
        <x:v>Girdi miktarları, alım fiyatı değişimi, fason bedeli ve parti sonucu simüle edilmiştir; işletme kaydı değildir.</x:v>
      </x:c>
    </x:row>
    <x:row r="414" ht="22" customHeight="1">
      <x:c r="A414" t="str">
        <x:v>SUC-0413</x:v>
      </x:c>
      <x:c r="B414" s="36" t="n">
        <x:v>46294</x:v>
      </x:c>
      <x:c r="C414" t="str">
        <x:v>Karadeniz</x:v>
      </x:c>
      <x:c r="D414" t="str">
        <x:v>MEB_STANDART</x:v>
      </x:c>
      <x:c r="E414" t="str">
        <x:v>Kurum içi</x:v>
      </x:c>
      <x:c r="F414" s="42" t="str">
        <x:v>SENTETİK/SİMÜLE — gerçek parti kaydı değildir</x:v>
      </x:c>
      <x:c r="G414" s="38" t="n">
        <x:v>231.88</x:v>
      </x:c>
      <x:c r="H414" s="38" t="n">
        <x:v>71.521</x:v>
      </x:c>
      <x:c r="I414" s="38" t="n">
        <x:v>14.586</x:v>
      </x:c>
      <x:c r="J414" s="38" t="n">
        <x:v>7.942</x:v>
      </x:c>
      <x:c r="K414" s="38" t="n">
        <x:v>3.035</x:v>
      </x:c>
      <x:c r="L414" s="38" t="n">
        <x:f>SUM(G414:K414)</x:f>
        <x:v>328.96400000000006</x:v>
      </x:c>
      <x:c r="M414" s="38" t="n">
        <x:v>442.064</x:v>
      </x:c>
      <x:c r="N414" s="38" t="n">
        <x:v>600.84</x:v>
      </x:c>
      <x:c r="O414" s="38" t="n">
        <x:v>445.87</x:v>
      </x:c>
      <x:c r="P414" s="38" t="n">
        <x:v>669.9</x:v>
      </x:c>
      <x:c r="Q414" s="38" t="n">
        <x:v>19.88</x:v>
      </x:c>
      <x:c r="R414" s="38" t="n">
        <x:v>43.7475</x:v>
      </x:c>
      <x:c r="S414" s="38" t="n">
        <x:v>115.89</x:v>
      </x:c>
      <x:c r="T414" s="40" t="n">
        <x:v>31.93</x:v>
      </x:c>
      <x:c r="U414" s="40" t="n">
        <x:v>0.41</x:v>
      </x:c>
      <x:c r="V414" s="38" t="n">
        <x:f>L414*(1-T414/100)*(1-U414/100)</x:f>
        <x:v>223.00769904132005</x:v>
      </x:c>
      <x:c r="W414" s="38" t="n">
        <x:f>G414*N414</x:f>
        <x:v>139322.77920000002</x:v>
      </x:c>
      <x:c r="X414" s="38" t="n">
        <x:f>H414*O414</x:f>
        <x:v>31889.06827</x:v>
      </x:c>
      <x:c r="Y414" s="38" t="n">
        <x:f>I414*P414</x:f>
        <x:v>9771.161399999999</x:v>
      </x:c>
      <x:c r="Z414" s="38" t="n">
        <x:f>J414*Q414+K414*P414</x:f>
        <x:v>2191.03346</x:v>
      </x:c>
      <x:c r="AA414" s="38" t="n">
        <x:f>M414*R414</x:f>
        <x:v>19339.194840000004</x:v>
      </x:c>
      <x:c r="AB414" s="38" t="n">
        <x:f>SUM(W414:AA414)</x:f>
        <x:v>202513.23717000004</x:v>
      </x:c>
      <x:c r="AC414" s="38" t="n">
        <x:v>13.62</x:v>
      </x:c>
      <x:c r="AD414" s="38" t="n">
        <x:v>174.33</x:v>
      </x:c>
      <x:c r="AE414" s="38" t="n">
        <x:v>130.94</x:v>
      </x:c>
      <x:c r="AF414" s="38" t="n">
        <x:v>4.8148</x:v>
      </x:c>
      <x:c r="AG414" s="38" t="n">
        <x:v>5.74</x:v>
      </x:c>
      <x:c r="AH414" s="38" t="n">
        <x:f>IF(E414="Fason",L414*S414,0)</x:f>
        <x:v>0</x:v>
      </x:c>
      <x:c r="AI414" s="38" t="n">
        <x:f>IF(E414="Kurum içi",AC414*AD414+AE414*AF414+AB414*12%,0)</x:f>
        <x:v>27306.4129724</x:v>
      </x:c>
      <x:c r="AJ414" s="38" t="n">
        <x:f>V414*AG414</x:f>
        <x:v>1280.0641924971771</x:v>
      </x:c>
      <x:c r="AK414" s="38" t="n">
        <x:f>AB414*2%</x:f>
        <x:v>4050.264743400001</x:v>
      </x:c>
      <x:c r="AL414" s="38" t="n">
        <x:f>AB414+AH414+AI414+AJ414+AK414</x:f>
        <x:v>235149.9790782972</x:v>
      </x:c>
      <x:c r="AM414" s="38" t="n">
        <x:f>AL414/V414</x:f>
        <x:v>1054.4478064621767</x:v>
      </x:c>
      <x:c r="AN414" s="40" t="n">
        <x:f>(W414+X414)/AL414*100</x:f>
        <x:v>72.80963755178226</x:v>
      </x:c>
      <x:c r="AO414" s="28" t="str">
        <x:v>R01-R20; ilgili satırdaki bölgesel fiyat ve maliyet varsayımları</x:v>
      </x:c>
      <x:c r="AP414" s="28" t="str">
        <x:v>Girdi miktarları, alım fiyatı değişimi, fason bedeli ve parti sonucu simüle edilmiştir; işletme kaydı değildir.</x:v>
      </x:c>
    </x:row>
    <x:row r="415" ht="22" customHeight="1">
      <x:c r="A415" t="str">
        <x:v>SUC-0414</x:v>
      </x:c>
      <x:c r="B415" s="36" t="n">
        <x:v>46291</x:v>
      </x:c>
      <x:c r="C415" t="str">
        <x:v>Akdeniz</x:v>
      </x:c>
      <x:c r="D415" t="str">
        <x:v>ERZURUM_CI</x:v>
      </x:c>
      <x:c r="E415" t="str">
        <x:v>Kurum içi</x:v>
      </x:c>
      <x:c r="F415" s="42" t="str">
        <x:v>SENTETİK/SİMÜLE — gerçek parti kaydı değildir</x:v>
      </x:c>
      <x:c r="G415" s="38" t="n">
        <x:v>258.33</x:v>
      </x:c>
      <x:c r="H415" s="38" t="n">
        <x:v>43.193</x:v>
      </x:c>
      <x:c r="I415" s="38" t="n">
        <x:v>14.463</x:v>
      </x:c>
      <x:c r="J415" s="38" t="n">
        <x:v>5.616</x:v>
      </x:c>
      <x:c r="K415" s="38" t="n">
        <x:v>0.033</x:v>
      </x:c>
      <x:c r="L415" s="38" t="n">
        <x:f>SUM(G415:K415)</x:f>
        <x:v>321.635</x:v>
      </x:c>
      <x:c r="M415" s="38" t="n">
        <x:v>404.99</x:v>
      </x:c>
      <x:c r="N415" s="38" t="n">
        <x:v>574.72</x:v>
      </x:c>
      <x:c r="O415" s="38" t="n">
        <x:v>409.93</x:v>
      </x:c>
      <x:c r="P415" s="38" t="n">
        <x:v>400</x:v>
      </x:c>
      <x:c r="Q415" s="38" t="n">
        <x:v>19.88</x:v>
      </x:c>
      <x:c r="R415" s="38" t="n">
        <x:v>43.7475</x:v>
      </x:c>
      <x:c r="S415" s="38" t="n">
        <x:v>117.49</x:v>
      </x:c>
      <x:c r="T415" s="40" t="n">
        <x:v>23.13</x:v>
      </x:c>
      <x:c r="U415" s="40" t="n">
        <x:v>1.31</x:v>
      </x:c>
      <x:c r="V415" s="38" t="n">
        <x:f>L415*(1-T415/100)*(1-U415/100)</x:f>
        <x:v>244.00196969905</x:v>
      </x:c>
      <x:c r="W415" s="38" t="n">
        <x:f>G415*N415</x:f>
        <x:v>148467.4176</x:v>
      </x:c>
      <x:c r="X415" s="38" t="n">
        <x:f>H415*O415</x:f>
        <x:v>17706.10649</x:v>
      </x:c>
      <x:c r="Y415" s="38" t="n">
        <x:f>I415*P415</x:f>
        <x:v>5785.2</x:v>
      </x:c>
      <x:c r="Z415" s="38" t="n">
        <x:f>J415*Q415+K415*P415</x:f>
        <x:v>124.84607999999999</x:v>
      </x:c>
      <x:c r="AA415" s="38" t="n">
        <x:f>M415*R415</x:f>
        <x:v>17717.300025</x:v>
      </x:c>
      <x:c r="AB415" s="38" t="n">
        <x:f>SUM(W415:AA415)</x:f>
        <x:v>189800.870195</x:v>
      </x:c>
      <x:c r="AC415" s="38" t="n">
        <x:v>17.01</x:v>
      </x:c>
      <x:c r="AD415" s="38" t="n">
        <x:v>174.33</x:v>
      </x:c>
      <x:c r="AE415" s="38" t="n">
        <x:v>131.56</x:v>
      </x:c>
      <x:c r="AF415" s="38" t="n">
        <x:v>4.8148</x:v>
      </x:c>
      <x:c r="AG415" s="38" t="n">
        <x:v>5.33</x:v>
      </x:c>
      <x:c r="AH415" s="38" t="n">
        <x:f>IF(E415="Fason",L415*S415,0)</x:f>
        <x:v>0</x:v>
      </x:c>
      <x:c r="AI415" s="38" t="n">
        <x:f>IF(E415="Kurum içi",AC415*AD415+AE415*AF415+AB415*12%,0)</x:f>
        <x:v>26374.8928114</x:v>
      </x:c>
      <x:c r="AJ415" s="38" t="n">
        <x:f>V415*AG415</x:f>
        <x:v>1300.5304984959364</x:v>
      </x:c>
      <x:c r="AK415" s="38" t="n">
        <x:f>AB415*2%</x:f>
        <x:v>3796.0174039</x:v>
      </x:c>
      <x:c r="AL415" s="38" t="n">
        <x:f>AB415+AH415+AI415+AJ415+AK415</x:f>
        <x:v>221272.31090879595</x:v>
      </x:c>
      <x:c r="AM415" s="38" t="n">
        <x:f>AL415/V415</x:f>
        <x:v>906.8464126814688</x:v>
      </x:c>
      <x:c r="AN415" s="40" t="n">
        <x:f>(W415+X415)/AL415*100</x:f>
        <x:v>75.09910454114316</x:v>
      </x:c>
      <x:c r="AO415" s="28" t="str">
        <x:v>R01-R20; ilgili satırdaki bölgesel fiyat ve maliyet varsayımları</x:v>
      </x:c>
      <x:c r="AP415" s="28" t="str">
        <x:v>Girdi miktarları, alım fiyatı değişimi, fason bedeli ve parti sonucu simüle edilmiştir; işletme kaydı değildir.</x:v>
      </x:c>
    </x:row>
    <x:row r="416" ht="22" customHeight="1">
      <x:c r="A416" t="str">
        <x:v>SUC-0415</x:v>
      </x:c>
      <x:c r="B416" s="36" t="n">
        <x:v>46298</x:v>
      </x:c>
      <x:c r="C416" t="str">
        <x:v>Güneydoğu Anadolu</x:v>
      </x:c>
      <x:c r="D416" t="str">
        <x:v>ERZURUM_CI</x:v>
      </x:c>
      <x:c r="E416" t="str">
        <x:v>Kurum içi</x:v>
      </x:c>
      <x:c r="F416" s="42" t="str">
        <x:v>SENTETİK/SİMÜLE — gerçek parti kaydı değildir</x:v>
      </x:c>
      <x:c r="G416" s="38" t="n">
        <x:v>228.766</x:v>
      </x:c>
      <x:c r="H416" s="38" t="n">
        <x:v>38.033</x:v>
      </x:c>
      <x:c r="I416" s="38" t="n">
        <x:v>13.404</x:v>
      </x:c>
      <x:c r="J416" s="38" t="n">
        <x:v>4.949</x:v>
      </x:c>
      <x:c r="K416" s="38" t="n">
        <x:v>0.699</x:v>
      </x:c>
      <x:c r="L416" s="38" t="n">
        <x:f>SUM(G416:K416)</x:f>
        <x:v>285.851</x:v>
      </x:c>
      <x:c r="M416" s="38" t="n">
        <x:v>379.944</x:v>
      </x:c>
      <x:c r="N416" s="38" t="n">
        <x:v>591.48</x:v>
      </x:c>
      <x:c r="O416" s="38" t="n">
        <x:v>436.02</x:v>
      </x:c>
      <x:c r="P416" s="38" t="n">
        <x:v>400</x:v>
      </x:c>
      <x:c r="Q416" s="38" t="n">
        <x:v>19.88</x:v>
      </x:c>
      <x:c r="R416" s="38" t="n">
        <x:v>43.7475</x:v>
      </x:c>
      <x:c r="S416" s="38" t="n">
        <x:v>103.48</x:v>
      </x:c>
      <x:c r="T416" s="40" t="n">
        <x:v>18.79</x:v>
      </x:c>
      <x:c r="U416" s="40" t="n">
        <x:v>0.4</x:v>
      </x:c>
      <x:c r="V416" s="38" t="n">
        <x:f>L416*(1-T416/100)*(1-U416/100)</x:f>
        <x:v>231.2110387116</x:v>
      </x:c>
      <x:c r="W416" s="38" t="n">
        <x:f>G416*N416</x:f>
        <x:v>135310.51368</x:v>
      </x:c>
      <x:c r="X416" s="38" t="n">
        <x:f>H416*O416</x:f>
        <x:v>16583.14866</x:v>
      </x:c>
      <x:c r="Y416" s="38" t="n">
        <x:f>I416*P416</x:f>
        <x:v>5361.6</x:v>
      </x:c>
      <x:c r="Z416" s="38" t="n">
        <x:f>J416*Q416+K416*P416</x:f>
        <x:v>377.98611999999997</x:v>
      </x:c>
      <x:c r="AA416" s="38" t="n">
        <x:f>M416*R416</x:f>
        <x:v>16621.600140000002</x:v>
      </x:c>
      <x:c r="AB416" s="38" t="n">
        <x:f>SUM(W416:AA416)</x:f>
        <x:v>174254.8486</x:v>
      </x:c>
      <x:c r="AC416" s="38" t="n">
        <x:v>12.38</x:v>
      </x:c>
      <x:c r="AD416" s="38" t="n">
        <x:v>174.33</x:v>
      </x:c>
      <x:c r="AE416" s="38" t="n">
        <x:v>118.37</x:v>
      </x:c>
      <x:c r="AF416" s="38" t="n">
        <x:v>4.8148</x:v>
      </x:c>
      <x:c r="AG416" s="38" t="n">
        <x:v>5.28</x:v>
      </x:c>
      <x:c r="AH416" s="38" t="n">
        <x:f>IF(E416="Fason",L416*S416,0)</x:f>
        <x:v>0</x:v>
      </x:c>
      <x:c r="AI416" s="38" t="n">
        <x:f>IF(E416="Kurum içi",AC416*AD416+AE416*AF416+AB416*12%,0)</x:f>
        <x:v>23638.715108</x:v>
      </x:c>
      <x:c r="AJ416" s="38" t="n">
        <x:f>V416*AG416</x:f>
        <x:v>1220.794284397248</x:v>
      </x:c>
      <x:c r="AK416" s="38" t="n">
        <x:f>AB416*2%</x:f>
        <x:v>3485.096972</x:v>
      </x:c>
      <x:c r="AL416" s="38" t="n">
        <x:f>AB416+AH416+AI416+AJ416+AK416</x:f>
        <x:v>202599.45496439724</x:v>
      </x:c>
      <x:c r="AM416" s="38" t="n">
        <x:f>AL416/V416</x:f>
        <x:v>876.2533834602452</x:v>
      </x:c>
      <x:c r="AN416" s="40" t="n">
        <x:f>(W416+X416)/AL416*100</x:f>
        <x:v>74.97239435648643</x:v>
      </x:c>
      <x:c r="AO416" s="28" t="str">
        <x:v>R01-R20; ilgili satırdaki bölgesel fiyat ve maliyet varsayımları</x:v>
      </x:c>
      <x:c r="AP416" s="28" t="str">
        <x:v>Girdi miktarları, alım fiyatı değişimi, fason bedeli ve parti sonucu simüle edilmiştir; işletme kaydı değildir.</x:v>
      </x:c>
    </x:row>
    <x:row r="417" ht="22" customHeight="1">
      <x:c r="A417" t="str">
        <x:v>SUC-0416</x:v>
      </x:c>
      <x:c r="B417" s="36" t="n">
        <x:v>46273</x:v>
      </x:c>
      <x:c r="C417" t="str">
        <x:v>Ege</x:v>
      </x:c>
      <x:c r="D417" t="str">
        <x:v>MEB_STANDART</x:v>
      </x:c>
      <x:c r="E417" t="str">
        <x:v>Fason</x:v>
      </x:c>
      <x:c r="F417" s="42" t="str">
        <x:v>SENTETİK/SİMÜLE — gerçek parti kaydı değildir</x:v>
      </x:c>
      <x:c r="G417" s="38" t="n">
        <x:v>245.12</x:v>
      </x:c>
      <x:c r="H417" s="38" t="n">
        <x:v>74.591</x:v>
      </x:c>
      <x:c r="I417" s="38" t="n">
        <x:v>16.173</x:v>
      </x:c>
      <x:c r="J417" s="38" t="n">
        <x:v>9.299</x:v>
      </x:c>
      <x:c r="K417" s="38" t="n">
        <x:v>3.784</x:v>
      </x:c>
      <x:c r="L417" s="38" t="n">
        <x:f>SUM(G417:K417)</x:f>
        <x:v>348.967</x:v>
      </x:c>
      <x:c r="M417" s="38" t="n">
        <x:v>428.381</x:v>
      </x:c>
      <x:c r="N417" s="38" t="n">
        <x:v>612.52</x:v>
      </x:c>
      <x:c r="O417" s="38" t="n">
        <x:v>418.41</x:v>
      </x:c>
      <x:c r="P417" s="38" t="n">
        <x:v>669.9</x:v>
      </x:c>
      <x:c r="Q417" s="38" t="n">
        <x:v>19.88</x:v>
      </x:c>
      <x:c r="R417" s="38" t="n">
        <x:v>43.7475</x:v>
      </x:c>
      <x:c r="S417" s="38" t="n">
        <x:v>110.03</x:v>
      </x:c>
      <x:c r="T417" s="40" t="n">
        <x:v>19.48</x:v>
      </x:c>
      <x:c r="U417" s="40" t="n">
        <x:v>1.72</x:v>
      </x:c>
      <x:c r="V417" s="38" t="n">
        <x:f>L417*(1-T417/100)*(1-U417/100)</x:f>
        <x:v>276.15523087151996</x:v>
      </x:c>
      <x:c r="W417" s="38" t="n">
        <x:f>G417*N417</x:f>
        <x:v>150140.9024</x:v>
      </x:c>
      <x:c r="X417" s="38" t="n">
        <x:f>H417*O417</x:f>
        <x:v>31209.62031</x:v>
      </x:c>
      <x:c r="Y417" s="38" t="n">
        <x:f>I417*P417</x:f>
        <x:v>10834.292699999998</x:v>
      </x:c>
      <x:c r="Z417" s="38" t="n">
        <x:f>J417*Q417+K417*P417</x:f>
        <x:v>2719.76572</x:v>
      </x:c>
      <x:c r="AA417" s="38" t="n">
        <x:f>M417*R417</x:f>
        <x:v>18740.5977975</x:v>
      </x:c>
      <x:c r="AB417" s="38" t="n">
        <x:f>SUM(W417:AA417)</x:f>
        <x:v>213645.17892749998</x:v>
      </x:c>
      <x:c r="AC417" s="38" t="n">
        <x:v>13.4</x:v>
      </x:c>
      <x:c r="AD417" s="38" t="n">
        <x:v>174.33</x:v>
      </x:c>
      <x:c r="AE417" s="38" t="n">
        <x:v>100.74</x:v>
      </x:c>
      <x:c r="AF417" s="38" t="n">
        <x:v>4.8148</x:v>
      </x:c>
      <x:c r="AG417" s="38" t="n">
        <x:v>5.81</x:v>
      </x:c>
      <x:c r="AH417" s="38" t="n">
        <x:f>IF(E417="Fason",L417*S417,0)</x:f>
        <x:v>38396.839009999996</x:v>
      </x:c>
      <x:c r="AI417" s="38" t="n">
        <x:f>IF(E417="Kurum içi",AC417*AD417+AE417*AF417+AB417*12%,0)</x:f>
        <x:v>0</x:v>
      </x:c>
      <x:c r="AJ417" s="38" t="n">
        <x:f>V417*AG417</x:f>
        <x:v>1604.4618913635309</x:v>
      </x:c>
      <x:c r="AK417" s="38" t="n">
        <x:f>AB417*2%</x:f>
        <x:v>4272.90357855</x:v>
      </x:c>
      <x:c r="AL417" s="38" t="n">
        <x:f>AB417+AH417+AI417+AJ417+AK417</x:f>
        <x:v>257919.3834074135</x:v>
      </x:c>
      <x:c r="AM417" s="38" t="n">
        <x:f>AL417/V417</x:f>
        <x:v>933.9652288803082</x:v>
      </x:c>
      <x:c r="AN417" s="40" t="n">
        <x:f>(W417+X417)/AL417*100</x:f>
        <x:v>70.31287075602839</x:v>
      </x:c>
      <x:c r="AO417" s="28" t="str">
        <x:v>R01-R20; ilgili satırdaki bölgesel fiyat ve maliyet varsayımları</x:v>
      </x:c>
      <x:c r="AP417" s="28" t="str">
        <x:v>Girdi miktarları, alım fiyatı değişimi, fason bedeli ve parti sonucu simüle edilmiştir; işletme kaydı değildir.</x:v>
      </x:c>
    </x:row>
    <x:row r="418" ht="22" customHeight="1">
      <x:c r="A418" t="str">
        <x:v>SUC-0417</x:v>
      </x:c>
      <x:c r="B418" s="36" t="n">
        <x:v>46276</x:v>
      </x:c>
      <x:c r="C418" t="str">
        <x:v>Marmara</x:v>
      </x:c>
      <x:c r="D418" t="str">
        <x:v>MEB_STANDART</x:v>
      </x:c>
      <x:c r="E418" t="str">
        <x:v>Kurum içi</x:v>
      </x:c>
      <x:c r="F418" s="42" t="str">
        <x:v>SENTETİK/SİMÜLE — gerçek parti kaydı değildir</x:v>
      </x:c>
      <x:c r="G418" s="38" t="n">
        <x:v>87.629</x:v>
      </x:c>
      <x:c r="H418" s="38" t="n">
        <x:v>26.477</x:v>
      </x:c>
      <x:c r="I418" s="38" t="n">
        <x:v>5.418</x:v>
      </x:c>
      <x:c r="J418" s="38" t="n">
        <x:v>3.194</x:v>
      </x:c>
      <x:c r="K418" s="38" t="n">
        <x:v>1.31</x:v>
      </x:c>
      <x:c r="L418" s="38" t="n">
        <x:f>SUM(G418:K418)</x:f>
        <x:v>124.02800000000002</x:v>
      </x:c>
      <x:c r="M418" s="38" t="n">
        <x:v>150.945</x:v>
      </x:c>
      <x:c r="N418" s="38" t="n">
        <x:v>616.13</x:v>
      </x:c>
      <x:c r="O418" s="38" t="n">
        <x:v>437.89</x:v>
      </x:c>
      <x:c r="P418" s="38" t="n">
        <x:v>669.9</x:v>
      </x:c>
      <x:c r="Q418" s="38" t="n">
        <x:v>19.88</x:v>
      </x:c>
      <x:c r="R418" s="38" t="n">
        <x:v>43.7475</x:v>
      </x:c>
      <x:c r="S418" s="38" t="n">
        <x:v>100.38</x:v>
      </x:c>
      <x:c r="T418" s="40" t="n">
        <x:v>24.97</x:v>
      </x:c>
      <x:c r="U418" s="40" t="n">
        <x:v>0.8</x:v>
      </x:c>
      <x:c r="V418" s="38" t="n">
        <x:f>L418*(1-T418/100)*(1-U418/100)</x:f>
        <x:v>92.31374273280001</x:v>
      </x:c>
      <x:c r="W418" s="38" t="n">
        <x:f>G418*N418</x:f>
        <x:v>53990.85577</x:v>
      </x:c>
      <x:c r="X418" s="38" t="n">
        <x:f>H418*O418</x:f>
        <x:v>11594.01353</x:v>
      </x:c>
      <x:c r="Y418" s="38" t="n">
        <x:f>I418*P418</x:f>
        <x:v>3629.5182</x:v>
      </x:c>
      <x:c r="Z418" s="38" t="n">
        <x:f>J418*Q418+K418*P418</x:f>
        <x:v>941.0657199999999</x:v>
      </x:c>
      <x:c r="AA418" s="38" t="n">
        <x:f>M418*R418</x:f>
        <x:v>6603.4663875</x:v>
      </x:c>
      <x:c r="AB418" s="38" t="n">
        <x:f>SUM(W418:AA418)</x:f>
        <x:v>76758.9196075</x:v>
      </x:c>
      <x:c r="AC418" s="38" t="n">
        <x:v>7.94</x:v>
      </x:c>
      <x:c r="AD418" s="38" t="n">
        <x:v>174.33</x:v>
      </x:c>
      <x:c r="AE418" s="38" t="n">
        <x:v>31.99</x:v>
      </x:c>
      <x:c r="AF418" s="38" t="n">
        <x:v>4.8148</x:v>
      </x:c>
      <x:c r="AG418" s="38" t="n">
        <x:v>5.77</x:v>
      </x:c>
      <x:c r="AH418" s="38" t="n">
        <x:f>IF(E418="Fason",L418*S418,0)</x:f>
        <x:v>0</x:v>
      </x:c>
      <x:c r="AI418" s="38" t="n">
        <x:f>IF(E418="Kurum içi",AC418*AD418+AE418*AF418+AB418*12%,0)</x:f>
        <x:v>10749.2760049</x:v>
      </x:c>
      <x:c r="AJ418" s="38" t="n">
        <x:f>V418*AG418</x:f>
        <x:v>532.650295568256</x:v>
      </x:c>
      <x:c r="AK418" s="38" t="n">
        <x:f>AB418*2%</x:f>
        <x:v>1535.1783921500003</x:v>
      </x:c>
      <x:c r="AL418" s="38" t="n">
        <x:f>AB418+AH418+AI418+AJ418+AK418</x:f>
        <x:v>89576.02430011827</x:v>
      </x:c>
      <x:c r="AM418" s="38" t="n">
        <x:f>AL418/V418</x:f>
        <x:v>970.3433275302681</x:v>
      </x:c>
      <x:c r="AN418" s="40" t="n">
        <x:f>(W418+X418)/AL418*100</x:f>
        <x:v>73.21699060929791</x:v>
      </x:c>
      <x:c r="AO418" s="28" t="str">
        <x:v>R01-R20; ilgili satırdaki bölgesel fiyat ve maliyet varsayımları</x:v>
      </x:c>
      <x:c r="AP418" s="28" t="str">
        <x:v>Girdi miktarları, alım fiyatı değişimi, fason bedeli ve parti sonucu simüle edilmiştir; işletme kaydı değildir.</x:v>
      </x:c>
    </x:row>
    <x:row r="419" ht="22" customHeight="1">
      <x:c r="A419" t="str">
        <x:v>SUC-0418</x:v>
      </x:c>
      <x:c r="B419" s="36" t="n">
        <x:v>46290</x:v>
      </x:c>
      <x:c r="C419" t="str">
        <x:v>Güneydoğu Anadolu</x:v>
      </x:c>
      <x:c r="D419" t="str">
        <x:v>ERZURUM_CI</x:v>
      </x:c>
      <x:c r="E419" t="str">
        <x:v>Kurum içi</x:v>
      </x:c>
      <x:c r="F419" s="42" t="str">
        <x:v>SENTETİK/SİMÜLE — gerçek parti kaydı değildir</x:v>
      </x:c>
      <x:c r="G419" s="38" t="n">
        <x:v>180.728</x:v>
      </x:c>
      <x:c r="H419" s="38" t="n">
        <x:v>34.07</x:v>
      </x:c>
      <x:c r="I419" s="38" t="n">
        <x:v>11.205</x:v>
      </x:c>
      <x:c r="J419" s="38" t="n">
        <x:v>3.632</x:v>
      </x:c>
      <x:c r="K419" s="38" t="n">
        <x:v>0.023</x:v>
      </x:c>
      <x:c r="L419" s="38" t="n">
        <x:f>SUM(G419:K419)</x:f>
        <x:v>229.65800000000002</x:v>
      </x:c>
      <x:c r="M419" s="38" t="n">
        <x:v>280.748</x:v>
      </x:c>
      <x:c r="N419" s="38" t="n">
        <x:v>584.3</x:v>
      </x:c>
      <x:c r="O419" s="38" t="n">
        <x:v>474.8</x:v>
      </x:c>
      <x:c r="P419" s="38" t="n">
        <x:v>669.9</x:v>
      </x:c>
      <x:c r="Q419" s="38" t="n">
        <x:v>19.88</x:v>
      </x:c>
      <x:c r="R419" s="38" t="n">
        <x:v>43.7475</x:v>
      </x:c>
      <x:c r="S419" s="38" t="n">
        <x:v>97.09</x:v>
      </x:c>
      <x:c r="T419" s="40" t="n">
        <x:v>16.54</x:v>
      </x:c>
      <x:c r="U419" s="40" t="n">
        <x:v>0.95</x:v>
      </x:c>
      <x:c r="V419" s="38" t="n">
        <x:f>L419*(1-T419/100)*(1-U419/100)</x:f>
        <x:v>189.85167741540005</x:v>
      </x:c>
      <x:c r="W419" s="38" t="n">
        <x:f>G419*N419</x:f>
        <x:v>105599.3704</x:v>
      </x:c>
      <x:c r="X419" s="38" t="n">
        <x:f>H419*O419</x:f>
        <x:v>16176.436</x:v>
      </x:c>
      <x:c r="Y419" s="38" t="n">
        <x:f>I419*P419</x:f>
        <x:v>7506.2294999999995</x:v>
      </x:c>
      <x:c r="Z419" s="38" t="n">
        <x:f>J419*Q419+K419*P419</x:f>
        <x:v>87.61186000000001</x:v>
      </x:c>
      <x:c r="AA419" s="38" t="n">
        <x:f>M419*R419</x:f>
        <x:v>12282.02313</x:v>
      </x:c>
      <x:c r="AB419" s="38" t="n">
        <x:f>SUM(W419:AA419)</x:f>
        <x:v>141651.67089</x:v>
      </x:c>
      <x:c r="AC419" s="38" t="n">
        <x:v>14.35</x:v>
      </x:c>
      <x:c r="AD419" s="38" t="n">
        <x:v>174.33</x:v>
      </x:c>
      <x:c r="AE419" s="38" t="n">
        <x:v>76.8</x:v>
      </x:c>
      <x:c r="AF419" s="38" t="n">
        <x:v>4.8148</x:v>
      </x:c>
      <x:c r="AG419" s="38" t="n">
        <x:v>5.32</x:v>
      </x:c>
      <x:c r="AH419" s="38" t="n">
        <x:f>IF(E419="Fason",L419*S419,0)</x:f>
        <x:v>0</x:v>
      </x:c>
      <x:c r="AI419" s="38" t="n">
        <x:f>IF(E419="Kurum içi",AC419*AD419+AE419*AF419+AB419*12%,0)</x:f>
        <x:v>19869.6126468</x:v>
      </x:c>
      <x:c r="AJ419" s="38" t="n">
        <x:f>V419*AG419</x:f>
        <x:v>1010.0109238499283</x:v>
      </x:c>
      <x:c r="AK419" s="38" t="n">
        <x:f>AB419*2%</x:f>
        <x:v>2833.0334178000003</x:v>
      </x:c>
      <x:c r="AL419" s="38" t="n">
        <x:f>AB419+AH419+AI419+AJ419+AK419</x:f>
        <x:v>165364.32787844996</x:v>
      </x:c>
      <x:c r="AM419" s="38" t="n">
        <x:f>AL419/V419</x:f>
        <x:v>871.0185241957532</x:v>
      </x:c>
      <x:c r="AN419" s="40" t="n">
        <x:f>(W419+X419)/AL419*100</x:f>
        <x:v>73.64091637073659</x:v>
      </x:c>
      <x:c r="AO419" s="28" t="str">
        <x:v>R01-R20; ilgili satırdaki bölgesel fiyat ve maliyet varsayımları</x:v>
      </x:c>
      <x:c r="AP419" s="28" t="str">
        <x:v>Girdi miktarları, alım fiyatı değişimi, fason bedeli ve parti sonucu simüle edilmiştir; işletme kaydı değildir.</x:v>
      </x:c>
    </x:row>
    <x:row r="420" ht="22" customHeight="1">
      <x:c r="A420" t="str">
        <x:v>SUC-0419</x:v>
      </x:c>
      <x:c r="B420" s="36" t="n">
        <x:v>46273</x:v>
      </x:c>
      <x:c r="C420" t="str">
        <x:v>Akdeniz</x:v>
      </x:c>
      <x:c r="D420" t="str">
        <x:v>MEB_STANDART</x:v>
      </x:c>
      <x:c r="E420" t="str">
        <x:v>Kurum içi</x:v>
      </x:c>
      <x:c r="F420" s="42" t="str">
        <x:v>SENTETİK/SİMÜLE — gerçek parti kaydı değildir</x:v>
      </x:c>
      <x:c r="G420" s="38" t="n">
        <x:v>76.685</x:v>
      </x:c>
      <x:c r="H420" s="38" t="n">
        <x:v>25.345</x:v>
      </x:c>
      <x:c r="I420" s="38" t="n">
        <x:v>4.801</x:v>
      </x:c>
      <x:c r="J420" s="38" t="n">
        <x:v>2.693</x:v>
      </x:c>
      <x:c r="K420" s="38" t="n">
        <x:v>1.039</x:v>
      </x:c>
      <x:c r="L420" s="38" t="n">
        <x:f>SUM(G420:K420)</x:f>
        <x:v>110.563</x:v>
      </x:c>
      <x:c r="M420" s="38" t="n">
        <x:v>144.568</x:v>
      </x:c>
      <x:c r="N420" s="38" t="n">
        <x:v>594.16</x:v>
      </x:c>
      <x:c r="O420" s="38" t="n">
        <x:v>413.97</x:v>
      </x:c>
      <x:c r="P420" s="38" t="n">
        <x:v>400</x:v>
      </x:c>
      <x:c r="Q420" s="38" t="n">
        <x:v>19.88</x:v>
      </x:c>
      <x:c r="R420" s="38" t="n">
        <x:v>43.7475</x:v>
      </x:c>
      <x:c r="S420" s="38" t="n">
        <x:v>109.92</x:v>
      </x:c>
      <x:c r="T420" s="40" t="n">
        <x:v>15.72</x:v>
      </x:c>
      <x:c r="U420" s="40" t="n">
        <x:v>0.48</x:v>
      </x:c>
      <x:c r="V420" s="38" t="n">
        <x:f>L420*(1-T420/100)*(1-U420/100)</x:f>
        <x:v>92.73522041728</x:v>
      </x:c>
      <x:c r="W420" s="38" t="n">
        <x:f>G420*N420</x:f>
        <x:v>45563.1596</x:v>
      </x:c>
      <x:c r="X420" s="38" t="n">
        <x:f>H420*O420</x:f>
        <x:v>10492.06965</x:v>
      </x:c>
      <x:c r="Y420" s="38" t="n">
        <x:f>I420*P420</x:f>
        <x:v>1920.4</x:v>
      </x:c>
      <x:c r="Z420" s="38" t="n">
        <x:f>J420*Q420+K420*P420</x:f>
        <x:v>469.13683999999995</x:v>
      </x:c>
      <x:c r="AA420" s="38" t="n">
        <x:f>M420*R420</x:f>
        <x:v>6324.488580000001</x:v>
      </x:c>
      <x:c r="AB420" s="38" t="n">
        <x:f>SUM(W420:AA420)</x:f>
        <x:v>64769.254669999995</x:v>
      </x:c>
      <x:c r="AC420" s="38" t="n">
        <x:v>5.94</x:v>
      </x:c>
      <x:c r="AD420" s="38" t="n">
        <x:v>174.33</x:v>
      </x:c>
      <x:c r="AE420" s="38" t="n">
        <x:v>45.47</x:v>
      </x:c>
      <x:c r="AF420" s="38" t="n">
        <x:v>4.8148</x:v>
      </x:c>
      <x:c r="AG420" s="38" t="n">
        <x:v>5.33</x:v>
      </x:c>
      <x:c r="AH420" s="38" t="n">
        <x:f>IF(E420="Fason",L420*S420,0)</x:f>
        <x:v>0</x:v>
      </x:c>
      <x:c r="AI420" s="38" t="n">
        <x:f>IF(E420="Kurum içi",AC420*AD420+AE420*AF420+AB420*12%,0)</x:f>
        <x:v>9026.7597164</x:v>
      </x:c>
      <x:c r="AJ420" s="38" t="n">
        <x:f>V420*AG420</x:f>
        <x:v>494.2787248241024</x:v>
      </x:c>
      <x:c r="AK420" s="38" t="n">
        <x:f>AB420*2%</x:f>
        <x:v>1295.3850934</x:v>
      </x:c>
      <x:c r="AL420" s="38" t="n">
        <x:f>AB420+AH420+AI420+AJ420+AK420</x:f>
        <x:v>75585.6782046241</x:v>
      </x:c>
      <x:c r="AM420" s="38" t="n">
        <x:f>AL420/V420</x:f>
        <x:v>815.0698069677493</x:v>
      </x:c>
      <x:c r="AN420" s="40" t="n">
        <x:f>(W420+X420)/AL420*100</x:f>
        <x:v>74.16117785997548</x:v>
      </x:c>
      <x:c r="AO420" s="28" t="str">
        <x:v>R01-R20; ilgili satırdaki bölgesel fiyat ve maliyet varsayımları</x:v>
      </x:c>
      <x:c r="AP420" s="28" t="str">
        <x:v>Girdi miktarları, alım fiyatı değişimi, fason bedeli ve parti sonucu simüle edilmiştir; işletme kaydı değildir.</x:v>
      </x:c>
    </x:row>
    <x:row r="421" ht="22" customHeight="1">
      <x:c r="A421" t="str">
        <x:v>SUC-0420</x:v>
      </x:c>
      <x:c r="B421" s="36" t="n">
        <x:v>46316</x:v>
      </x:c>
      <x:c r="C421" t="str">
        <x:v>İç Anadolu</x:v>
      </x:c>
      <x:c r="D421" t="str">
        <x:v>ERZURUM_CI</x:v>
      </x:c>
      <x:c r="E421" t="str">
        <x:v>Kurum içi</x:v>
      </x:c>
      <x:c r="F421" s="42" t="str">
        <x:v>SENTETİK/SİMÜLE — gerçek parti kaydı değildir</x:v>
      </x:c>
      <x:c r="G421" s="38" t="n">
        <x:v>54.522</x:v>
      </x:c>
      <x:c r="H421" s="38" t="n">
        <x:v>9.782</x:v>
      </x:c>
      <x:c r="I421" s="38" t="n">
        <x:v>3.07</x:v>
      </x:c>
      <x:c r="J421" s="38" t="n">
        <x:v>1.061</x:v>
      </x:c>
      <x:c r="K421" s="38" t="n">
        <x:v>0.03</x:v>
      </x:c>
      <x:c r="L421" s="38" t="n">
        <x:f>SUM(G421:K421)</x:f>
        <x:v>68.465</x:v>
      </x:c>
      <x:c r="M421" s="38" t="n">
        <x:v>85.195</x:v>
      </x:c>
      <x:c r="N421" s="38" t="n">
        <x:v>590.48</x:v>
      </x:c>
      <x:c r="O421" s="38" t="n">
        <x:v>462.8</x:v>
      </x:c>
      <x:c r="P421" s="38" t="n">
        <x:v>669.9</x:v>
      </x:c>
      <x:c r="Q421" s="38" t="n">
        <x:v>19.88</x:v>
      </x:c>
      <x:c r="R421" s="38" t="n">
        <x:v>43.7475</x:v>
      </x:c>
      <x:c r="S421" s="38" t="n">
        <x:v>71.46</x:v>
      </x:c>
      <x:c r="T421" s="40" t="n">
        <x:v>17.8</x:v>
      </x:c>
      <x:c r="U421" s="40" t="n">
        <x:v>1.15</x:v>
      </x:c>
      <x:c r="V421" s="38" t="n">
        <x:f>L421*(1-T421/100)*(1-U421/100)</x:f>
        <x:v>55.631030355</x:v>
      </x:c>
      <x:c r="W421" s="38" t="n">
        <x:f>G421*N421</x:f>
        <x:v>32194.150560000002</x:v>
      </x:c>
      <x:c r="X421" s="38" t="n">
        <x:f>H421*O421</x:f>
        <x:v>4527.1096</x:v>
      </x:c>
      <x:c r="Y421" s="38" t="n">
        <x:f>I421*P421</x:f>
        <x:v>2056.593</x:v>
      </x:c>
      <x:c r="Z421" s="38" t="n">
        <x:f>J421*Q421+K421*P421</x:f>
        <x:v>41.189679999999996</x:v>
      </x:c>
      <x:c r="AA421" s="38" t="n">
        <x:f>M421*R421</x:f>
        <x:v>3727.0682625</x:v>
      </x:c>
      <x:c r="AB421" s="38" t="n">
        <x:f>SUM(W421:AA421)</x:f>
        <x:v>42546.11110250001</x:v>
      </x:c>
      <x:c r="AC421" s="38" t="n">
        <x:v>3.57</x:v>
      </x:c>
      <x:c r="AD421" s="38" t="n">
        <x:v>174.33</x:v>
      </x:c>
      <x:c r="AE421" s="38" t="n">
        <x:v>28.75</x:v>
      </x:c>
      <x:c r="AF421" s="38" t="n">
        <x:v>4.8148</x:v>
      </x:c>
      <x:c r="AG421" s="38" t="n">
        <x:v>5.72</x:v>
      </x:c>
      <x:c r="AH421" s="38" t="n">
        <x:f>IF(E421="Fason",L421*S421,0)</x:f>
        <x:v>0</x:v>
      </x:c>
      <x:c r="AI421" s="38" t="n">
        <x:f>IF(E421="Kurum içi",AC421*AD421+AE421*AF421+AB421*12%,0)</x:f>
        <x:v>5866.3169323</x:v>
      </x:c>
      <x:c r="AJ421" s="38" t="n">
        <x:f>V421*AG421</x:f>
        <x:v>318.2094936306</x:v>
      </x:c>
      <x:c r="AK421" s="38" t="n">
        <x:f>AB421*2%</x:f>
        <x:v>850.9222220500002</x:v>
      </x:c>
      <x:c r="AL421" s="38" t="n">
        <x:f>AB421+AH421+AI421+AJ421+AK421</x:f>
        <x:v>49581.55975048061</x:v>
      </x:c>
      <x:c r="AM421" s="38" t="n">
        <x:f>AL421/V421</x:f>
        <x:v>891.2572611739218</x:v>
      </x:c>
      <x:c r="AN421" s="40" t="n">
        <x:f>(W421+X421)/AL421*100</x:f>
        <x:v>74.06233354658444</x:v>
      </x:c>
      <x:c r="AO421" s="28" t="str">
        <x:v>R01-R20; ilgili satırdaki bölgesel fiyat ve maliyet varsayımları</x:v>
      </x:c>
      <x:c r="AP421" s="28" t="str">
        <x:v>Girdi miktarları, alım fiyatı değişimi, fason bedeli ve parti sonucu simüle edilmiştir; işletme kaydı değildir.</x:v>
      </x:c>
    </x:row>
    <x:row r="422" ht="22" customHeight="1">
      <x:c r="A422" t="str">
        <x:v>SUC-0421</x:v>
      </x:c>
      <x:c r="B422" s="36" t="n">
        <x:v>46288</x:v>
      </x:c>
      <x:c r="C422" t="str">
        <x:v>İç Anadolu</x:v>
      </x:c>
      <x:c r="D422" t="str">
        <x:v>ERZURUM_CI</x:v>
      </x:c>
      <x:c r="E422" t="str">
        <x:v>Kurum içi</x:v>
      </x:c>
      <x:c r="F422" s="42" t="str">
        <x:v>SENTETİK/SİMÜLE — gerçek parti kaydı değildir</x:v>
      </x:c>
      <x:c r="G422" s="38" t="n">
        <x:v>92.215</x:v>
      </x:c>
      <x:c r="H422" s="38" t="n">
        <x:v>15.95</x:v>
      </x:c>
      <x:c r="I422" s="38" t="n">
        <x:v>5.098</x:v>
      </x:c>
      <x:c r="J422" s="38" t="n">
        <x:v>1.917</x:v>
      </x:c>
      <x:c r="K422" s="38" t="n">
        <x:v>0.076</x:v>
      </x:c>
      <x:c r="L422" s="38" t="n">
        <x:f>SUM(G422:K422)</x:f>
        <x:v>115.256</x:v>
      </x:c>
      <x:c r="M422" s="38" t="n">
        <x:v>144.444</x:v>
      </x:c>
      <x:c r="N422" s="38" t="n">
        <x:v>576.89</x:v>
      </x:c>
      <x:c r="O422" s="38" t="n">
        <x:v>455.47</x:v>
      </x:c>
      <x:c r="P422" s="38" t="n">
        <x:v>550</x:v>
      </x:c>
      <x:c r="Q422" s="38" t="n">
        <x:v>19.88</x:v>
      </x:c>
      <x:c r="R422" s="38" t="n">
        <x:v>43.7475</x:v>
      </x:c>
      <x:c r="S422" s="38" t="n">
        <x:v>109.66</x:v>
      </x:c>
      <x:c r="T422" s="40" t="n">
        <x:v>27.8</x:v>
      </x:c>
      <x:c r="U422" s="40" t="n">
        <x:v>0.58</x:v>
      </x:c>
      <x:c r="V422" s="38" t="n">
        <x:f>L422*(1-T422/100)*(1-U422/100)</x:f>
        <x:v>82.7321859744</x:v>
      </x:c>
      <x:c r="W422" s="38" t="n">
        <x:f>G422*N422</x:f>
        <x:v>53197.91135</x:v>
      </x:c>
      <x:c r="X422" s="38" t="n">
        <x:f>H422*O422</x:f>
        <x:v>7264.7465</x:v>
      </x:c>
      <x:c r="Y422" s="38" t="n">
        <x:f>I422*P422</x:f>
        <x:v>2803.9</x:v>
      </x:c>
      <x:c r="Z422" s="38" t="n">
        <x:f>J422*Q422+K422*P422</x:f>
        <x:v>79.90996</x:v>
      </x:c>
      <x:c r="AA422" s="38" t="n">
        <x:f>M422*R422</x:f>
        <x:v>6319.063889999999</x:v>
      </x:c>
      <x:c r="AB422" s="38" t="n">
        <x:f>SUM(W422:AA422)</x:f>
        <x:v>69665.5317</x:v>
      </x:c>
      <x:c r="AC422" s="38" t="n">
        <x:v>7.11</x:v>
      </x:c>
      <x:c r="AD422" s="38" t="n">
        <x:v>174.33</x:v>
      </x:c>
      <x:c r="AE422" s="38" t="n">
        <x:v>26.1</x:v>
      </x:c>
      <x:c r="AF422" s="38" t="n">
        <x:v>4.8148</x:v>
      </x:c>
      <x:c r="AG422" s="38" t="n">
        <x:v>5.56</x:v>
      </x:c>
      <x:c r="AH422" s="38" t="n">
        <x:f>IF(E422="Fason",L422*S422,0)</x:f>
        <x:v>0</x:v>
      </x:c>
      <x:c r="AI422" s="38" t="n">
        <x:f>IF(E422="Kurum içi",AC422*AD422+AE422*AF422+AB422*12%,0)</x:f>
        <x:v>9725.016384</x:v>
      </x:c>
      <x:c r="AJ422" s="38" t="n">
        <x:f>V422*AG422</x:f>
        <x:v>459.99095401766397</x:v>
      </x:c>
      <x:c r="AK422" s="38" t="n">
        <x:f>AB422*2%</x:f>
        <x:v>1393.3106340000002</x:v>
      </x:c>
      <x:c r="AL422" s="38" t="n">
        <x:f>AB422+AH422+AI422+AJ422+AK422</x:f>
        <x:v>81243.84967201766</x:v>
      </x:c>
      <x:c r="AM422" s="38" t="n">
        <x:f>AL422/V422</x:f>
        <x:v>982.010190050546</x:v>
      </x:c>
      <x:c r="AN422" s="40" t="n">
        <x:f>(W422+X422)/AL422*100</x:f>
        <x:v>74.42121230602493</x:v>
      </x:c>
      <x:c r="AO422" s="28" t="str">
        <x:v>R01-R20; ilgili satırdaki bölgesel fiyat ve maliyet varsayımları</x:v>
      </x:c>
      <x:c r="AP422" s="28" t="str">
        <x:v>Girdi miktarları, alım fiyatı değişimi, fason bedeli ve parti sonucu simüle edilmiştir; işletme kaydı değildir.</x:v>
      </x:c>
    </x:row>
    <x:row r="423" ht="22" customHeight="1">
      <x:c r="A423" t="str">
        <x:v>SUC-0422</x:v>
      </x:c>
      <x:c r="B423" s="36" t="n">
        <x:v>46288</x:v>
      </x:c>
      <x:c r="C423" t="str">
        <x:v>Marmara</x:v>
      </x:c>
      <x:c r="D423" t="str">
        <x:v>MEB_STANDART</x:v>
      </x:c>
      <x:c r="E423" t="str">
        <x:v>Kurum içi</x:v>
      </x:c>
      <x:c r="F423" s="42" t="str">
        <x:v>SENTETİK/SİMÜLE — gerçek parti kaydı değildir</x:v>
      </x:c>
      <x:c r="G423" s="38" t="n">
        <x:v>132.263</x:v>
      </x:c>
      <x:c r="H423" s="38" t="n">
        <x:v>40.492</x:v>
      </x:c>
      <x:c r="I423" s="38" t="n">
        <x:v>8.59</x:v>
      </x:c>
      <x:c r="J423" s="38" t="n">
        <x:v>4.453</x:v>
      </x:c>
      <x:c r="K423" s="38" t="n">
        <x:v>1.801</x:v>
      </x:c>
      <x:c r="L423" s="38" t="n">
        <x:f>SUM(G423:K423)</x:f>
        <x:v>187.599</x:v>
      </x:c>
      <x:c r="M423" s="38" t="n">
        <x:v>225.719</x:v>
      </x:c>
      <x:c r="N423" s="38" t="n">
        <x:v>618.11</x:v>
      </x:c>
      <x:c r="O423" s="38" t="n">
        <x:v>462.95</x:v>
      </x:c>
      <x:c r="P423" s="38" t="n">
        <x:v>550</x:v>
      </x:c>
      <x:c r="Q423" s="38" t="n">
        <x:v>19.88</x:v>
      </x:c>
      <x:c r="R423" s="38" t="n">
        <x:v>43.7475</x:v>
      </x:c>
      <x:c r="S423" s="38" t="n">
        <x:v>115.06</x:v>
      </x:c>
      <x:c r="T423" s="40" t="n">
        <x:v>20.77</x:v>
      </x:c>
      <x:c r="U423" s="40" t="n">
        <x:v>1.21</x:v>
      </x:c>
      <x:c r="V423" s="38" t="n">
        <x:f>L423*(1-T423/100)*(1-U423/100)</x:f>
        <x:v>146.83620797883</x:v>
      </x:c>
      <x:c r="W423" s="38" t="n">
        <x:f>G423*N423</x:f>
        <x:v>81753.08293</x:v>
      </x:c>
      <x:c r="X423" s="38" t="n">
        <x:f>H423*O423</x:f>
        <x:v>18745.771399999998</x:v>
      </x:c>
      <x:c r="Y423" s="38" t="n">
        <x:f>I423*P423</x:f>
        <x:v>4724.5</x:v>
      </x:c>
      <x:c r="Z423" s="38" t="n">
        <x:f>J423*Q423+K423*P423</x:f>
        <x:v>1079.07564</x:v>
      </x:c>
      <x:c r="AA423" s="38" t="n">
        <x:f>M423*R423</x:f>
        <x:v>9874.6419525</x:v>
      </x:c>
      <x:c r="AB423" s="38" t="n">
        <x:f>SUM(W423:AA423)</x:f>
        <x:v>116177.07192249999</x:v>
      </x:c>
      <x:c r="AC423" s="38" t="n">
        <x:v>13.11</x:v>
      </x:c>
      <x:c r="AD423" s="38" t="n">
        <x:v>174.33</x:v>
      </x:c>
      <x:c r="AE423" s="38" t="n">
        <x:v>75.93</x:v>
      </x:c>
      <x:c r="AF423" s="38" t="n">
        <x:v>4.8148</x:v>
      </x:c>
      <x:c r="AG423" s="38" t="n">
        <x:v>5.31</x:v>
      </x:c>
      <x:c r="AH423" s="38" t="n">
        <x:f>IF(E423="Fason",L423*S423,0)</x:f>
        <x:v>0</x:v>
      </x:c>
      <x:c r="AI423" s="38" t="n">
        <x:f>IF(E423="Kurum içi",AC423*AD423+AE423*AF423+AB423*12%,0)</x:f>
        <x:v>16592.302694699996</x:v>
      </x:c>
      <x:c r="AJ423" s="38" t="n">
        <x:f>V423*AG423</x:f>
        <x:v>779.7002643675872</x:v>
      </x:c>
      <x:c r="AK423" s="38" t="n">
        <x:f>AB423*2%</x:f>
        <x:v>2323.54143845</x:v>
      </x:c>
      <x:c r="AL423" s="38" t="n">
        <x:f>AB423+AH423+AI423+AJ423+AK423</x:f>
        <x:v>135872.61632001758</x:v>
      </x:c>
      <x:c r="AM423" s="38" t="n">
        <x:f>AL423/V423</x:f>
        <x:v>925.3345492251265</x:v>
      </x:c>
      <x:c r="AN423" s="40" t="n">
        <x:f>(W423+X423)/AL423*100</x:f>
        <x:v>73.96549580917572</x:v>
      </x:c>
      <x:c r="AO423" s="28" t="str">
        <x:v>R01-R20; ilgili satırdaki bölgesel fiyat ve maliyet varsayımları</x:v>
      </x:c>
      <x:c r="AP423" s="28" t="str">
        <x:v>Girdi miktarları, alım fiyatı değişimi, fason bedeli ve parti sonucu simüle edilmiştir; işletme kaydı değildir.</x:v>
      </x:c>
    </x:row>
    <x:row r="424" ht="22" customHeight="1">
      <x:c r="A424" t="str">
        <x:v>SUC-0423</x:v>
      </x:c>
      <x:c r="B424" s="36" t="n">
        <x:v>46287</x:v>
      </x:c>
      <x:c r="C424" t="str">
        <x:v>Akdeniz</x:v>
      </x:c>
      <x:c r="D424" t="str">
        <x:v>MEB_STANDART</x:v>
      </x:c>
      <x:c r="E424" t="str">
        <x:v>Kurum içi</x:v>
      </x:c>
      <x:c r="F424" s="42" t="str">
        <x:v>SENTETİK/SİMÜLE — gerçek parti kaydı değildir</x:v>
      </x:c>
      <x:c r="G424" s="38" t="n">
        <x:v>137.565</x:v>
      </x:c>
      <x:c r="H424" s="38" t="n">
        <x:v>42.259</x:v>
      </x:c>
      <x:c r="I424" s="38" t="n">
        <x:v>8.983</x:v>
      </x:c>
      <x:c r="J424" s="38" t="n">
        <x:v>4.669</x:v>
      </x:c>
      <x:c r="K424" s="38" t="n">
        <x:v>1.742</x:v>
      </x:c>
      <x:c r="L424" s="38" t="n">
        <x:f>SUM(G424:K424)</x:f>
        <x:v>195.21800000000002</x:v>
      </x:c>
      <x:c r="M424" s="38" t="n">
        <x:v>263.713</x:v>
      </x:c>
      <x:c r="N424" s="38" t="n">
        <x:v>585.7</x:v>
      </x:c>
      <x:c r="O424" s="38" t="n">
        <x:v>418.37</x:v>
      </x:c>
      <x:c r="P424" s="38" t="n">
        <x:v>400</x:v>
      </x:c>
      <x:c r="Q424" s="38" t="n">
        <x:v>19.88</x:v>
      </x:c>
      <x:c r="R424" s="38" t="n">
        <x:v>43.7475</x:v>
      </x:c>
      <x:c r="S424" s="38" t="n">
        <x:v>91.23</x:v>
      </x:c>
      <x:c r="T424" s="40" t="n">
        <x:v>30.73</x:v>
      </x:c>
      <x:c r="U424" s="40" t="n">
        <x:v>0.32</x:v>
      </x:c>
      <x:c r="V424" s="38" t="n">
        <x:f>L424*(1-T424/100)*(1-U424/100)</x:f>
        <x:v>134.79478057248002</x:v>
      </x:c>
      <x:c r="W424" s="38" t="n">
        <x:f>G424*N424</x:f>
        <x:v>80571.8205</x:v>
      </x:c>
      <x:c r="X424" s="38" t="n">
        <x:f>H424*O424</x:f>
        <x:v>17679.89783</x:v>
      </x:c>
      <x:c r="Y424" s="38" t="n">
        <x:f>I424*P424</x:f>
        <x:v>3593.2000000000003</x:v>
      </x:c>
      <x:c r="Z424" s="38" t="n">
        <x:f>J424*Q424+K424*P424</x:f>
        <x:v>789.6197199999999</x:v>
      </x:c>
      <x:c r="AA424" s="38" t="n">
        <x:f>M424*R424</x:f>
        <x:v>11536.784467500001</x:v>
      </x:c>
      <x:c r="AB424" s="38" t="n">
        <x:f>SUM(W424:AA424)</x:f>
        <x:v>114171.3225175</x:v>
      </x:c>
      <x:c r="AC424" s="38" t="n">
        <x:v>7.16</x:v>
      </x:c>
      <x:c r="AD424" s="38" t="n">
        <x:v>174.33</x:v>
      </x:c>
      <x:c r="AE424" s="38" t="n">
        <x:v>77.24</x:v>
      </x:c>
      <x:c r="AF424" s="38" t="n">
        <x:v>4.8148</x:v>
      </x:c>
      <x:c r="AG424" s="38" t="n">
        <x:v>5.58</x:v>
      </x:c>
      <x:c r="AH424" s="38" t="n">
        <x:f>IF(E424="Fason",L424*S424,0)</x:f>
        <x:v>0</x:v>
      </x:c>
      <x:c r="AI424" s="38" t="n">
        <x:f>IF(E424="Kurum içi",AC424*AD424+AE424*AF424+AB424*12%,0)</x:f>
        <x:v>15320.6566541</x:v>
      </x:c>
      <x:c r="AJ424" s="38" t="n">
        <x:f>V424*AG424</x:f>
        <x:v>752.1548755944385</x:v>
      </x:c>
      <x:c r="AK424" s="38" t="n">
        <x:f>AB424*2%</x:f>
        <x:v>2283.42645035</x:v>
      </x:c>
      <x:c r="AL424" s="38" t="n">
        <x:f>AB424+AH424+AI424+AJ424+AK424</x:f>
        <x:v>132527.56049754441</x:v>
      </x:c>
      <x:c r="AM424" s="38" t="n">
        <x:f>AL424/V424</x:f>
        <x:v>983.1802087194577</x:v>
      </x:c>
      <x:c r="AN424" s="40" t="n">
        <x:f>(W424+X424)/AL424*100</x:f>
        <x:v>74.13681951221044</x:v>
      </x:c>
      <x:c r="AO424" s="28" t="str">
        <x:v>R01-R20; ilgili satırdaki bölgesel fiyat ve maliyet varsayımları</x:v>
      </x:c>
      <x:c r="AP424" s="28" t="str">
        <x:v>Girdi miktarları, alım fiyatı değişimi, fason bedeli ve parti sonucu simüle edilmiştir; işletme kaydı değildir.</x:v>
      </x:c>
    </x:row>
    <x:row r="425" ht="22" customHeight="1">
      <x:c r="A425" t="str">
        <x:v>SUC-0424</x:v>
      </x:c>
      <x:c r="B425" s="36" t="n">
        <x:v>46284</x:v>
      </x:c>
      <x:c r="C425" t="str">
        <x:v>Karadeniz</x:v>
      </x:c>
      <x:c r="D425" t="str">
        <x:v>MEB_STANDART</x:v>
      </x:c>
      <x:c r="E425" t="str">
        <x:v>Kurum içi</x:v>
      </x:c>
      <x:c r="F425" s="42" t="str">
        <x:v>SENTETİK/SİMÜLE — gerçek parti kaydı değildir</x:v>
      </x:c>
      <x:c r="G425" s="38" t="n">
        <x:v>313.05</x:v>
      </x:c>
      <x:c r="H425" s="38" t="n">
        <x:v>102.736</x:v>
      </x:c>
      <x:c r="I425" s="38" t="n">
        <x:v>20.866</x:v>
      </x:c>
      <x:c r="J425" s="38" t="n">
        <x:v>10.593</x:v>
      </x:c>
      <x:c r="K425" s="38" t="n">
        <x:v>4.064</x:v>
      </x:c>
      <x:c r="L425" s="38" t="n">
        <x:f>SUM(G425:K425)</x:f>
        <x:v>451.309</x:v>
      </x:c>
      <x:c r="M425" s="38" t="n">
        <x:v>571.812</x:v>
      </x:c>
      <x:c r="N425" s="38" t="n">
        <x:v>590.38</x:v>
      </x:c>
      <x:c r="O425" s="38" t="n">
        <x:v>436.72</x:v>
      </x:c>
      <x:c r="P425" s="38" t="n">
        <x:v>669.9</x:v>
      </x:c>
      <x:c r="Q425" s="38" t="n">
        <x:v>19.88</x:v>
      </x:c>
      <x:c r="R425" s="38" t="n">
        <x:v>43.7475</x:v>
      </x:c>
      <x:c r="S425" s="38" t="n">
        <x:v>68.24</x:v>
      </x:c>
      <x:c r="T425" s="40" t="n">
        <x:v>23.01</x:v>
      </x:c>
      <x:c r="U425" s="40" t="n">
        <x:v>1.6</x:v>
      </x:c>
      <x:c r="V425" s="38" t="n">
        <x:f>L425*(1-T425/100)*(1-U425/100)</x:f>
        <x:v>341.90339431440003</x:v>
      </x:c>
      <x:c r="W425" s="38" t="n">
        <x:f>G425*N425</x:f>
        <x:v>184818.459</x:v>
      </x:c>
      <x:c r="X425" s="38" t="n">
        <x:f>H425*O425</x:f>
        <x:v>44866.865920000004</x:v>
      </x:c>
      <x:c r="Y425" s="38" t="n">
        <x:f>I425*P425</x:f>
        <x:v>13978.133399999999</x:v>
      </x:c>
      <x:c r="Z425" s="38" t="n">
        <x:f>J425*Q425+K425*P425</x:f>
        <x:v>2933.0624399999997</x:v>
      </x:c>
      <x:c r="AA425" s="38" t="n">
        <x:f>M425*R425</x:f>
        <x:v>25015.34547</x:v>
      </x:c>
      <x:c r="AB425" s="38" t="n">
        <x:f>SUM(W425:AA425)</x:f>
        <x:v>271611.86623000004</x:v>
      </x:c>
      <x:c r="AC425" s="38" t="n">
        <x:v>18</x:v>
      </x:c>
      <x:c r="AD425" s="38" t="n">
        <x:v>174.33</x:v>
      </x:c>
      <x:c r="AE425" s="38" t="n">
        <x:v>117.77</x:v>
      </x:c>
      <x:c r="AF425" s="38" t="n">
        <x:v>4.8148</x:v>
      </x:c>
      <x:c r="AG425" s="38" t="n">
        <x:v>5.81</x:v>
      </x:c>
      <x:c r="AH425" s="38" t="n">
        <x:f>IF(E425="Fason",L425*S425,0)</x:f>
        <x:v>0</x:v>
      </x:c>
      <x:c r="AI425" s="38" t="n">
        <x:f>IF(E425="Kurum içi",AC425*AD425+AE425*AF425+AB425*12%,0)</x:f>
        <x:v>36298.402943600006</x:v>
      </x:c>
      <x:c r="AJ425" s="38" t="n">
        <x:f>V425*AG425</x:f>
        <x:v>1986.458720966664</x:v>
      </x:c>
      <x:c r="AK425" s="38" t="n">
        <x:f>AB425*2%</x:f>
        <x:v>5432.237324600001</x:v>
      </x:c>
      <x:c r="AL425" s="38" t="n">
        <x:f>AB425+AH425+AI425+AJ425+AK425</x:f>
        <x:v>315328.9652191667</x:v>
      </x:c>
      <x:c r="AM425" s="38" t="n">
        <x:f>AL425/V425</x:f>
        <x:v>922.2750357640598</x:v>
      </x:c>
      <x:c r="AN425" s="40" t="n">
        <x:f>(W425+X425)/AL425*100</x:f>
        <x:v>72.83990697155245</x:v>
      </x:c>
      <x:c r="AO425" s="28" t="str">
        <x:v>R01-R20; ilgili satırdaki bölgesel fiyat ve maliyet varsayımları</x:v>
      </x:c>
      <x:c r="AP425" s="28" t="str">
        <x:v>Girdi miktarları, alım fiyatı değişimi, fason bedeli ve parti sonucu simüle edilmiştir; işletme kaydı değildir.</x:v>
      </x:c>
    </x:row>
    <x:row r="426" ht="22" customHeight="1">
      <x:c r="A426" t="str">
        <x:v>SUC-0425</x:v>
      </x:c>
      <x:c r="B426" s="36" t="n">
        <x:v>46271</x:v>
      </x:c>
      <x:c r="C426" t="str">
        <x:v>İç Anadolu</x:v>
      </x:c>
      <x:c r="D426" t="str">
        <x:v>MEB_STANDART</x:v>
      </x:c>
      <x:c r="E426" t="str">
        <x:v>Kurum içi</x:v>
      </x:c>
      <x:c r="F426" s="42" t="str">
        <x:v>SENTETİK/SİMÜLE — gerçek parti kaydı değildir</x:v>
      </x:c>
      <x:c r="G426" s="38" t="n">
        <x:v>99.715</x:v>
      </x:c>
      <x:c r="H426" s="38" t="n">
        <x:v>31.243</x:v>
      </x:c>
      <x:c r="I426" s="38" t="n">
        <x:v>6.247</x:v>
      </x:c>
      <x:c r="J426" s="38" t="n">
        <x:v>3.268</x:v>
      </x:c>
      <x:c r="K426" s="38" t="n">
        <x:v>1.584</x:v>
      </x:c>
      <x:c r="L426" s="38" t="n">
        <x:f>SUM(G426:K426)</x:f>
        <x:v>142.057</x:v>
      </x:c>
      <x:c r="M426" s="38" t="n">
        <x:v>166.194</x:v>
      </x:c>
      <x:c r="N426" s="38" t="n">
        <x:v>582.1</x:v>
      </x:c>
      <x:c r="O426" s="38" t="n">
        <x:v>483.48</x:v>
      </x:c>
      <x:c r="P426" s="38" t="n">
        <x:v>550</x:v>
      </x:c>
      <x:c r="Q426" s="38" t="n">
        <x:v>19.88</x:v>
      </x:c>
      <x:c r="R426" s="38" t="n">
        <x:v>43.7475</x:v>
      </x:c>
      <x:c r="S426" s="38" t="n">
        <x:v>78.5</x:v>
      </x:c>
      <x:c r="T426" s="40" t="n">
        <x:v>25.4</x:v>
      </x:c>
      <x:c r="U426" s="40" t="n">
        <x:v>0.47</x:v>
      </x:c>
      <x:c r="V426" s="38" t="n">
        <x:f>L426*(1-T426/100)*(1-U426/100)</x:f>
        <x:v>105.47644174659999</x:v>
      </x:c>
      <x:c r="W426" s="38" t="n">
        <x:f>G426*N426</x:f>
        <x:v>58044.101500000004</x:v>
      </x:c>
      <x:c r="X426" s="38" t="n">
        <x:f>H426*O426</x:f>
        <x:v>15105.36564</x:v>
      </x:c>
      <x:c r="Y426" s="38" t="n">
        <x:f>I426*P426</x:f>
        <x:v>3435.85</x:v>
      </x:c>
      <x:c r="Z426" s="38" t="n">
        <x:f>J426*Q426+K426*P426</x:f>
        <x:v>936.1678400000001</x:v>
      </x:c>
      <x:c r="AA426" s="38" t="n">
        <x:f>M426*R426</x:f>
        <x:v>7270.572015</x:v>
      </x:c>
      <x:c r="AB426" s="38" t="n">
        <x:f>SUM(W426:AA426)</x:f>
        <x:v>84792.056995</x:v>
      </x:c>
      <x:c r="AC426" s="38" t="n">
        <x:v>6.54</x:v>
      </x:c>
      <x:c r="AD426" s="38" t="n">
        <x:v>174.33</x:v>
      </x:c>
      <x:c r="AE426" s="38" t="n">
        <x:v>34.59</x:v>
      </x:c>
      <x:c r="AF426" s="38" t="n">
        <x:v>4.8148</x:v>
      </x:c>
      <x:c r="AG426" s="38" t="n">
        <x:v>5.81</x:v>
      </x:c>
      <x:c r="AH426" s="38" t="n">
        <x:f>IF(E426="Fason",L426*S426,0)</x:f>
        <x:v>0</x:v>
      </x:c>
      <x:c r="AI426" s="38" t="n">
        <x:f>IF(E426="Kurum içi",AC426*AD426+AE426*AF426+AB426*12%,0)</x:f>
        <x:v>11481.7089714</x:v>
      </x:c>
      <x:c r="AJ426" s="38" t="n">
        <x:f>V426*AG426</x:f>
        <x:v>612.8181265477459</x:v>
      </x:c>
      <x:c r="AK426" s="38" t="n">
        <x:f>AB426*2%</x:f>
        <x:v>1695.8411399000001</x:v>
      </x:c>
      <x:c r="AL426" s="38" t="n">
        <x:f>AB426+AH426+AI426+AJ426+AK426</x:f>
        <x:v>98582.42523284776</x:v>
      </x:c>
      <x:c r="AM426" s="38" t="n">
        <x:f>AL426/V426</x:f>
        <x:v>934.6392767940102</x:v>
      </x:c>
      <x:c r="AN426" s="40" t="n">
        <x:f>(W426+X426)/AL426*100</x:f>
        <x:v>74.20132642022539</x:v>
      </x:c>
      <x:c r="AO426" s="28" t="str">
        <x:v>R01-R20; ilgili satırdaki bölgesel fiyat ve maliyet varsayımları</x:v>
      </x:c>
      <x:c r="AP426" s="28" t="str">
        <x:v>Girdi miktarları, alım fiyatı değişimi, fason bedeli ve parti sonucu simüle edilmiştir; işletme kaydı değildir.</x:v>
      </x:c>
    </x:row>
    <x:row r="427" ht="22" customHeight="1">
      <x:c r="A427" t="str">
        <x:v>SUC-0426</x:v>
      </x:c>
      <x:c r="B427" s="36" t="n">
        <x:v>46268</x:v>
      </x:c>
      <x:c r="C427" t="str">
        <x:v>Doğu Anadolu</x:v>
      </x:c>
      <x:c r="D427" t="str">
        <x:v>MEB_STANDART</x:v>
      </x:c>
      <x:c r="E427" t="str">
        <x:v>Kurum içi</x:v>
      </x:c>
      <x:c r="F427" s="42" t="str">
        <x:v>SENTETİK/SİMÜLE — gerçek parti kaydı değildir</x:v>
      </x:c>
      <x:c r="G427" s="38" t="n">
        <x:v>160.277</x:v>
      </x:c>
      <x:c r="H427" s="38" t="n">
        <x:v>51.275</x:v>
      </x:c>
      <x:c r="I427" s="38" t="n">
        <x:v>9.94</x:v>
      </x:c>
      <x:c r="J427" s="38" t="n">
        <x:v>5.701</x:v>
      </x:c>
      <x:c r="K427" s="38" t="n">
        <x:v>2.324</x:v>
      </x:c>
      <x:c r="L427" s="38" t="n">
        <x:f>SUM(G427:K427)</x:f>
        <x:v>229.517</x:v>
      </x:c>
      <x:c r="M427" s="38" t="n">
        <x:v>272.481</x:v>
      </x:c>
      <x:c r="N427" s="38" t="n">
        <x:v>580.74</x:v>
      </x:c>
      <x:c r="O427" s="38" t="n">
        <x:v>444.07</x:v>
      </x:c>
      <x:c r="P427" s="38" t="n">
        <x:v>669.9</x:v>
      </x:c>
      <x:c r="Q427" s="38" t="n">
        <x:v>19.88</x:v>
      </x:c>
      <x:c r="R427" s="38" t="n">
        <x:v>43.7475</x:v>
      </x:c>
      <x:c r="S427" s="38" t="n">
        <x:v>74.05</x:v>
      </x:c>
      <x:c r="T427" s="40" t="n">
        <x:v>18.57</x:v>
      </x:c>
      <x:c r="U427" s="40" t="n">
        <x:v>0.34</x:v>
      </x:c>
      <x:c r="V427" s="38" t="n">
        <x:f>L427*(1-T427/100)*(1-U427/100)</x:f>
        <x:v>186.26024774345998</x:v>
      </x:c>
      <x:c r="W427" s="38" t="n">
        <x:f>G427*N427</x:f>
        <x:v>93079.26497999999</x:v>
      </x:c>
      <x:c r="X427" s="38" t="n">
        <x:f>H427*O427</x:f>
        <x:v>22769.68925</x:v>
      </x:c>
      <x:c r="Y427" s="38" t="n">
        <x:f>I427*P427</x:f>
        <x:v>6658.806</x:v>
      </x:c>
      <x:c r="Z427" s="38" t="n">
        <x:f>J427*Q427+K427*P427</x:f>
        <x:v>1670.18348</x:v>
      </x:c>
      <x:c r="AA427" s="38" t="n">
        <x:f>M427*R427</x:f>
        <x:v>11920.3625475</x:v>
      </x:c>
      <x:c r="AB427" s="38" t="n">
        <x:f>SUM(W427:AA427)</x:f>
        <x:v>136098.3062575</x:v>
      </x:c>
      <x:c r="AC427" s="38" t="n">
        <x:v>12.3</x:v>
      </x:c>
      <x:c r="AD427" s="38" t="n">
        <x:v>174.33</x:v>
      </x:c>
      <x:c r="AE427" s="38" t="n">
        <x:v>105.26</x:v>
      </x:c>
      <x:c r="AF427" s="38" t="n">
        <x:v>4.8148</x:v>
      </x:c>
      <x:c r="AG427" s="38" t="n">
        <x:v>5.28</x:v>
      </x:c>
      <x:c r="AH427" s="38" t="n">
        <x:f>IF(E427="Fason",L427*S427,0)</x:f>
        <x:v>0</x:v>
      </x:c>
      <x:c r="AI427" s="38" t="n">
        <x:f>IF(E427="Kurum içi",AC427*AD427+AE427*AF427+AB427*12%,0)</x:f>
        <x:v>18982.8615989</x:v>
      </x:c>
      <x:c r="AJ427" s="38" t="n">
        <x:f>V427*AG427</x:f>
        <x:v>983.4541080854688</x:v>
      </x:c>
      <x:c r="AK427" s="38" t="n">
        <x:f>AB427*2%</x:f>
        <x:v>2721.9661251499997</x:v>
      </x:c>
      <x:c r="AL427" s="38" t="n">
        <x:f>AB427+AH427+AI427+AJ427+AK427</x:f>
        <x:v>158786.58808963545</x:v>
      </x:c>
      <x:c r="AM427" s="38" t="n">
        <x:f>AL427/V427</x:f>
        <x:v>852.4985337093261</x:v>
      </x:c>
      <x:c r="AN427" s="40" t="n">
        <x:f>(W427+X427)/AL427*100</x:f>
        <x:v>72.95890391233985</x:v>
      </x:c>
      <x:c r="AO427" s="28" t="str">
        <x:v>R01-R20; ilgili satırdaki bölgesel fiyat ve maliyet varsayımları</x:v>
      </x:c>
      <x:c r="AP427" s="28" t="str">
        <x:v>Girdi miktarları, alım fiyatı değişimi, fason bedeli ve parti sonucu simüle edilmiştir; işletme kaydı değildir.</x:v>
      </x:c>
    </x:row>
    <x:row r="428" ht="22" customHeight="1">
      <x:c r="A428" t="str">
        <x:v>SUC-0427</x:v>
      </x:c>
      <x:c r="B428" s="36" t="n">
        <x:v>46280</x:v>
      </x:c>
      <x:c r="C428" t="str">
        <x:v>Karadeniz</x:v>
      </x:c>
      <x:c r="D428" t="str">
        <x:v>ERZURUM_CI</x:v>
      </x:c>
      <x:c r="E428" t="str">
        <x:v>Fason</x:v>
      </x:c>
      <x:c r="F428" s="42" t="str">
        <x:v>SENTETİK/SİMÜLE — gerçek parti kaydı değildir</x:v>
      </x:c>
      <x:c r="G428" s="38" t="n">
        <x:v>157.248</x:v>
      </x:c>
      <x:c r="H428" s="38" t="n">
        <x:v>27.603</x:v>
      </x:c>
      <x:c r="I428" s="38" t="n">
        <x:v>9.227</x:v>
      </x:c>
      <x:c r="J428" s="38" t="n">
        <x:v>2.793</x:v>
      </x:c>
      <x:c r="K428" s="38" t="n">
        <x:v>0.112</x:v>
      </x:c>
      <x:c r="L428" s="38" t="n">
        <x:f>SUM(G428:K428)</x:f>
        <x:v>196.983</x:v>
      </x:c>
      <x:c r="M428" s="38" t="n">
        <x:v>227.761</x:v>
      </x:c>
      <x:c r="N428" s="38" t="n">
        <x:v>620.64</x:v>
      </x:c>
      <x:c r="O428" s="38" t="n">
        <x:v>413.63</x:v>
      </x:c>
      <x:c r="P428" s="38" t="n">
        <x:v>400</x:v>
      </x:c>
      <x:c r="Q428" s="38" t="n">
        <x:v>19.88</x:v>
      </x:c>
      <x:c r="R428" s="38" t="n">
        <x:v>43.7475</x:v>
      </x:c>
      <x:c r="S428" s="38" t="n">
        <x:v>74.34</x:v>
      </x:c>
      <x:c r="T428" s="40" t="n">
        <x:v>23.55</x:v>
      </x:c>
      <x:c r="U428" s="40" t="n">
        <x:v>0.88</x:v>
      </x:c>
      <x:c r="V428" s="38" t="n">
        <x:f>L428*(1-T428/100)*(1-U428/100)</x:f>
        <x:v>149.26828066919998</x:v>
      </x:c>
      <x:c r="W428" s="38" t="n">
        <x:f>G428*N428</x:f>
        <x:v>97594.39872</x:v>
      </x:c>
      <x:c r="X428" s="38" t="n">
        <x:f>H428*O428</x:f>
        <x:v>11417.428890000001</x:v>
      </x:c>
      <x:c r="Y428" s="38" t="n">
        <x:f>I428*P428</x:f>
        <x:v>3690.8</x:v>
      </x:c>
      <x:c r="Z428" s="38" t="n">
        <x:f>J428*Q428+K428*P428</x:f>
        <x:v>100.32484</x:v>
      </x:c>
      <x:c r="AA428" s="38" t="n">
        <x:f>M428*R428</x:f>
        <x:v>9963.9743475</x:v>
      </x:c>
      <x:c r="AB428" s="38" t="n">
        <x:f>SUM(W428:AA428)</x:f>
        <x:v>122766.9267975</x:v>
      </x:c>
      <x:c r="AC428" s="38" t="n">
        <x:v>8.94</x:v>
      </x:c>
      <x:c r="AD428" s="38" t="n">
        <x:v>174.33</x:v>
      </x:c>
      <x:c r="AE428" s="38" t="n">
        <x:v>75.83</x:v>
      </x:c>
      <x:c r="AF428" s="38" t="n">
        <x:v>4.8148</x:v>
      </x:c>
      <x:c r="AG428" s="38" t="n">
        <x:v>5.64</x:v>
      </x:c>
      <x:c r="AH428" s="38" t="n">
        <x:f>IF(E428="Fason",L428*S428,0)</x:f>
        <x:v>14643.71622</x:v>
      </x:c>
      <x:c r="AI428" s="38" t="n">
        <x:f>IF(E428="Kurum içi",AC428*AD428+AE428*AF428+AB428*12%,0)</x:f>
        <x:v>0</x:v>
      </x:c>
      <x:c r="AJ428" s="38" t="n">
        <x:f>V428*AG428</x:f>
        <x:v>841.8731029742878</x:v>
      </x:c>
      <x:c r="AK428" s="38" t="n">
        <x:f>AB428*2%</x:f>
        <x:v>2455.33853595</x:v>
      </x:c>
      <x:c r="AL428" s="38" t="n">
        <x:f>AB428+AH428+AI428+AJ428+AK428</x:f>
        <x:v>140707.8546564243</x:v>
      </x:c>
      <x:c r="AM428" s="38" t="n">
        <x:f>AL428/V428</x:f>
        <x:v>942.6507361483795</x:v>
      </x:c>
      <x:c r="AN428" s="40" t="n">
        <x:f>(W428+X428)/AL428*100</x:f>
        <x:v>77.47387512671656</x:v>
      </x:c>
      <x:c r="AO428" s="28" t="str">
        <x:v>R01-R20; ilgili satırdaki bölgesel fiyat ve maliyet varsayımları</x:v>
      </x:c>
      <x:c r="AP428" s="28" t="str">
        <x:v>Girdi miktarları, alım fiyatı değişimi, fason bedeli ve parti sonucu simüle edilmiştir; işletme kaydı değildir.</x:v>
      </x:c>
    </x:row>
    <x:row r="429" ht="22" customHeight="1">
      <x:c r="A429" t="str">
        <x:v>SUC-0428</x:v>
      </x:c>
      <x:c r="B429" s="36" t="n">
        <x:v>46315</x:v>
      </x:c>
      <x:c r="C429" t="str">
        <x:v>Doğu Anadolu</x:v>
      </x:c>
      <x:c r="D429" t="str">
        <x:v>ERZURUM_CI</x:v>
      </x:c>
      <x:c r="E429" t="str">
        <x:v>Fason</x:v>
      </x:c>
      <x:c r="F429" s="42" t="str">
        <x:v>SENTETİK/SİMÜLE — gerçek parti kaydı değildir</x:v>
      </x:c>
      <x:c r="G429" s="38" t="n">
        <x:v>173.71</x:v>
      </x:c>
      <x:c r="H429" s="38" t="n">
        <x:v>30.034</x:v>
      </x:c>
      <x:c r="I429" s="38" t="n">
        <x:v>10.639</x:v>
      </x:c>
      <x:c r="J429" s="38" t="n">
        <x:v>3.895</x:v>
      </x:c>
      <x:c r="K429" s="38" t="n">
        <x:v>0.264</x:v>
      </x:c>
      <x:c r="L429" s="38" t="n">
        <x:f>SUM(G429:K429)</x:f>
        <x:v>218.54200000000003</x:v>
      </x:c>
      <x:c r="M429" s="38" t="n">
        <x:v>273.72</x:v>
      </x:c>
      <x:c r="N429" s="38" t="n">
        <x:v>583.49</x:v>
      </x:c>
      <x:c r="O429" s="38" t="n">
        <x:v>439.93</x:v>
      </x:c>
      <x:c r="P429" s="38" t="n">
        <x:v>400</x:v>
      </x:c>
      <x:c r="Q429" s="38" t="n">
        <x:v>19.88</x:v>
      </x:c>
      <x:c r="R429" s="38" t="n">
        <x:v>43.7475</x:v>
      </x:c>
      <x:c r="S429" s="38" t="n">
        <x:v>69.28</x:v>
      </x:c>
      <x:c r="T429" s="40" t="n">
        <x:v>27.42</x:v>
      </x:c>
      <x:c r="U429" s="40" t="n">
        <x:v>1.31</x:v>
      </x:c>
      <x:c r="V429" s="38" t="n">
        <x:f>L429*(1-T429/100)*(1-U429/100)</x:f>
        <x:v>156.53989063484002</x:v>
      </x:c>
      <x:c r="W429" s="38" t="n">
        <x:f>G429*N429</x:f>
        <x:v>101358.0479</x:v>
      </x:c>
      <x:c r="X429" s="38" t="n">
        <x:f>H429*O429</x:f>
        <x:v>13212.857619999999</x:v>
      </x:c>
      <x:c r="Y429" s="38" t="n">
        <x:f>I429*P429</x:f>
        <x:v>4255.599999999999</x:v>
      </x:c>
      <x:c r="Z429" s="38" t="n">
        <x:f>J429*Q429+K429*P429</x:f>
        <x:v>183.0326</x:v>
      </x:c>
      <x:c r="AA429" s="38" t="n">
        <x:f>M429*R429</x:f>
        <x:v>11974.565700000001</x:v>
      </x:c>
      <x:c r="AB429" s="38" t="n">
        <x:f>SUM(W429:AA429)</x:f>
        <x:v>130984.10382000002</x:v>
      </x:c>
      <x:c r="AC429" s="38" t="n">
        <x:v>13.65</x:v>
      </x:c>
      <x:c r="AD429" s="38" t="n">
        <x:v>174.33</x:v>
      </x:c>
      <x:c r="AE429" s="38" t="n">
        <x:v>86.88</x:v>
      </x:c>
      <x:c r="AF429" s="38" t="n">
        <x:v>4.8148</x:v>
      </x:c>
      <x:c r="AG429" s="38" t="n">
        <x:v>5.84</x:v>
      </x:c>
      <x:c r="AH429" s="38" t="n">
        <x:f>IF(E429="Fason",L429*S429,0)</x:f>
        <x:v>15140.589760000003</x:v>
      </x:c>
      <x:c r="AI429" s="38" t="n">
        <x:f>IF(E429="Kurum içi",AC429*AD429+AE429*AF429+AB429*12%,0)</x:f>
        <x:v>0</x:v>
      </x:c>
      <x:c r="AJ429" s="38" t="n">
        <x:f>V429*AG429</x:f>
        <x:v>914.1929613074657</x:v>
      </x:c>
      <x:c r="AK429" s="38" t="n">
        <x:f>AB429*2%</x:f>
        <x:v>2619.6820764000004</x:v>
      </x:c>
      <x:c r="AL429" s="38" t="n">
        <x:f>AB429+AH429+AI429+AJ429+AK429</x:f>
        <x:v>149658.5686177075</x:v>
      </x:c>
      <x:c r="AM429" s="38" t="n">
        <x:f>AL429/V429</x:f>
        <x:v>956.041096047623</x:v>
      </x:c>
      <x:c r="AN429" s="40" t="n">
        <x:f>(W429+X429)/AL429*100</x:f>
        <x:v>76.5548585545165</x:v>
      </x:c>
      <x:c r="AO429" s="28" t="str">
        <x:v>R01-R20; ilgili satırdaki bölgesel fiyat ve maliyet varsayımları</x:v>
      </x:c>
      <x:c r="AP429" s="28" t="str">
        <x:v>Girdi miktarları, alım fiyatı değişimi, fason bedeli ve parti sonucu simüle edilmiştir; işletme kaydı değildir.</x:v>
      </x:c>
    </x:row>
    <x:row r="430" ht="22" customHeight="1">
      <x:c r="A430" t="str">
        <x:v>SUC-0429</x:v>
      </x:c>
      <x:c r="B430" s="36" t="n">
        <x:v>46284</x:v>
      </x:c>
      <x:c r="C430" t="str">
        <x:v>Marmara</x:v>
      </x:c>
      <x:c r="D430" t="str">
        <x:v>ERZURUM_CI</x:v>
      </x:c>
      <x:c r="E430" t="str">
        <x:v>Fason</x:v>
      </x:c>
      <x:c r="F430" s="42" t="str">
        <x:v>SENTETİK/SİMÜLE — gerçek parti kaydı değildir</x:v>
      </x:c>
      <x:c r="G430" s="38" t="n">
        <x:v>372.485</x:v>
      </x:c>
      <x:c r="H430" s="38" t="n">
        <x:v>63.211</x:v>
      </x:c>
      <x:c r="I430" s="38" t="n">
        <x:v>22.192</x:v>
      </x:c>
      <x:c r="J430" s="38" t="n">
        <x:v>6.55</x:v>
      </x:c>
      <x:c r="K430" s="38" t="n">
        <x:v>1.096</x:v>
      </x:c>
      <x:c r="L430" s="38" t="n">
        <x:f>SUM(G430:K430)</x:f>
        <x:v>465.53400000000005</x:v>
      </x:c>
      <x:c r="M430" s="38" t="n">
        <x:v>610.063</x:v>
      </x:c>
      <x:c r="N430" s="38" t="n">
        <x:v>602.79</x:v>
      </x:c>
      <x:c r="O430" s="38" t="n">
        <x:v>460.11</x:v>
      </x:c>
      <x:c r="P430" s="38" t="n">
        <x:v>669.9</x:v>
      </x:c>
      <x:c r="Q430" s="38" t="n">
        <x:v>19.88</x:v>
      </x:c>
      <x:c r="R430" s="38" t="n">
        <x:v>43.7475</x:v>
      </x:c>
      <x:c r="S430" s="38" t="n">
        <x:v>73.05</x:v>
      </x:c>
      <x:c r="T430" s="40" t="n">
        <x:v>29.53</x:v>
      </x:c>
      <x:c r="U430" s="40" t="n">
        <x:v>0.69</x:v>
      </x:c>
      <x:c r="V430" s="38" t="n">
        <x:f>L430*(1-T430/100)*(1-U430/100)</x:f>
        <x:v>325.79818331238005</x:v>
      </x:c>
      <x:c r="W430" s="38" t="n">
        <x:f>G430*N430</x:f>
        <x:v>224530.23315</x:v>
      </x:c>
      <x:c r="X430" s="38" t="n">
        <x:f>H430*O430</x:f>
        <x:v>29084.01321</x:v>
      </x:c>
      <x:c r="Y430" s="38" t="n">
        <x:f>I430*P430</x:f>
        <x:v>14866.4208</x:v>
      </x:c>
      <x:c r="Z430" s="38" t="n">
        <x:f>J430*Q430+K430*P430</x:f>
        <x:v>864.4244000000001</x:v>
      </x:c>
      <x:c r="AA430" s="38" t="n">
        <x:f>M430*R430</x:f>
        <x:v>26688.731092500002</x:v>
      </x:c>
      <x:c r="AB430" s="38" t="n">
        <x:f>SUM(W430:AA430)</x:f>
        <x:v>296033.8226525</x:v>
      </x:c>
      <x:c r="AC430" s="38" t="n">
        <x:v>16.75</x:v>
      </x:c>
      <x:c r="AD430" s="38" t="n">
        <x:v>174.33</x:v>
      </x:c>
      <x:c r="AE430" s="38" t="n">
        <x:v>188.92</x:v>
      </x:c>
      <x:c r="AF430" s="38" t="n">
        <x:v>4.8148</x:v>
      </x:c>
      <x:c r="AG430" s="38" t="n">
        <x:v>5.4</x:v>
      </x:c>
      <x:c r="AH430" s="38" t="n">
        <x:f>IF(E430="Fason",L430*S430,0)</x:f>
        <x:v>34007.258700000006</x:v>
      </x:c>
      <x:c r="AI430" s="38" t="n">
        <x:f>IF(E430="Kurum içi",AC430*AD430+AE430*AF430+AB430*12%,0)</x:f>
        <x:v>0</x:v>
      </x:c>
      <x:c r="AJ430" s="38" t="n">
        <x:f>V430*AG430</x:f>
        <x:v>1759.3101898868524</x:v>
      </x:c>
      <x:c r="AK430" s="38" t="n">
        <x:f>AB430*2%</x:f>
        <x:v>5920.67645305</x:v>
      </x:c>
      <x:c r="AL430" s="38" t="n">
        <x:f>AB430+AH430+AI430+AJ430+AK430</x:f>
        <x:v>337721.06799543684</x:v>
      </x:c>
      <x:c r="AM430" s="38" t="n">
        <x:f>AL430/V430</x:f>
        <x:v>1036.5959213210988</x:v>
      </x:c>
      <x:c r="AN430" s="40" t="n">
        <x:f>(W430+X430)/AL430*100</x:f>
        <x:v>75.09577293040739</x:v>
      </x:c>
      <x:c r="AO430" s="28" t="str">
        <x:v>R01-R20; ilgili satırdaki bölgesel fiyat ve maliyet varsayımları</x:v>
      </x:c>
      <x:c r="AP430" s="28" t="str">
        <x:v>Girdi miktarları, alım fiyatı değişimi, fason bedeli ve parti sonucu simüle edilmiştir; işletme kaydı değildir.</x:v>
      </x:c>
    </x:row>
    <x:row r="431" ht="22" customHeight="1">
      <x:c r="A431" t="str">
        <x:v>SUC-0430</x:v>
      </x:c>
      <x:c r="B431" s="36" t="n">
        <x:v>46282</x:v>
      </x:c>
      <x:c r="C431" t="str">
        <x:v>İç Anadolu</x:v>
      </x:c>
      <x:c r="D431" t="str">
        <x:v>ERZURUM_CI</x:v>
      </x:c>
      <x:c r="E431" t="str">
        <x:v>Fason</x:v>
      </x:c>
      <x:c r="F431" s="42" t="str">
        <x:v>SENTETİK/SİMÜLE — gerçek parti kaydı değildir</x:v>
      </x:c>
      <x:c r="G431" s="38" t="n">
        <x:v>330.706</x:v>
      </x:c>
      <x:c r="H431" s="38" t="n">
        <x:v>58.08</x:v>
      </x:c>
      <x:c r="I431" s="38" t="n">
        <x:v>19.012</x:v>
      </x:c>
      <x:c r="J431" s="38" t="n">
        <x:v>6.186</x:v>
      </x:c>
      <x:c r="K431" s="38" t="n">
        <x:v>0.368</x:v>
      </x:c>
      <x:c r="L431" s="38" t="n">
        <x:f>SUM(G431:K431)</x:f>
        <x:v>414.352</x:v>
      </x:c>
      <x:c r="M431" s="38" t="n">
        <x:v>479.569</x:v>
      </x:c>
      <x:c r="N431" s="38" t="n">
        <x:v>600.53</x:v>
      </x:c>
      <x:c r="O431" s="38" t="n">
        <x:v>416.54</x:v>
      </x:c>
      <x:c r="P431" s="38" t="n">
        <x:v>550</x:v>
      </x:c>
      <x:c r="Q431" s="38" t="n">
        <x:v>19.88</x:v>
      </x:c>
      <x:c r="R431" s="38" t="n">
        <x:v>43.7475</x:v>
      </x:c>
      <x:c r="S431" s="38" t="n">
        <x:v>106.33</x:v>
      </x:c>
      <x:c r="T431" s="40" t="n">
        <x:v>20.66</x:v>
      </x:c>
      <x:c r="U431" s="40" t="n">
        <x:v>0.79</x:v>
      </x:c>
      <x:c r="V431" s="38" t="n">
        <x:f>L431*(1-T431/100)*(1-U431/100)</x:f>
        <x:v>326.14977647328</x:v>
      </x:c>
      <x:c r="W431" s="38" t="n">
        <x:f>G431*N431</x:f>
        <x:v>198598.87418</x:v>
      </x:c>
      <x:c r="X431" s="38" t="n">
        <x:f>H431*O431</x:f>
        <x:v>24192.643200000002</x:v>
      </x:c>
      <x:c r="Y431" s="38" t="n">
        <x:f>I431*P431</x:f>
        <x:v>10456.6</x:v>
      </x:c>
      <x:c r="Z431" s="38" t="n">
        <x:f>J431*Q431+K431*P431</x:f>
        <x:v>325.37768</x:v>
      </x:c>
      <x:c r="AA431" s="38" t="n">
        <x:f>M431*R431</x:f>
        <x:v>20979.944827500003</x:v>
      </x:c>
      <x:c r="AB431" s="38" t="n">
        <x:f>SUM(W431:AA431)</x:f>
        <x:v>254553.43988750002</x:v>
      </x:c>
      <x:c r="AC431" s="38" t="n">
        <x:v>18.45</x:v>
      </x:c>
      <x:c r="AD431" s="38" t="n">
        <x:v>174.33</x:v>
      </x:c>
      <x:c r="AE431" s="38" t="n">
        <x:v>95.17</x:v>
      </x:c>
      <x:c r="AF431" s="38" t="n">
        <x:v>4.8148</x:v>
      </x:c>
      <x:c r="AG431" s="38" t="n">
        <x:v>5.44</x:v>
      </x:c>
      <x:c r="AH431" s="38" t="n">
        <x:f>IF(E431="Fason",L431*S431,0)</x:f>
        <x:v>44058.04816</x:v>
      </x:c>
      <x:c r="AI431" s="38" t="n">
        <x:f>IF(E431="Kurum içi",AC431*AD431+AE431*AF431+AB431*12%,0)</x:f>
        <x:v>0</x:v>
      </x:c>
      <x:c r="AJ431" s="38" t="n">
        <x:f>V431*AG431</x:f>
        <x:v>1774.2547840146433</x:v>
      </x:c>
      <x:c r="AK431" s="38" t="n">
        <x:f>AB431*2%</x:f>
        <x:v>5091.06879775</x:v>
      </x:c>
      <x:c r="AL431" s="38" t="n">
        <x:f>AB431+AH431+AI431+AJ431+AK431</x:f>
        <x:v>305476.8116292647</x:v>
      </x:c>
      <x:c r="AM431" s="38" t="n">
        <x:f>AL431/V431</x:f>
        <x:v>936.6151187728656</x:v>
      </x:c>
      <x:c r="AN431" s="40" t="n">
        <x:f>(W431+X431)/AL431*100</x:f>
        <x:v>72.93238272055363</x:v>
      </x:c>
      <x:c r="AO431" s="28" t="str">
        <x:v>R01-R20; ilgili satırdaki bölgesel fiyat ve maliyet varsayımları</x:v>
      </x:c>
      <x:c r="AP431" s="28" t="str">
        <x:v>Girdi miktarları, alım fiyatı değişimi, fason bedeli ve parti sonucu simüle edilmiştir; işletme kaydı değildir.</x:v>
      </x:c>
    </x:row>
    <x:row r="432" ht="22" customHeight="1">
      <x:c r="A432" t="str">
        <x:v>SUC-0431</x:v>
      </x:c>
      <x:c r="B432" s="36" t="n">
        <x:v>46276</x:v>
      </x:c>
      <x:c r="C432" t="str">
        <x:v>Doğu Anadolu</x:v>
      </x:c>
      <x:c r="D432" t="str">
        <x:v>ERZURUM_CI</x:v>
      </x:c>
      <x:c r="E432" t="str">
        <x:v>Kurum içi</x:v>
      </x:c>
      <x:c r="F432" s="42" t="str">
        <x:v>SENTETİK/SİMÜLE — gerçek parti kaydı değildir</x:v>
      </x:c>
      <x:c r="G432" s="38" t="n">
        <x:v>223.617</x:v>
      </x:c>
      <x:c r="H432" s="38" t="n">
        <x:v>41.332</x:v>
      </x:c>
      <x:c r="I432" s="38" t="n">
        <x:v>13.501</x:v>
      </x:c>
      <x:c r="J432" s="38" t="n">
        <x:v>4.851</x:v>
      </x:c>
      <x:c r="K432" s="38" t="n">
        <x:v>0.242</x:v>
      </x:c>
      <x:c r="L432" s="38" t="n">
        <x:f>SUM(G432:K432)</x:f>
        <x:v>283.543</x:v>
      </x:c>
      <x:c r="M432" s="38" t="n">
        <x:v>381.938</x:v>
      </x:c>
      <x:c r="N432" s="38" t="n">
        <x:v>599.18</x:v>
      </x:c>
      <x:c r="O432" s="38" t="n">
        <x:v>472.92</x:v>
      </x:c>
      <x:c r="P432" s="38" t="n">
        <x:v>400</x:v>
      </x:c>
      <x:c r="Q432" s="38" t="n">
        <x:v>19.88</x:v>
      </x:c>
      <x:c r="R432" s="38" t="n">
        <x:v>43.7475</x:v>
      </x:c>
      <x:c r="S432" s="38" t="n">
        <x:v>116.78</x:v>
      </x:c>
      <x:c r="T432" s="40" t="n">
        <x:v>20.06</x:v>
      </x:c>
      <x:c r="U432" s="40" t="n">
        <x:v>1</x:v>
      </x:c>
      <x:c r="V432" s="38" t="n">
        <x:f>L432*(1-T432/100)*(1-U432/100)</x:f>
        <x:v>224.39763145799998</x:v>
      </x:c>
      <x:c r="W432" s="38" t="n">
        <x:f>G432*N432</x:f>
        <x:v>133986.83406</x:v>
      </x:c>
      <x:c r="X432" s="38" t="n">
        <x:f>H432*O432</x:f>
        <x:v>19546.729440000003</x:v>
      </x:c>
      <x:c r="Y432" s="38" t="n">
        <x:f>I432*P432</x:f>
        <x:v>5400.4</x:v>
      </x:c>
      <x:c r="Z432" s="38" t="n">
        <x:f>J432*Q432+K432*P432</x:f>
        <x:v>193.23788</x:v>
      </x:c>
      <x:c r="AA432" s="38" t="n">
        <x:f>M432*R432</x:f>
        <x:v>16708.832655000002</x:v>
      </x:c>
      <x:c r="AB432" s="38" t="n">
        <x:f>SUM(W432:AA432)</x:f>
        <x:v>175836.034035</x:v>
      </x:c>
      <x:c r="AC432" s="38" t="n">
        <x:v>12.66</x:v>
      </x:c>
      <x:c r="AD432" s="38" t="n">
        <x:v>174.33</x:v>
      </x:c>
      <x:c r="AE432" s="38" t="n">
        <x:v>102.9</x:v>
      </x:c>
      <x:c r="AF432" s="38" t="n">
        <x:v>4.8148</x:v>
      </x:c>
      <x:c r="AG432" s="38" t="n">
        <x:v>5.47</x:v>
      </x:c>
      <x:c r="AH432" s="38" t="n">
        <x:f>IF(E432="Fason",L432*S432,0)</x:f>
        <x:v>0</x:v>
      </x:c>
      <x:c r="AI432" s="38" t="n">
        <x:f>IF(E432="Kurum içi",AC432*AD432+AE432*AF432+AB432*12%,0)</x:f>
        <x:v>23802.784804199997</x:v>
      </x:c>
      <x:c r="AJ432" s="38" t="n">
        <x:f>V432*AG432</x:f>
        <x:v>1227.4550440752598</x:v>
      </x:c>
      <x:c r="AK432" s="38" t="n">
        <x:f>AB432*2%</x:f>
        <x:v>3516.7206807</x:v>
      </x:c>
      <x:c r="AL432" s="38" t="n">
        <x:f>AB432+AH432+AI432+AJ432+AK432</x:f>
        <x:v>204382.99456397526</x:v>
      </x:c>
      <x:c r="AM432" s="38" t="n">
        <x:f>AL432/V432</x:f>
        <x:v>910.8072720554949</x:v>
      </x:c>
      <x:c r="AN432" s="40" t="n">
        <x:f>(W432+X432)/AL432*100</x:f>
        <x:v>75.12051764753915</x:v>
      </x:c>
      <x:c r="AO432" s="28" t="str">
        <x:v>R01-R20; ilgili satırdaki bölgesel fiyat ve maliyet varsayımları</x:v>
      </x:c>
      <x:c r="AP432" s="28" t="str">
        <x:v>Girdi miktarları, alım fiyatı değişimi, fason bedeli ve parti sonucu simüle edilmiştir; işletme kaydı değildir.</x:v>
      </x:c>
    </x:row>
    <x:row r="433" ht="22" customHeight="1">
      <x:c r="A433" t="str">
        <x:v>SUC-0432</x:v>
      </x:c>
      <x:c r="B433" s="36" t="n">
        <x:v>46287</x:v>
      </x:c>
      <x:c r="C433" t="str">
        <x:v>Marmara</x:v>
      </x:c>
      <x:c r="D433" t="str">
        <x:v>MEB_STANDART</x:v>
      </x:c>
      <x:c r="E433" t="str">
        <x:v>Fason</x:v>
      </x:c>
      <x:c r="F433" s="42" t="str">
        <x:v>SENTETİK/SİMÜLE — gerçek parti kaydı değildir</x:v>
      </x:c>
      <x:c r="G433" s="38" t="n">
        <x:v>311.72</x:v>
      </x:c>
      <x:c r="H433" s="38" t="n">
        <x:v>95.275</x:v>
      </x:c>
      <x:c r="I433" s="38" t="n">
        <x:v>19.041</x:v>
      </x:c>
      <x:c r="J433" s="38" t="n">
        <x:v>10.464</x:v>
      </x:c>
      <x:c r="K433" s="38" t="n">
        <x:v>5.169</x:v>
      </x:c>
      <x:c r="L433" s="38" t="n">
        <x:f>SUM(G433:K433)</x:f>
        <x:v>441.669</x:v>
      </x:c>
      <x:c r="M433" s="38" t="n">
        <x:v>570.088</x:v>
      </x:c>
      <x:c r="N433" s="38" t="n">
        <x:v>609.77</x:v>
      </x:c>
      <x:c r="O433" s="38" t="n">
        <x:v>477.74</x:v>
      </x:c>
      <x:c r="P433" s="38" t="n">
        <x:v>400</x:v>
      </x:c>
      <x:c r="Q433" s="38" t="n">
        <x:v>19.88</x:v>
      </x:c>
      <x:c r="R433" s="38" t="n">
        <x:v>43.7475</x:v>
      </x:c>
      <x:c r="S433" s="38" t="n">
        <x:v>105.69</x:v>
      </x:c>
      <x:c r="T433" s="40" t="n">
        <x:v>18.24</x:v>
      </x:c>
      <x:c r="U433" s="40" t="n">
        <x:v>1.67</x:v>
      </x:c>
      <x:c r="V433" s="38" t="n">
        <x:f>L433*(1-T433/100)*(1-U433/100)</x:f>
        <x:v>355.07806120751997</x:v>
      </x:c>
      <x:c r="W433" s="38" t="n">
        <x:f>G433*N433</x:f>
        <x:v>190077.5044</x:v>
      </x:c>
      <x:c r="X433" s="38" t="n">
        <x:f>H433*O433</x:f>
        <x:v>45516.6785</x:v>
      </x:c>
      <x:c r="Y433" s="38" t="n">
        <x:f>I433*P433</x:f>
        <x:v>7616.400000000001</x:v>
      </x:c>
      <x:c r="Z433" s="38" t="n">
        <x:f>J433*Q433+K433*P433</x:f>
        <x:v>2275.62432</x:v>
      </x:c>
      <x:c r="AA433" s="38" t="n">
        <x:f>M433*R433</x:f>
        <x:v>24939.92478</x:v>
      </x:c>
      <x:c r="AB433" s="38" t="n">
        <x:f>SUM(W433:AA433)</x:f>
        <x:v>270426.132</x:v>
      </x:c>
      <x:c r="AC433" s="38" t="n">
        <x:v>17.19</x:v>
      </x:c>
      <x:c r="AD433" s="38" t="n">
        <x:v>174.33</x:v>
      </x:c>
      <x:c r="AE433" s="38" t="n">
        <x:v>163.1</x:v>
      </x:c>
      <x:c r="AF433" s="38" t="n">
        <x:v>4.8148</x:v>
      </x:c>
      <x:c r="AG433" s="38" t="n">
        <x:v>5.83</x:v>
      </x:c>
      <x:c r="AH433" s="38" t="n">
        <x:f>IF(E433="Fason",L433*S433,0)</x:f>
        <x:v>46679.996609999995</x:v>
      </x:c>
      <x:c r="AI433" s="38" t="n">
        <x:f>IF(E433="Kurum içi",AC433*AD433+AE433*AF433+AB433*12%,0)</x:f>
        <x:v>0</x:v>
      </x:c>
      <x:c r="AJ433" s="38" t="n">
        <x:f>V433*AG433</x:f>
        <x:v>2070.1050968398413</x:v>
      </x:c>
      <x:c r="AK433" s="38" t="n">
        <x:f>AB433*2%</x:f>
        <x:v>5408.52264</x:v>
      </x:c>
      <x:c r="AL433" s="38" t="n">
        <x:f>AB433+AH433+AI433+AJ433+AK433</x:f>
        <x:v>324584.7563468398</x:v>
      </x:c>
      <x:c r="AM433" s="38" t="n">
        <x:f>AL433/V433</x:f>
        <x:v>914.1222503103089</x:v>
      </x:c>
      <x:c r="AN433" s="40" t="n">
        <x:f>(W433+X433)/AL433*100</x:f>
        <x:v>72.58325546510028</x:v>
      </x:c>
      <x:c r="AO433" s="28" t="str">
        <x:v>R01-R20; ilgili satırdaki bölgesel fiyat ve maliyet varsayımları</x:v>
      </x:c>
      <x:c r="AP433" s="28" t="str">
        <x:v>Girdi miktarları, alım fiyatı değişimi, fason bedeli ve parti sonucu simüle edilmiştir; işletme kaydı değildir.</x:v>
      </x:c>
    </x:row>
    <x:row r="434" ht="22" customHeight="1">
      <x:c r="A434" t="str">
        <x:v>SUC-0433</x:v>
      </x:c>
      <x:c r="B434" s="36" t="n">
        <x:v>46274</x:v>
      </x:c>
      <x:c r="C434" t="str">
        <x:v>Doğu Anadolu</x:v>
      </x:c>
      <x:c r="D434" t="str">
        <x:v>ERZURUM_CI</x:v>
      </x:c>
      <x:c r="E434" t="str">
        <x:v>Fason</x:v>
      </x:c>
      <x:c r="F434" s="42" t="str">
        <x:v>SENTETİK/SİMÜLE — gerçek parti kaydı değildir</x:v>
      </x:c>
      <x:c r="G434" s="38" t="n">
        <x:v>126.388</x:v>
      </x:c>
      <x:c r="H434" s="38" t="n">
        <x:v>23.728</x:v>
      </x:c>
      <x:c r="I434" s="38" t="n">
        <x:v>7.542</x:v>
      </x:c>
      <x:c r="J434" s="38" t="n">
        <x:v>2.667</x:v>
      </x:c>
      <x:c r="K434" s="38" t="n">
        <x:v>0.136</x:v>
      </x:c>
      <x:c r="L434" s="38" t="n">
        <x:f>SUM(G434:K434)</x:f>
        <x:v>160.461</x:v>
      </x:c>
      <x:c r="M434" s="38" t="n">
        <x:v>215.726</x:v>
      </x:c>
      <x:c r="N434" s="38" t="n">
        <x:v>593.48</x:v>
      </x:c>
      <x:c r="O434" s="38" t="n">
        <x:v>481.45</x:v>
      </x:c>
      <x:c r="P434" s="38" t="n">
        <x:v>400</x:v>
      </x:c>
      <x:c r="Q434" s="38" t="n">
        <x:v>19.88</x:v>
      </x:c>
      <x:c r="R434" s="38" t="n">
        <x:v>43.7475</x:v>
      </x:c>
      <x:c r="S434" s="38" t="n">
        <x:v>97.09</x:v>
      </x:c>
      <x:c r="T434" s="40" t="n">
        <x:v>19.07</x:v>
      </x:c>
      <x:c r="U434" s="40" t="n">
        <x:v>0.85</x:v>
      </x:c>
      <x:c r="V434" s="38" t="n">
        <x:f>L434*(1-T434/100)*(1-U434/100)</x:f>
        <x:v>128.75726805795003</x:v>
      </x:c>
      <x:c r="W434" s="38" t="n">
        <x:f>G434*N434</x:f>
        <x:v>75008.75024000001</x:v>
      </x:c>
      <x:c r="X434" s="38" t="n">
        <x:f>H434*O434</x:f>
        <x:v>11423.8456</x:v>
      </x:c>
      <x:c r="Y434" s="38" t="n">
        <x:f>I434*P434</x:f>
        <x:v>3016.7999999999997</x:v>
      </x:c>
      <x:c r="Z434" s="38" t="n">
        <x:f>J434*Q434+K434*P434</x:f>
        <x:v>107.41996</x:v>
      </x:c>
      <x:c r="AA434" s="38" t="n">
        <x:f>M434*R434</x:f>
        <x:v>9437.473185</x:v>
      </x:c>
      <x:c r="AB434" s="38" t="n">
        <x:f>SUM(W434:AA434)</x:f>
        <x:v>98994.288985</x:v>
      </x:c>
      <x:c r="AC434" s="38" t="n">
        <x:v>7.12</x:v>
      </x:c>
      <x:c r="AD434" s="38" t="n">
        <x:v>174.33</x:v>
      </x:c>
      <x:c r="AE434" s="38" t="n">
        <x:v>66.28</x:v>
      </x:c>
      <x:c r="AF434" s="38" t="n">
        <x:v>4.8148</x:v>
      </x:c>
      <x:c r="AG434" s="38" t="n">
        <x:v>5.36</x:v>
      </x:c>
      <x:c r="AH434" s="38" t="n">
        <x:f>IF(E434="Fason",L434*S434,0)</x:f>
        <x:v>15579.158490000002</x:v>
      </x:c>
      <x:c r="AI434" s="38" t="n">
        <x:f>IF(E434="Kurum içi",AC434*AD434+AE434*AF434+AB434*12%,0)</x:f>
        <x:v>0</x:v>
      </x:c>
      <x:c r="AJ434" s="38" t="n">
        <x:f>V434*AG434</x:f>
        <x:v>690.1389567906122</x:v>
      </x:c>
      <x:c r="AK434" s="38" t="n">
        <x:f>AB434*2%</x:f>
        <x:v>1979.8857797000003</x:v>
      </x:c>
      <x:c r="AL434" s="38" t="n">
        <x:f>AB434+AH434+AI434+AJ434+AK434</x:f>
        <x:v>117243.47221149062</x:v>
      </x:c>
      <x:c r="AM434" s="38" t="n">
        <x:f>AL434/V434</x:f>
        <x:v>910.5775074283389</x:v>
      </x:c>
      <x:c r="AN434" s="40" t="n">
        <x:f>(W434+X434)/AL434*100</x:f>
        <x:v>73.72060397877661</x:v>
      </x:c>
      <x:c r="AO434" s="28" t="str">
        <x:v>R01-R20; ilgili satırdaki bölgesel fiyat ve maliyet varsayımları</x:v>
      </x:c>
      <x:c r="AP434" s="28" t="str">
        <x:v>Girdi miktarları, alım fiyatı değişimi, fason bedeli ve parti sonucu simüle edilmiştir; işletme kaydı değildir.</x:v>
      </x:c>
    </x:row>
    <x:row r="435" ht="22" customHeight="1">
      <x:c r="A435" t="str">
        <x:v>SUC-0434</x:v>
      </x:c>
      <x:c r="B435" s="36" t="n">
        <x:v>46273</x:v>
      </x:c>
      <x:c r="C435" t="str">
        <x:v>Akdeniz</x:v>
      </x:c>
      <x:c r="D435" t="str">
        <x:v>MEB_STANDART</x:v>
      </x:c>
      <x:c r="E435" t="str">
        <x:v>Kurum içi</x:v>
      </x:c>
      <x:c r="F435" s="42" t="str">
        <x:v>SENTETİK/SİMÜLE — gerçek parti kaydı değildir</x:v>
      </x:c>
      <x:c r="G435" s="38" t="n">
        <x:v>317.367</x:v>
      </x:c>
      <x:c r="H435" s="38" t="n">
        <x:v>98.79</x:v>
      </x:c>
      <x:c r="I435" s="38" t="n">
        <x:v>19.56</x:v>
      </x:c>
      <x:c r="J435" s="38" t="n">
        <x:v>10.587</x:v>
      </x:c>
      <x:c r="K435" s="38" t="n">
        <x:v>4.443</x:v>
      </x:c>
      <x:c r="L435" s="38" t="n">
        <x:f>SUM(G435:K435)</x:f>
        <x:v>450.747</x:v>
      </x:c>
      <x:c r="M435" s="38" t="n">
        <x:v>599.773</x:v>
      </x:c>
      <x:c r="N435" s="38" t="n">
        <x:v>576.49</x:v>
      </x:c>
      <x:c r="O435" s="38" t="n">
        <x:v>451.17</x:v>
      </x:c>
      <x:c r="P435" s="38" t="n">
        <x:v>400</x:v>
      </x:c>
      <x:c r="Q435" s="38" t="n">
        <x:v>19.88</x:v>
      </x:c>
      <x:c r="R435" s="38" t="n">
        <x:v>43.7475</x:v>
      </x:c>
      <x:c r="S435" s="38" t="n">
        <x:v>71.55</x:v>
      </x:c>
      <x:c r="T435" s="40" t="n">
        <x:v>18.8</x:v>
      </x:c>
      <x:c r="U435" s="40" t="n">
        <x:v>0.38</x:v>
      </x:c>
      <x:c r="V435" s="38" t="n">
        <x:f>L435*(1-T435/100)*(1-U435/100)</x:f>
        <x:v>364.6157390568</x:v>
      </x:c>
      <x:c r="W435" s="38" t="n">
        <x:f>G435*N435</x:f>
        <x:v>182958.90183000002</x:v>
      </x:c>
      <x:c r="X435" s="38" t="n">
        <x:f>H435*O435</x:f>
        <x:v>44571.0843</x:v>
      </x:c>
      <x:c r="Y435" s="38" t="n">
        <x:f>I435*P435</x:f>
        <x:v>7823.999999999999</x:v>
      </x:c>
      <x:c r="Z435" s="38" t="n">
        <x:f>J435*Q435+K435*P435</x:f>
        <x:v>1987.6695599999998</x:v>
      </x:c>
      <x:c r="AA435" s="38" t="n">
        <x:f>M435*R435</x:f>
        <x:v>26238.5693175</x:v>
      </x:c>
      <x:c r="AB435" s="38" t="n">
        <x:f>SUM(W435:AA435)</x:f>
        <x:v>263580.22500750003</x:v>
      </x:c>
      <x:c r="AC435" s="38" t="n">
        <x:v>24.01</x:v>
      </x:c>
      <x:c r="AD435" s="38" t="n">
        <x:v>174.33</x:v>
      </x:c>
      <x:c r="AE435" s="38" t="n">
        <x:v>135.47</x:v>
      </x:c>
      <x:c r="AF435" s="38" t="n">
        <x:v>4.8148</x:v>
      </x:c>
      <x:c r="AG435" s="38" t="n">
        <x:v>5.14</x:v>
      </x:c>
      <x:c r="AH435" s="38" t="n">
        <x:f>IF(E435="Fason",L435*S435,0)</x:f>
        <x:v>0</x:v>
      </x:c>
      <x:c r="AI435" s="38" t="n">
        <x:f>IF(E435="Kurum içi",AC435*AD435+AE435*AF435+AB435*12%,0)</x:f>
        <x:v>36467.551256900006</x:v>
      </x:c>
      <x:c r="AJ435" s="38" t="n">
        <x:f>V435*AG435</x:f>
        <x:v>1874.1248987519518</x:v>
      </x:c>
      <x:c r="AK435" s="38" t="n">
        <x:f>AB435*2%</x:f>
        <x:v>5271.604500150001</x:v>
      </x:c>
      <x:c r="AL435" s="38" t="n">
        <x:f>AB435+AH435+AI435+AJ435+AK435</x:f>
        <x:v>307193.505663302</x:v>
      </x:c>
      <x:c r="AM435" s="38" t="n">
        <x:f>AL435/V435</x:f>
        <x:v>842.5130150935346</x:v>
      </x:c>
      <x:c r="AN435" s="40" t="n">
        <x:f>(W435+X435)/AL435*100</x:f>
        <x:v>74.06731650746002</x:v>
      </x:c>
      <x:c r="AO435" s="28" t="str">
        <x:v>R01-R20; ilgili satırdaki bölgesel fiyat ve maliyet varsayımları</x:v>
      </x:c>
      <x:c r="AP435" s="28" t="str">
        <x:v>Girdi miktarları, alım fiyatı değişimi, fason bedeli ve parti sonucu simüle edilmiştir; işletme kaydı değildir.</x:v>
      </x:c>
    </x:row>
    <x:row r="436" ht="22" customHeight="1">
      <x:c r="A436" t="str">
        <x:v>SUC-0435</x:v>
      </x:c>
      <x:c r="B436" s="36" t="n">
        <x:v>46274</x:v>
      </x:c>
      <x:c r="C436" t="str">
        <x:v>Doğu Anadolu</x:v>
      </x:c>
      <x:c r="D436" t="str">
        <x:v>ERZURUM_CI</x:v>
      </x:c>
      <x:c r="E436" t="str">
        <x:v>Fason</x:v>
      </x:c>
      <x:c r="F436" s="42" t="str">
        <x:v>SENTETİK/SİMÜLE — gerçek parti kaydı değildir</x:v>
      </x:c>
      <x:c r="G436" s="38" t="n">
        <x:v>335.742</x:v>
      </x:c>
      <x:c r="H436" s="38" t="n">
        <x:v>58.432</x:v>
      </x:c>
      <x:c r="I436" s="38" t="n">
        <x:v>18.877</x:v>
      </x:c>
      <x:c r="J436" s="38" t="n">
        <x:v>7.142</x:v>
      </x:c>
      <x:c r="K436" s="38" t="n">
        <x:v>0.16</x:v>
      </x:c>
      <x:c r="L436" s="38" t="n">
        <x:f>SUM(G436:K436)</x:f>
        <x:v>420.35300000000007</x:v>
      </x:c>
      <x:c r="M436" s="38" t="n">
        <x:v>519.637</x:v>
      </x:c>
      <x:c r="N436" s="38" t="n">
        <x:v>586.92</x:v>
      </x:c>
      <x:c r="O436" s="38" t="n">
        <x:v>472.5</x:v>
      </x:c>
      <x:c r="P436" s="38" t="n">
        <x:v>550</x:v>
      </x:c>
      <x:c r="Q436" s="38" t="n">
        <x:v>19.88</x:v>
      </x:c>
      <x:c r="R436" s="38" t="n">
        <x:v>43.7475</x:v>
      </x:c>
      <x:c r="S436" s="38" t="n">
        <x:v>91.59</x:v>
      </x:c>
      <x:c r="T436" s="40" t="n">
        <x:v>24.36</x:v>
      </x:c>
      <x:c r="U436" s="40" t="n">
        <x:v>1.62</x:v>
      </x:c>
      <x:c r="V436" s="38" t="n">
        <x:f>L436*(1-T436/100)*(1-U436/100)</x:f>
        <x:v>312.80413805096003</x:v>
      </x:c>
      <x:c r="W436" s="38" t="n">
        <x:f>G436*N436</x:f>
        <x:v>197053.69464</x:v>
      </x:c>
      <x:c r="X436" s="38" t="n">
        <x:f>H436*O436</x:f>
        <x:v>27609.120000000003</x:v>
      </x:c>
      <x:c r="Y436" s="38" t="n">
        <x:f>I436*P436</x:f>
        <x:v>10382.349999999999</x:v>
      </x:c>
      <x:c r="Z436" s="38" t="n">
        <x:f>J436*Q436+K436*P436</x:f>
        <x:v>229.98296</x:v>
      </x:c>
      <x:c r="AA436" s="38" t="n">
        <x:f>M436*R436</x:f>
        <x:v>22732.8196575</x:v>
      </x:c>
      <x:c r="AB436" s="38" t="n">
        <x:f>SUM(W436:AA436)</x:f>
        <x:v>258007.9672575</x:v>
      </x:c>
      <x:c r="AC436" s="38" t="n">
        <x:v>14.89</x:v>
      </x:c>
      <x:c r="AD436" s="38" t="n">
        <x:v>174.33</x:v>
      </x:c>
      <x:c r="AE436" s="38" t="n">
        <x:v>194.51</x:v>
      </x:c>
      <x:c r="AF436" s="38" t="n">
        <x:v>4.8148</x:v>
      </x:c>
      <x:c r="AG436" s="38" t="n">
        <x:v>5.31</x:v>
      </x:c>
      <x:c r="AH436" s="38" t="n">
        <x:f>IF(E436="Fason",L436*S436,0)</x:f>
        <x:v>38500.131270000005</x:v>
      </x:c>
      <x:c r="AI436" s="38" t="n">
        <x:f>IF(E436="Kurum içi",AC436*AD436+AE436*AF436+AB436*12%,0)</x:f>
        <x:v>0</x:v>
      </x:c>
      <x:c r="AJ436" s="38" t="n">
        <x:f>V436*AG436</x:f>
        <x:v>1660.9899730505977</x:v>
      </x:c>
      <x:c r="AK436" s="38" t="n">
        <x:f>AB436*2%</x:f>
        <x:v>5160.15934515</x:v>
      </x:c>
      <x:c r="AL436" s="38" t="n">
        <x:f>AB436+AH436+AI436+AJ436+AK436</x:f>
        <x:v>303329.2478457006</x:v>
      </x:c>
      <x:c r="AM436" s="38" t="n">
        <x:f>AL436/V436</x:f>
        <x:v>969.7098310006504</x:v>
      </x:c>
      <x:c r="AN436" s="40" t="n">
        <x:f>(W436+X436)/AL436*100</x:f>
        <x:v>74.06566173080773</x:v>
      </x:c>
      <x:c r="AO436" s="28" t="str">
        <x:v>R01-R20; ilgili satırdaki bölgesel fiyat ve maliyet varsayımları</x:v>
      </x:c>
      <x:c r="AP436" s="28" t="str">
        <x:v>Girdi miktarları, alım fiyatı değişimi, fason bedeli ve parti sonucu simüle edilmiştir; işletme kaydı değildir.</x:v>
      </x:c>
    </x:row>
    <x:row r="437" ht="22" customHeight="1">
      <x:c r="A437" t="str">
        <x:v>SUC-0436</x:v>
      </x:c>
      <x:c r="B437" s="36" t="n">
        <x:v>46308</x:v>
      </x:c>
      <x:c r="C437" t="str">
        <x:v>İç Anadolu</x:v>
      </x:c>
      <x:c r="D437" t="str">
        <x:v>MEB_STANDART</x:v>
      </x:c>
      <x:c r="E437" t="str">
        <x:v>Fason</x:v>
      </x:c>
      <x:c r="F437" s="42" t="str">
        <x:v>SENTETİK/SİMÜLE — gerçek parti kaydı değildir</x:v>
      </x:c>
      <x:c r="G437" s="38" t="n">
        <x:v>265.538</x:v>
      </x:c>
      <x:c r="H437" s="38" t="n">
        <x:v>82.653</x:v>
      </x:c>
      <x:c r="I437" s="38" t="n">
        <x:v>18.049</x:v>
      </x:c>
      <x:c r="J437" s="38" t="n">
        <x:v>9.509</x:v>
      </x:c>
      <x:c r="K437" s="38" t="n">
        <x:v>3.82</x:v>
      </x:c>
      <x:c r="L437" s="38" t="n">
        <x:f>SUM(G437:K437)</x:f>
        <x:v>379.569</x:v>
      </x:c>
      <x:c r="M437" s="38" t="n">
        <x:v>498.903</x:v>
      </x:c>
      <x:c r="N437" s="38" t="n">
        <x:v>596.82</x:v>
      </x:c>
      <x:c r="O437" s="38" t="n">
        <x:v>454.44</x:v>
      </x:c>
      <x:c r="P437" s="38" t="n">
        <x:v>550</x:v>
      </x:c>
      <x:c r="Q437" s="38" t="n">
        <x:v>19.88</x:v>
      </x:c>
      <x:c r="R437" s="38" t="n">
        <x:v>43.7475</x:v>
      </x:c>
      <x:c r="S437" s="38" t="n">
        <x:v>76.83</x:v>
      </x:c>
      <x:c r="T437" s="40" t="n">
        <x:v>17.72</x:v>
      </x:c>
      <x:c r="U437" s="40" t="n">
        <x:v>0.78</x:v>
      </x:c>
      <x:c r="V437" s="38" t="n">
        <x:f>L437*(1-T437/100)*(1-U437/100)</x:f>
        <x:v>309.87336008904</x:v>
      </x:c>
      <x:c r="W437" s="38" t="n">
        <x:f>G437*N437</x:f>
        <x:v>158478.38916000002</x:v>
      </x:c>
      <x:c r="X437" s="38" t="n">
        <x:f>H437*O437</x:f>
        <x:v>37560.829320000004</x:v>
      </x:c>
      <x:c r="Y437" s="38" t="n">
        <x:f>I437*P437</x:f>
        <x:v>9926.949999999999</x:v>
      </x:c>
      <x:c r="Z437" s="38" t="n">
        <x:f>J437*Q437+K437*P437</x:f>
        <x:v>2290.03892</x:v>
      </x:c>
      <x:c r="AA437" s="38" t="n">
        <x:f>M437*R437</x:f>
        <x:v>21825.758992500003</x:v>
      </x:c>
      <x:c r="AB437" s="38" t="n">
        <x:f>SUM(W437:AA437)</x:f>
        <x:v>230081.96639250003</x:v>
      </x:c>
      <x:c r="AC437" s="38" t="n">
        <x:v>26.15</x:v>
      </x:c>
      <x:c r="AD437" s="38" t="n">
        <x:v>174.33</x:v>
      </x:c>
      <x:c r="AE437" s="38" t="n">
        <x:v>83.85</x:v>
      </x:c>
      <x:c r="AF437" s="38" t="n">
        <x:v>4.8148</x:v>
      </x:c>
      <x:c r="AG437" s="38" t="n">
        <x:v>5.74</x:v>
      </x:c>
      <x:c r="AH437" s="38" t="n">
        <x:f>IF(E437="Fason",L437*S437,0)</x:f>
        <x:v>29162.28627</x:v>
      </x:c>
      <x:c r="AI437" s="38" t="n">
        <x:f>IF(E437="Kurum içi",AC437*AD437+AE437*AF437+AB437*12%,0)</x:f>
        <x:v>0</x:v>
      </x:c>
      <x:c r="AJ437" s="38" t="n">
        <x:f>V437*AG437</x:f>
        <x:v>1778.6730869110895</x:v>
      </x:c>
      <x:c r="AK437" s="38" t="n">
        <x:f>AB437*2%</x:f>
        <x:v>4601.639327850001</x:v>
      </x:c>
      <x:c r="AL437" s="38" t="n">
        <x:f>AB437+AH437+AI437+AJ437+AK437</x:f>
        <x:v>265624.5650772611</x:v>
      </x:c>
      <x:c r="AM437" s="38" t="n">
        <x:f>AL437/V437</x:f>
        <x:v>857.2036169902948</x:v>
      </x:c>
      <x:c r="AN437" s="40" t="n">
        <x:f>(W437+X437)/AL437*100</x:f>
        <x:v>73.8031207403498</x:v>
      </x:c>
      <x:c r="AO437" s="28" t="str">
        <x:v>R01-R20; ilgili satırdaki bölgesel fiyat ve maliyet varsayımları</x:v>
      </x:c>
      <x:c r="AP437" s="28" t="str">
        <x:v>Girdi miktarları, alım fiyatı değişimi, fason bedeli ve parti sonucu simüle edilmiştir; işletme kaydı değildir.</x:v>
      </x:c>
    </x:row>
    <x:row r="438" ht="22" customHeight="1">
      <x:c r="A438" t="str">
        <x:v>SUC-0437</x:v>
      </x:c>
      <x:c r="B438" s="36" t="n">
        <x:v>46274</x:v>
      </x:c>
      <x:c r="C438" t="str">
        <x:v>Karadeniz</x:v>
      </x:c>
      <x:c r="D438" t="str">
        <x:v>MEB_STANDART</x:v>
      </x:c>
      <x:c r="E438" t="str">
        <x:v>Kurum içi</x:v>
      </x:c>
      <x:c r="F438" s="42" t="str">
        <x:v>SENTETİK/SİMÜLE — gerçek parti kaydı değildir</x:v>
      </x:c>
      <x:c r="G438" s="38" t="n">
        <x:v>218.035</x:v>
      </x:c>
      <x:c r="H438" s="38" t="n">
        <x:v>70.907</x:v>
      </x:c>
      <x:c r="I438" s="38" t="n">
        <x:v>14.663</x:v>
      </x:c>
      <x:c r="J438" s="38" t="n">
        <x:v>7.637</x:v>
      </x:c>
      <x:c r="K438" s="38" t="n">
        <x:v>2.983</x:v>
      </x:c>
      <x:c r="L438" s="38" t="n">
        <x:f>SUM(G438:K438)</x:f>
        <x:v>314.225</x:v>
      </x:c>
      <x:c r="M438" s="38" t="n">
        <x:v>371.277</x:v>
      </x:c>
      <x:c r="N438" s="38" t="n">
        <x:v>604.05</x:v>
      </x:c>
      <x:c r="O438" s="38" t="n">
        <x:v>409.32</x:v>
      </x:c>
      <x:c r="P438" s="38" t="n">
        <x:v>669.9</x:v>
      </x:c>
      <x:c r="Q438" s="38" t="n">
        <x:v>19.88</x:v>
      </x:c>
      <x:c r="R438" s="38" t="n">
        <x:v>43.7475</x:v>
      </x:c>
      <x:c r="S438" s="38" t="n">
        <x:v>99.6</x:v>
      </x:c>
      <x:c r="T438" s="40" t="n">
        <x:v>20.68</x:v>
      </x:c>
      <x:c r="U438" s="40" t="n">
        <x:v>0.59</x:v>
      </x:c>
      <x:c r="V438" s="38" t="n">
        <x:f>L438*(1-T438/100)*(1-U438/100)</x:f>
        <x:v>247.772734707</x:v>
      </x:c>
      <x:c r="W438" s="38" t="n">
        <x:f>G438*N438</x:f>
        <x:v>131704.04174999997</x:v>
      </x:c>
      <x:c r="X438" s="38" t="n">
        <x:f>H438*O438</x:f>
        <x:v>29023.65324</x:v>
      </x:c>
      <x:c r="Y438" s="38" t="n">
        <x:f>I438*P438</x:f>
        <x:v>9822.743699999999</x:v>
      </x:c>
      <x:c r="Z438" s="38" t="n">
        <x:f>J438*Q438+K438*P438</x:f>
        <x:v>2150.13526</x:v>
      </x:c>
      <x:c r="AA438" s="38" t="n">
        <x:f>M438*R438</x:f>
        <x:v>16242.4405575</x:v>
      </x:c>
      <x:c r="AB438" s="38" t="n">
        <x:f>SUM(W438:AA438)</x:f>
        <x:v>188943.0145075</x:v>
      </x:c>
      <x:c r="AC438" s="38" t="n">
        <x:v>20.06</x:v>
      </x:c>
      <x:c r="AD438" s="38" t="n">
        <x:v>174.33</x:v>
      </x:c>
      <x:c r="AE438" s="38" t="n">
        <x:v>81.64</x:v>
      </x:c>
      <x:c r="AF438" s="38" t="n">
        <x:v>4.8148</x:v>
      </x:c>
      <x:c r="AG438" s="38" t="n">
        <x:v>5.48</x:v>
      </x:c>
      <x:c r="AH438" s="38" t="n">
        <x:f>IF(E438="Fason",L438*S438,0)</x:f>
        <x:v>0</x:v>
      </x:c>
      <x:c r="AI438" s="38" t="n">
        <x:f>IF(E438="Kurum içi",AC438*AD438+AE438*AF438+AB438*12%,0)</x:f>
        <x:v>26563.301812899997</x:v>
      </x:c>
      <x:c r="AJ438" s="38" t="n">
        <x:f>V438*AG438</x:f>
        <x:v>1357.7945861943601</x:v>
      </x:c>
      <x:c r="AK438" s="38" t="n">
        <x:f>AB438*2%</x:f>
        <x:v>3778.86029015</x:v>
      </x:c>
      <x:c r="AL438" s="38" t="n">
        <x:f>AB438+AH438+AI438+AJ438+AK438</x:f>
        <x:v>220642.97119674436</x:v>
      </x:c>
      <x:c r="AM438" s="38" t="n">
        <x:f>AL438/V438</x:f>
        <x:v>890.5054523358369</x:v>
      </x:c>
      <x:c r="AN438" s="40" t="n">
        <x:f>(W438+X438)/AL438*100</x:f>
        <x:v>72.84514621890278</x:v>
      </x:c>
      <x:c r="AO438" s="28" t="str">
        <x:v>R01-R20; ilgili satırdaki bölgesel fiyat ve maliyet varsayımları</x:v>
      </x:c>
      <x:c r="AP438" s="28" t="str">
        <x:v>Girdi miktarları, alım fiyatı değişimi, fason bedeli ve parti sonucu simüle edilmiştir; işletme kaydı değildir.</x:v>
      </x:c>
    </x:row>
    <x:row r="439" ht="22" customHeight="1">
      <x:c r="A439" t="str">
        <x:v>SUC-0438</x:v>
      </x:c>
      <x:c r="B439" s="36" t="n">
        <x:v>46300</x:v>
      </x:c>
      <x:c r="C439" t="str">
        <x:v>Ege</x:v>
      </x:c>
      <x:c r="D439" t="str">
        <x:v>MEB_STANDART</x:v>
      </x:c>
      <x:c r="E439" t="str">
        <x:v>Kurum içi</x:v>
      </x:c>
      <x:c r="F439" s="42" t="str">
        <x:v>SENTETİK/SİMÜLE — gerçek parti kaydı değildir</x:v>
      </x:c>
      <x:c r="G439" s="38" t="n">
        <x:v>161.576</x:v>
      </x:c>
      <x:c r="H439" s="38" t="n">
        <x:v>52.435</x:v>
      </x:c>
      <x:c r="I439" s="38" t="n">
        <x:v>9.782</x:v>
      </x:c>
      <x:c r="J439" s="38" t="n">
        <x:v>5.916</x:v>
      </x:c>
      <x:c r="K439" s="38" t="n">
        <x:v>2.11</x:v>
      </x:c>
      <x:c r="L439" s="38" t="n">
        <x:f>SUM(G439:K439)</x:f>
        <x:v>231.81900000000002</x:v>
      </x:c>
      <x:c r="M439" s="38" t="n">
        <x:v>306.549</x:v>
      </x:c>
      <x:c r="N439" s="38" t="n">
        <x:v>596.47</x:v>
      </x:c>
      <x:c r="O439" s="38" t="n">
        <x:v>434.87</x:v>
      </x:c>
      <x:c r="P439" s="38" t="n">
        <x:v>550</x:v>
      </x:c>
      <x:c r="Q439" s="38" t="n">
        <x:v>19.88</x:v>
      </x:c>
      <x:c r="R439" s="38" t="n">
        <x:v>43.7475</x:v>
      </x:c>
      <x:c r="S439" s="38" t="n">
        <x:v>104.17</x:v>
      </x:c>
      <x:c r="T439" s="40" t="n">
        <x:v>18.23</x:v>
      </x:c>
      <x:c r="U439" s="40" t="n">
        <x:v>1.05</x:v>
      </x:c>
      <x:c r="V439" s="38" t="n">
        <x:f>L439*(1-T439/100)*(1-U439/100)</x:f>
        <x:v>187.56803313885</x:v>
      </x:c>
      <x:c r="W439" s="38" t="n">
        <x:f>G439*N439</x:f>
        <x:v>96375.23672</x:v>
      </x:c>
      <x:c r="X439" s="38" t="n">
        <x:f>H439*O439</x:f>
        <x:v>22802.408450000003</x:v>
      </x:c>
      <x:c r="Y439" s="38" t="n">
        <x:f>I439*P439</x:f>
        <x:v>5380.1</x:v>
      </x:c>
      <x:c r="Z439" s="38" t="n">
        <x:f>J439*Q439+K439*P439</x:f>
        <x:v>1278.11008</x:v>
      </x:c>
      <x:c r="AA439" s="38" t="n">
        <x:f>M439*R439</x:f>
        <x:v>13410.752377499999</x:v>
      </x:c>
      <x:c r="AB439" s="38" t="n">
        <x:f>SUM(W439:AA439)</x:f>
        <x:v>139246.6076275</x:v>
      </x:c>
      <x:c r="AC439" s="38" t="n">
        <x:v>14.85</x:v>
      </x:c>
      <x:c r="AD439" s="38" t="n">
        <x:v>174.33</x:v>
      </x:c>
      <x:c r="AE439" s="38" t="n">
        <x:v>93.31</x:v>
      </x:c>
      <x:c r="AF439" s="38" t="n">
        <x:v>4.8148</x:v>
      </x:c>
      <x:c r="AG439" s="38" t="n">
        <x:v>5.22</x:v>
      </x:c>
      <x:c r="AH439" s="38" t="n">
        <x:f>IF(E439="Fason",L439*S439,0)</x:f>
        <x:v>0</x:v>
      </x:c>
      <x:c r="AI439" s="38" t="n">
        <x:f>IF(E439="Kurum içi",AC439*AD439+AE439*AF439+AB439*12%,0)</x:f>
        <x:v>19747.6624033</x:v>
      </x:c>
      <x:c r="AJ439" s="38" t="n">
        <x:f>V439*AG439</x:f>
        <x:v>979.105132984797</x:v>
      </x:c>
      <x:c r="AK439" s="38" t="n">
        <x:f>AB439*2%</x:f>
        <x:v>2784.93215255</x:v>
      </x:c>
      <x:c r="AL439" s="38" t="n">
        <x:f>AB439+AH439+AI439+AJ439+AK439</x:f>
        <x:v>162758.30731633477</x:v>
      </x:c>
      <x:c r="AM439" s="38" t="n">
        <x:f>AL439/V439</x:f>
        <x:v>867.7294557748576</x:v>
      </x:c>
      <x:c r="AN439" s="40" t="n">
        <x:f>(W439+X439)/AL439*100</x:f>
        <x:v>73.22369416042648</x:v>
      </x:c>
      <x:c r="AO439" s="28" t="str">
        <x:v>R01-R20; ilgili satırdaki bölgesel fiyat ve maliyet varsayımları</x:v>
      </x:c>
      <x:c r="AP439" s="28" t="str">
        <x:v>Girdi miktarları, alım fiyatı değişimi, fason bedeli ve parti sonucu simüle edilmiştir; işletme kaydı değildir.</x:v>
      </x:c>
    </x:row>
    <x:row r="440" ht="22" customHeight="1">
      <x:c r="A440" t="str">
        <x:v>SUC-0439</x:v>
      </x:c>
      <x:c r="B440" s="36" t="n">
        <x:v>46271</x:v>
      </x:c>
      <x:c r="C440" t="str">
        <x:v>Karadeniz</x:v>
      </x:c>
      <x:c r="D440" t="str">
        <x:v>MEB_STANDART</x:v>
      </x:c>
      <x:c r="E440" t="str">
        <x:v>Kurum içi</x:v>
      </x:c>
      <x:c r="F440" s="42" t="str">
        <x:v>SENTETİK/SİMÜLE — gerçek parti kaydı değildir</x:v>
      </x:c>
      <x:c r="G440" s="38" t="n">
        <x:v>296.257</x:v>
      </x:c>
      <x:c r="H440" s="38" t="n">
        <x:v>90.977</x:v>
      </x:c>
      <x:c r="I440" s="38" t="n">
        <x:v>20.072</x:v>
      </x:c>
      <x:c r="J440" s="38" t="n">
        <x:v>10.801</x:v>
      </x:c>
      <x:c r="K440" s="38" t="n">
        <x:v>4.375</x:v>
      </x:c>
      <x:c r="L440" s="38" t="n">
        <x:f>SUM(G440:K440)</x:f>
        <x:v>422.482</x:v>
      </x:c>
      <x:c r="M440" s="38" t="n">
        <x:v>556.211</x:v>
      </x:c>
      <x:c r="N440" s="38" t="n">
        <x:v>619.86</x:v>
      </x:c>
      <x:c r="O440" s="38" t="n">
        <x:v>474.97</x:v>
      </x:c>
      <x:c r="P440" s="38" t="n">
        <x:v>669.9</x:v>
      </x:c>
      <x:c r="Q440" s="38" t="n">
        <x:v>19.88</x:v>
      </x:c>
      <x:c r="R440" s="38" t="n">
        <x:v>43.7475</x:v>
      </x:c>
      <x:c r="S440" s="38" t="n">
        <x:v>100.71</x:v>
      </x:c>
      <x:c r="T440" s="40" t="n">
        <x:v>17.06</x:v>
      </x:c>
      <x:c r="U440" s="40" t="n">
        <x:v>0.91</x:v>
      </x:c>
      <x:c r="V440" s="38" t="n">
        <x:f>L440*(1-T440/100)*(1-U440/100)</x:f>
        <x:v>347.21787100572004</x:v>
      </x:c>
      <x:c r="W440" s="38" t="n">
        <x:f>G440*N440</x:f>
        <x:v>183637.86402</x:v>
      </x:c>
      <x:c r="X440" s="38" t="n">
        <x:f>H440*O440</x:f>
        <x:v>43211.34569</x:v>
      </x:c>
      <x:c r="Y440" s="38" t="n">
        <x:f>I440*P440</x:f>
        <x:v>13446.2328</x:v>
      </x:c>
      <x:c r="Z440" s="38" t="n">
        <x:f>J440*Q440+K440*P440</x:f>
        <x:v>3145.53638</x:v>
      </x:c>
      <x:c r="AA440" s="38" t="n">
        <x:f>M440*R440</x:f>
        <x:v>24332.8407225</x:v>
      </x:c>
      <x:c r="AB440" s="38" t="n">
        <x:f>SUM(W440:AA440)</x:f>
        <x:v>267773.8196125</x:v>
      </x:c>
      <x:c r="AC440" s="38" t="n">
        <x:v>18.11</x:v>
      </x:c>
      <x:c r="AD440" s="38" t="n">
        <x:v>174.33</x:v>
      </x:c>
      <x:c r="AE440" s="38" t="n">
        <x:v>118.3</x:v>
      </x:c>
      <x:c r="AF440" s="38" t="n">
        <x:v>4.8148</x:v>
      </x:c>
      <x:c r="AG440" s="38" t="n">
        <x:v>5.32</x:v>
      </x:c>
      <x:c r="AH440" s="38" t="n">
        <x:f>IF(E440="Fason",L440*S440,0)</x:f>
        <x:v>0</x:v>
      </x:c>
      <x:c r="AI440" s="38" t="n">
        <x:f>IF(E440="Kurum içi",AC440*AD440+AE440*AF440+AB440*12%,0)</x:f>
        <x:v>35859.565493500006</x:v>
      </x:c>
      <x:c r="AJ440" s="38" t="n">
        <x:f>V440*AG440</x:f>
        <x:v>1847.1990737504307</x:v>
      </x:c>
      <x:c r="AK440" s="38" t="n">
        <x:f>AB440*2%</x:f>
        <x:v>5355.476392250001</x:v>
      </x:c>
      <x:c r="AL440" s="38" t="n">
        <x:f>AB440+AH440+AI440+AJ440+AK440</x:f>
        <x:v>310836.0605720004</x:v>
      </x:c>
      <x:c r="AM440" s="38" t="n">
        <x:f>AL440/V440</x:f>
        <x:v>895.2190728883298</x:v>
      </x:c>
      <x:c r="AN440" s="40" t="n">
        <x:f>(W440+X440)/AL440*100</x:f>
        <x:v>72.98033866873496</x:v>
      </x:c>
      <x:c r="AO440" s="28" t="str">
        <x:v>R01-R20; ilgili satırdaki bölgesel fiyat ve maliyet varsayımları</x:v>
      </x:c>
      <x:c r="AP440" s="28" t="str">
        <x:v>Girdi miktarları, alım fiyatı değişimi, fason bedeli ve parti sonucu simüle edilmiştir; işletme kaydı değildir.</x:v>
      </x:c>
    </x:row>
    <x:row r="441" ht="22" customHeight="1">
      <x:c r="A441" t="str">
        <x:v>SUC-0440</x:v>
      </x:c>
      <x:c r="B441" s="36" t="n">
        <x:v>46283</x:v>
      </x:c>
      <x:c r="C441" t="str">
        <x:v>Akdeniz</x:v>
      </x:c>
      <x:c r="D441" t="str">
        <x:v>ERZURUM_CI</x:v>
      </x:c>
      <x:c r="E441" t="str">
        <x:v>Fason</x:v>
      </x:c>
      <x:c r="F441" s="42" t="str">
        <x:v>SENTETİK/SİMÜLE — gerçek parti kaydı değildir</x:v>
      </x:c>
      <x:c r="G441" s="38" t="n">
        <x:v>389.627</x:v>
      </x:c>
      <x:c r="H441" s="38" t="n">
        <x:v>65.542</x:v>
      </x:c>
      <x:c r="I441" s="38" t="n">
        <x:v>23.462</x:v>
      </x:c>
      <x:c r="J441" s="38" t="n">
        <x:v>6.982</x:v>
      </x:c>
      <x:c r="K441" s="38" t="n">
        <x:v>0.28</x:v>
      </x:c>
      <x:c r="L441" s="38" t="n">
        <x:f>SUM(G441:K441)</x:f>
        <x:v>485.893</x:v>
      </x:c>
      <x:c r="M441" s="38" t="n">
        <x:v>620.814</x:v>
      </x:c>
      <x:c r="N441" s="38" t="n">
        <x:v>595.5</x:v>
      </x:c>
      <x:c r="O441" s="38" t="n">
        <x:v>478.53</x:v>
      </x:c>
      <x:c r="P441" s="38" t="n">
        <x:v>669.9</x:v>
      </x:c>
      <x:c r="Q441" s="38" t="n">
        <x:v>19.88</x:v>
      </x:c>
      <x:c r="R441" s="38" t="n">
        <x:v>43.7475</x:v>
      </x:c>
      <x:c r="S441" s="38" t="n">
        <x:v>66.96</x:v>
      </x:c>
      <x:c r="T441" s="40" t="n">
        <x:v>30.19</x:v>
      </x:c>
      <x:c r="U441" s="40" t="n">
        <x:v>0.94</x:v>
      </x:c>
      <x:c r="V441" s="38" t="n">
        <x:f>L441*(1-T441/100)*(1-U441/100)</x:f>
        <x:v>336.01340540897996</x:v>
      </x:c>
      <x:c r="W441" s="38" t="n">
        <x:f>G441*N441</x:f>
        <x:v>232022.8785</x:v>
      </x:c>
      <x:c r="X441" s="38" t="n">
        <x:f>H441*O441</x:f>
        <x:v>31363.81326</x:v>
      </x:c>
      <x:c r="Y441" s="38" t="n">
        <x:f>I441*P441</x:f>
        <x:v>15717.1938</x:v>
      </x:c>
      <x:c r="Z441" s="38" t="n">
        <x:f>J441*Q441+K441*P441</x:f>
        <x:v>326.37415999999996</x:v>
      </x:c>
      <x:c r="AA441" s="38" t="n">
        <x:f>M441*R441</x:f>
        <x:v>27159.060465</x:v>
      </x:c>
      <x:c r="AB441" s="38" t="n">
        <x:f>SUM(W441:AA441)</x:f>
        <x:v>306589.320185</x:v>
      </x:c>
      <x:c r="AC441" s="38" t="n">
        <x:v>17.87</x:v>
      </x:c>
      <x:c r="AD441" s="38" t="n">
        <x:v>174.33</x:v>
      </x:c>
      <x:c r="AE441" s="38" t="n">
        <x:v>162.34</x:v>
      </x:c>
      <x:c r="AF441" s="38" t="n">
        <x:v>4.8148</x:v>
      </x:c>
      <x:c r="AG441" s="38" t="n">
        <x:v>5.43</x:v>
      </x:c>
      <x:c r="AH441" s="38" t="n">
        <x:f>IF(E441="Fason",L441*S441,0)</x:f>
        <x:v>32535.395279999993</x:v>
      </x:c>
      <x:c r="AI441" s="38" t="n">
        <x:f>IF(E441="Kurum içi",AC441*AD441+AE441*AF441+AB441*12%,0)</x:f>
        <x:v>0</x:v>
      </x:c>
      <x:c r="AJ441" s="38" t="n">
        <x:f>V441*AG441</x:f>
        <x:v>1824.552791370761</x:v>
      </x:c>
      <x:c r="AK441" s="38" t="n">
        <x:f>AB441*2%</x:f>
        <x:v>6131.786403700001</x:v>
      </x:c>
      <x:c r="AL441" s="38" t="n">
        <x:f>AB441+AH441+AI441+AJ441+AK441</x:f>
        <x:v>347081.0546600708</x:v>
      </x:c>
      <x:c r="AM441" s="38" t="n">
        <x:f>AL441/V441</x:f>
        <x:v>1032.9381181611484</x:v>
      </x:c>
      <x:c r="AN441" s="40" t="n">
        <x:f>(W441+X441)/AL441*100</x:f>
        <x:v>75.8862197240813</x:v>
      </x:c>
      <x:c r="AO441" s="28" t="str">
        <x:v>R01-R20; ilgili satırdaki bölgesel fiyat ve maliyet varsayımları</x:v>
      </x:c>
      <x:c r="AP441" s="28" t="str">
        <x:v>Girdi miktarları, alım fiyatı değişimi, fason bedeli ve parti sonucu simüle edilmiştir; işletme kaydı değildir.</x:v>
      </x:c>
    </x:row>
    <x:row r="442" ht="22" customHeight="1">
      <x:c r="A442" t="str">
        <x:v>SUC-0441</x:v>
      </x:c>
      <x:c r="B442" s="36" t="n">
        <x:v>46309</x:v>
      </x:c>
      <x:c r="C442" t="str">
        <x:v>Doğu Anadolu</x:v>
      </x:c>
      <x:c r="D442" t="str">
        <x:v>ERZURUM_CI</x:v>
      </x:c>
      <x:c r="E442" t="str">
        <x:v>Kurum içi</x:v>
      </x:c>
      <x:c r="F442" s="42" t="str">
        <x:v>SENTETİK/SİMÜLE — gerçek parti kaydı değildir</x:v>
      </x:c>
      <x:c r="G442" s="38" t="n">
        <x:v>245.124</x:v>
      </x:c>
      <x:c r="H442" s="38" t="n">
        <x:v>45.706</x:v>
      </x:c>
      <x:c r="I442" s="38" t="n">
        <x:v>14.488</x:v>
      </x:c>
      <x:c r="J442" s="38" t="n">
        <x:v>4.648</x:v>
      </x:c>
      <x:c r="K442" s="38" t="n">
        <x:v>0.335</x:v>
      </x:c>
      <x:c r="L442" s="38" t="n">
        <x:f>SUM(G442:K442)</x:f>
        <x:v>310.301</x:v>
      </x:c>
      <x:c r="M442" s="38" t="n">
        <x:v>366.979</x:v>
      </x:c>
      <x:c r="N442" s="38" t="n">
        <x:v>577.86</x:v>
      </x:c>
      <x:c r="O442" s="38" t="n">
        <x:v>477.64</x:v>
      </x:c>
      <x:c r="P442" s="38" t="n">
        <x:v>550</x:v>
      </x:c>
      <x:c r="Q442" s="38" t="n">
        <x:v>19.88</x:v>
      </x:c>
      <x:c r="R442" s="38" t="n">
        <x:v>43.7475</x:v>
      </x:c>
      <x:c r="S442" s="38" t="n">
        <x:v>84.08</x:v>
      </x:c>
      <x:c r="T442" s="40" t="n">
        <x:v>23.52</x:v>
      </x:c>
      <x:c r="U442" s="40" t="n">
        <x:v>0.45</x:v>
      </x:c>
      <x:c r="V442" s="38" t="n">
        <x:f>L442*(1-T442/100)*(1-U442/100)</x:f>
        <x:v>236.2502728784</x:v>
      </x:c>
      <x:c r="W442" s="38" t="n">
        <x:f>G442*N442</x:f>
        <x:v>141647.35464</x:v>
      </x:c>
      <x:c r="X442" s="38" t="n">
        <x:f>H442*O442</x:f>
        <x:v>21831.01384</x:v>
      </x:c>
      <x:c r="Y442" s="38" t="n">
        <x:f>I442*P442</x:f>
        <x:v>7968.4</x:v>
      </x:c>
      <x:c r="Z442" s="38" t="n">
        <x:f>J442*Q442+K442*P442</x:f>
        <x:v>276.65224</x:v>
      </x:c>
      <x:c r="AA442" s="38" t="n">
        <x:f>M442*R442</x:f>
        <x:v>16054.4138025</x:v>
      </x:c>
      <x:c r="AB442" s="38" t="n">
        <x:f>SUM(W442:AA442)</x:f>
        <x:v>187777.8345225</x:v>
      </x:c>
      <x:c r="AC442" s="38" t="n">
        <x:v>15.6</x:v>
      </x:c>
      <x:c r="AD442" s="38" t="n">
        <x:v>174.33</x:v>
      </x:c>
      <x:c r="AE442" s="38" t="n">
        <x:v>111.98</x:v>
      </x:c>
      <x:c r="AF442" s="38" t="n">
        <x:v>4.8148</x:v>
      </x:c>
      <x:c r="AG442" s="38" t="n">
        <x:v>5.46</x:v>
      </x:c>
      <x:c r="AH442" s="38" t="n">
        <x:f>IF(E442="Fason",L442*S442,0)</x:f>
        <x:v>0</x:v>
      </x:c>
      <x:c r="AI442" s="38" t="n">
        <x:f>IF(E442="Kurum içi",AC442*AD442+AE442*AF442+AB442*12%,0)</x:f>
        <x:v>25792.0494467</x:v>
      </x:c>
      <x:c r="AJ442" s="38" t="n">
        <x:f>V442*AG442</x:f>
        <x:v>1289.9264899160642</x:v>
      </x:c>
      <x:c r="AK442" s="38" t="n">
        <x:f>AB442*2%</x:f>
        <x:v>3755.55669045</x:v>
      </x:c>
      <x:c r="AL442" s="38" t="n">
        <x:f>AB442+AH442+AI442+AJ442+AK442</x:f>
        <x:v>218615.36714956607</x:v>
      </x:c>
      <x:c r="AM442" s="38" t="n">
        <x:f>AL442/V442</x:f>
        <x:v>925.3549826039322</x:v>
      </x:c>
      <x:c r="AN442" s="40" t="n">
        <x:f>(W442+X442)/AL442*100</x:f>
        <x:v>74.77899226002535</x:v>
      </x:c>
      <x:c r="AO442" s="28" t="str">
        <x:v>R01-R20; ilgili satırdaki bölgesel fiyat ve maliyet varsayımları</x:v>
      </x:c>
      <x:c r="AP442" s="28" t="str">
        <x:v>Girdi miktarları, alım fiyatı değişimi, fason bedeli ve parti sonucu simüle edilmiştir; işletme kaydı değildir.</x:v>
      </x:c>
    </x:row>
    <x:row r="443" ht="22" customHeight="1">
      <x:c r="A443" t="str">
        <x:v>SUC-0442</x:v>
      </x:c>
      <x:c r="B443" s="36" t="n">
        <x:v>46304</x:v>
      </x:c>
      <x:c r="C443" t="str">
        <x:v>Akdeniz</x:v>
      </x:c>
      <x:c r="D443" t="str">
        <x:v>MEB_STANDART</x:v>
      </x:c>
      <x:c r="E443" t="str">
        <x:v>Kurum içi</x:v>
      </x:c>
      <x:c r="F443" s="42" t="str">
        <x:v>SENTETİK/SİMÜLE — gerçek parti kaydı değildir</x:v>
      </x:c>
      <x:c r="G443" s="38" t="n">
        <x:v>280.534</x:v>
      </x:c>
      <x:c r="H443" s="38" t="n">
        <x:v>84.614</x:v>
      </x:c>
      <x:c r="I443" s="38" t="n">
        <x:v>17.993</x:v>
      </x:c>
      <x:c r="J443" s="38" t="n">
        <x:v>9.204</x:v>
      </x:c>
      <x:c r="K443" s="38" t="n">
        <x:v>3.769</x:v>
      </x:c>
      <x:c r="L443" s="38" t="n">
        <x:f>SUM(G443:K443)</x:f>
        <x:v>396.11400000000003</x:v>
      </x:c>
      <x:c r="M443" s="38" t="n">
        <x:v>525.243</x:v>
      </x:c>
      <x:c r="N443" s="38" t="n">
        <x:v>592.21</x:v>
      </x:c>
      <x:c r="O443" s="38" t="n">
        <x:v>423.29</x:v>
      </x:c>
      <x:c r="P443" s="38" t="n">
        <x:v>550</x:v>
      </x:c>
      <x:c r="Q443" s="38" t="n">
        <x:v>19.88</x:v>
      </x:c>
      <x:c r="R443" s="38" t="n">
        <x:v>43.7475</x:v>
      </x:c>
      <x:c r="S443" s="38" t="n">
        <x:v>121.01</x:v>
      </x:c>
      <x:c r="T443" s="40" t="n">
        <x:v>20.67</x:v>
      </x:c>
      <x:c r="U443" s="40" t="n">
        <x:v>0.75</x:v>
      </x:c>
      <x:c r="V443" s="38" t="n">
        <x:f>L443*(1-T443/100)*(1-U443/100)</x:f>
        <x:v>311.88045692850005</x:v>
      </x:c>
      <x:c r="W443" s="38" t="n">
        <x:f>G443*N443</x:f>
        <x:v>166135.04014</x:v>
      </x:c>
      <x:c r="X443" s="38" t="n">
        <x:f>H443*O443</x:f>
        <x:v>35816.26006</x:v>
      </x:c>
      <x:c r="Y443" s="38" t="n">
        <x:f>I443*P443</x:f>
        <x:v>9896.15</x:v>
      </x:c>
      <x:c r="Z443" s="38" t="n">
        <x:f>J443*Q443+K443*P443</x:f>
        <x:v>2255.9255200000002</x:v>
      </x:c>
      <x:c r="AA443" s="38" t="n">
        <x:f>M443*R443</x:f>
        <x:v>22978.068142500004</x:v>
      </x:c>
      <x:c r="AB443" s="38" t="n">
        <x:f>SUM(W443:AA443)</x:f>
        <x:v>237081.4438625</x:v>
      </x:c>
      <x:c r="AC443" s="38" t="n">
        <x:v>24.83</x:v>
      </x:c>
      <x:c r="AD443" s="38" t="n">
        <x:v>174.33</x:v>
      </x:c>
      <x:c r="AE443" s="38" t="n">
        <x:v>137.91</x:v>
      </x:c>
      <x:c r="AF443" s="38" t="n">
        <x:v>4.8148</x:v>
      </x:c>
      <x:c r="AG443" s="38" t="n">
        <x:v>5.53</x:v>
      </x:c>
      <x:c r="AH443" s="38" t="n">
        <x:f>IF(E443="Fason",L443*S443,0)</x:f>
        <x:v>0</x:v>
      </x:c>
      <x:c r="AI443" s="38" t="n">
        <x:f>IF(E443="Kurum içi",AC443*AD443+AE443*AF443+AB443*12%,0)</x:f>
        <x:v>33442.3962315</x:v>
      </x:c>
      <x:c r="AJ443" s="38" t="n">
        <x:f>V443*AG443</x:f>
        <x:v>1724.6989268146053</x:v>
      </x:c>
      <x:c r="AK443" s="38" t="n">
        <x:f>AB443*2%</x:f>
        <x:v>4741.62887725</x:v>
      </x:c>
      <x:c r="AL443" s="38" t="n">
        <x:f>AB443+AH443+AI443+AJ443+AK443</x:f>
        <x:v>276990.1678980646</x:v>
      </x:c>
      <x:c r="AM443" s="38" t="n">
        <x:f>AL443/V443</x:f>
        <x:v>888.1292871825111</x:v>
      </x:c>
      <x:c r="AN443" s="40" t="n">
        <x:f>(W443+X443)/AL443*100</x:f>
        <x:v>72.9091944788164</x:v>
      </x:c>
      <x:c r="AO443" s="28" t="str">
        <x:v>R01-R20; ilgili satırdaki bölgesel fiyat ve maliyet varsayımları</x:v>
      </x:c>
      <x:c r="AP443" s="28" t="str">
        <x:v>Girdi miktarları, alım fiyatı değişimi, fason bedeli ve parti sonucu simüle edilmiştir; işletme kaydı değildir.</x:v>
      </x:c>
    </x:row>
    <x:row r="444" ht="22" customHeight="1">
      <x:c r="A444" t="str">
        <x:v>SUC-0443</x:v>
      </x:c>
      <x:c r="B444" s="36" t="n">
        <x:v>46304</x:v>
      </x:c>
      <x:c r="C444" t="str">
        <x:v>Marmara</x:v>
      </x:c>
      <x:c r="D444" t="str">
        <x:v>ERZURUM_CI</x:v>
      </x:c>
      <x:c r="E444" t="str">
        <x:v>Kurum içi</x:v>
      </x:c>
      <x:c r="F444" s="42" t="str">
        <x:v>SENTETİK/SİMÜLE — gerçek parti kaydı değildir</x:v>
      </x:c>
      <x:c r="G444" s="38" t="n">
        <x:v>240.885</x:v>
      </x:c>
      <x:c r="H444" s="38" t="n">
        <x:v>44.522</x:v>
      </x:c>
      <x:c r="I444" s="38" t="n">
        <x:v>13.415</x:v>
      </x:c>
      <x:c r="J444" s="38" t="n">
        <x:v>4.548</x:v>
      </x:c>
      <x:c r="K444" s="38" t="n">
        <x:v>0.285</x:v>
      </x:c>
      <x:c r="L444" s="38" t="n">
        <x:f>SUM(G444:K444)</x:f>
        <x:v>303.65500000000003</x:v>
      </x:c>
      <x:c r="M444" s="38" t="n">
        <x:v>350.559</x:v>
      </x:c>
      <x:c r="N444" s="38" t="n">
        <x:v>622.57</x:v>
      </x:c>
      <x:c r="O444" s="38" t="n">
        <x:v>466.19</x:v>
      </x:c>
      <x:c r="P444" s="38" t="n">
        <x:v>400</x:v>
      </x:c>
      <x:c r="Q444" s="38" t="n">
        <x:v>19.88</x:v>
      </x:c>
      <x:c r="R444" s="38" t="n">
        <x:v>43.7475</x:v>
      </x:c>
      <x:c r="S444" s="38" t="n">
        <x:v>105.81</x:v>
      </x:c>
      <x:c r="T444" s="40" t="n">
        <x:v>24.49</x:v>
      </x:c>
      <x:c r="U444" s="40" t="n">
        <x:v>0.38</x:v>
      </x:c>
      <x:c r="V444" s="38" t="n">
        <x:f>L444*(1-T444/100)*(1-U444/100)</x:f>
        <x:v>228.41858891610002</x:v>
      </x:c>
      <x:c r="W444" s="38" t="n">
        <x:f>G444*N444</x:f>
        <x:v>149967.77445</x:v>
      </x:c>
      <x:c r="X444" s="38" t="n">
        <x:f>H444*O444</x:f>
        <x:v>20755.71118</x:v>
      </x:c>
      <x:c r="Y444" s="38" t="n">
        <x:f>I444*P444</x:f>
        <x:v>5366</x:v>
      </x:c>
      <x:c r="Z444" s="38" t="n">
        <x:f>J444*Q444+K444*P444</x:f>
        <x:v>204.41423999999998</x:v>
      </x:c>
      <x:c r="AA444" s="38" t="n">
        <x:f>M444*R444</x:f>
        <x:v>15336.079852500003</x:v>
      </x:c>
      <x:c r="AB444" s="38" t="n">
        <x:f>SUM(W444:AA444)</x:f>
        <x:v>191629.97972250002</x:v>
      </x:c>
      <x:c r="AC444" s="38" t="n">
        <x:v>20.54</x:v>
      </x:c>
      <x:c r="AD444" s="38" t="n">
        <x:v>174.33</x:v>
      </x:c>
      <x:c r="AE444" s="38" t="n">
        <x:v>113.03</x:v>
      </x:c>
      <x:c r="AF444" s="38" t="n">
        <x:v>4.8148</x:v>
      </x:c>
      <x:c r="AG444" s="38" t="n">
        <x:v>5.11</x:v>
      </x:c>
      <x:c r="AH444" s="38" t="n">
        <x:f>IF(E444="Fason",L444*S444,0)</x:f>
        <x:v>0</x:v>
      </x:c>
      <x:c r="AI444" s="38" t="n">
        <x:f>IF(E444="Kurum içi",AC444*AD444+AE444*AF444+AB444*12%,0)</x:f>
        <x:v>27120.552610700004</x:v>
      </x:c>
      <x:c r="AJ444" s="38" t="n">
        <x:f>V444*AG444</x:f>
        <x:v>1167.2189893612713</x:v>
      </x:c>
      <x:c r="AK444" s="38" t="n">
        <x:f>AB444*2%</x:f>
        <x:v>3832.5995944500005</x:v>
      </x:c>
      <x:c r="AL444" s="38" t="n">
        <x:f>AB444+AH444+AI444+AJ444+AK444</x:f>
        <x:v>223750.35091701132</x:v>
      </x:c>
      <x:c r="AM444" s="38" t="n">
        <x:f>AL444/V444</x:f>
        <x:v>979.562792935371</x:v>
      </x:c>
      <x:c r="AN444" s="40" t="n">
        <x:f>(W444+X444)/AL444*100</x:f>
        <x:v>76.30087949820516</x:v>
      </x:c>
      <x:c r="AO444" s="28" t="str">
        <x:v>R01-R20; ilgili satırdaki bölgesel fiyat ve maliyet varsayımları</x:v>
      </x:c>
      <x:c r="AP444" s="28" t="str">
        <x:v>Girdi miktarları, alım fiyatı değişimi, fason bedeli ve parti sonucu simüle edilmiştir; işletme kaydı değildir.</x:v>
      </x:c>
    </x:row>
    <x:row r="445" ht="22" customHeight="1">
      <x:c r="A445" t="str">
        <x:v>SUC-0444</x:v>
      </x:c>
      <x:c r="B445" s="36" t="n">
        <x:v>46269</x:v>
      </x:c>
      <x:c r="C445" t="str">
        <x:v>Güneydoğu Anadolu</x:v>
      </x:c>
      <x:c r="D445" t="str">
        <x:v>MEB_STANDART</x:v>
      </x:c>
      <x:c r="E445" t="str">
        <x:v>Kurum içi</x:v>
      </x:c>
      <x:c r="F445" s="42" t="str">
        <x:v>SENTETİK/SİMÜLE — gerçek parti kaydı değildir</x:v>
      </x:c>
      <x:c r="G445" s="38" t="n">
        <x:v>246.741</x:v>
      </x:c>
      <x:c r="H445" s="38" t="n">
        <x:v>80.283</x:v>
      </x:c>
      <x:c r="I445" s="38" t="n">
        <x:v>15.595</x:v>
      </x:c>
      <x:c r="J445" s="38" t="n">
        <x:v>8.402</x:v>
      </x:c>
      <x:c r="K445" s="38" t="n">
        <x:v>3.457</x:v>
      </x:c>
      <x:c r="L445" s="38" t="n">
        <x:f>SUM(G445:K445)</x:f>
        <x:v>354.478</x:v>
      </x:c>
      <x:c r="M445" s="38" t="n">
        <x:v>434.17</x:v>
      </x:c>
      <x:c r="N445" s="38" t="n">
        <x:v>595.55</x:v>
      </x:c>
      <x:c r="O445" s="38" t="n">
        <x:v>452.77</x:v>
      </x:c>
      <x:c r="P445" s="38" t="n">
        <x:v>400</x:v>
      </x:c>
      <x:c r="Q445" s="38" t="n">
        <x:v>19.88</x:v>
      </x:c>
      <x:c r="R445" s="38" t="n">
        <x:v>43.7475</x:v>
      </x:c>
      <x:c r="S445" s="38" t="n">
        <x:v>123.43</x:v>
      </x:c>
      <x:c r="T445" s="40" t="n">
        <x:v>26.77</x:v>
      </x:c>
      <x:c r="U445" s="40" t="n">
        <x:v>1.66</x:v>
      </x:c>
      <x:c r="V445" s="38" t="n">
        <x:f>L445*(1-T445/100)*(1-U445/100)</x:f>
        <x:v>255.27514102596</x:v>
      </x:c>
      <x:c r="W445" s="38" t="n">
        <x:f>G445*N445</x:f>
        <x:v>146946.60255</x:v>
      </x:c>
      <x:c r="X445" s="38" t="n">
        <x:f>H445*O445</x:f>
        <x:v>36349.73391</x:v>
      </x:c>
      <x:c r="Y445" s="38" t="n">
        <x:f>I445*P445</x:f>
        <x:v>6238</x:v>
      </x:c>
      <x:c r="Z445" s="38" t="n">
        <x:f>J445*Q445+K445*P445</x:f>
        <x:v>1549.83176</x:v>
      </x:c>
      <x:c r="AA445" s="38" t="n">
        <x:f>M445*R445</x:f>
        <x:v>18993.852075000003</x:v>
      </x:c>
      <x:c r="AB445" s="38" t="n">
        <x:f>SUM(W445:AA445)</x:f>
        <x:v>210078.02029500002</x:v>
      </x:c>
      <x:c r="AC445" s="38" t="n">
        <x:v>15.72</x:v>
      </x:c>
      <x:c r="AD445" s="38" t="n">
        <x:v>174.33</x:v>
      </x:c>
      <x:c r="AE445" s="38" t="n">
        <x:v>97.09</x:v>
      </x:c>
      <x:c r="AF445" s="38" t="n">
        <x:v>4.8148</x:v>
      </x:c>
      <x:c r="AG445" s="38" t="n">
        <x:v>5.61</x:v>
      </x:c>
      <x:c r="AH445" s="38" t="n">
        <x:f>IF(E445="Fason",L445*S445,0)</x:f>
        <x:v>0</x:v>
      </x:c>
      <x:c r="AI445" s="38" t="n">
        <x:f>IF(E445="Kurum içi",AC445*AD445+AE445*AF445+AB445*12%,0)</x:f>
        <x:v>28417.298967400002</x:v>
      </x:c>
      <x:c r="AJ445" s="38" t="n">
        <x:f>V445*AG445</x:f>
        <x:v>1432.0935411556356</x:v>
      </x:c>
      <x:c r="AK445" s="38" t="n">
        <x:f>AB445*2%</x:f>
        <x:v>4201.560405900001</x:v>
      </x:c>
      <x:c r="AL445" s="38" t="n">
        <x:f>AB445+AH445+AI445+AJ445+AK445</x:f>
        <x:v>244128.97320945567</x:v>
      </x:c>
      <x:c r="AM445" s="38" t="n">
        <x:f>AL445/V445</x:f>
        <x:v>956.3366500486201</x:v>
      </x:c>
      <x:c r="AN445" s="40" t="n">
        <x:f>(W445+X445)/AL445*100</x:f>
        <x:v>75.0817627462583</x:v>
      </x:c>
      <x:c r="AO445" s="28" t="str">
        <x:v>R01-R20; ilgili satırdaki bölgesel fiyat ve maliyet varsayımları</x:v>
      </x:c>
      <x:c r="AP445" s="28" t="str">
        <x:v>Girdi miktarları, alım fiyatı değişimi, fason bedeli ve parti sonucu simüle edilmiştir; işletme kaydı değildir.</x:v>
      </x:c>
    </x:row>
    <x:row r="446" ht="22" customHeight="1">
      <x:c r="A446" t="str">
        <x:v>SUC-0445</x:v>
      </x:c>
      <x:c r="B446" s="36" t="n">
        <x:v>46294</x:v>
      </x:c>
      <x:c r="C446" t="str">
        <x:v>Doğu Anadolu</x:v>
      </x:c>
      <x:c r="D446" t="str">
        <x:v>ERZURUM_CI</x:v>
      </x:c>
      <x:c r="E446" t="str">
        <x:v>Fason</x:v>
      </x:c>
      <x:c r="F446" s="42" t="str">
        <x:v>SENTETİK/SİMÜLE — gerçek parti kaydı değildir</x:v>
      </x:c>
      <x:c r="G446" s="38" t="n">
        <x:v>95.115</x:v>
      </x:c>
      <x:c r="H446" s="38" t="n">
        <x:v>16.153</x:v>
      </x:c>
      <x:c r="I446" s="38" t="n">
        <x:v>5.515</x:v>
      </x:c>
      <x:c r="J446" s="38" t="n">
        <x:v>1.882</x:v>
      </x:c>
      <x:c r="K446" s="38" t="n">
        <x:v>0.231</x:v>
      </x:c>
      <x:c r="L446" s="38" t="n">
        <x:f>SUM(G446:K446)</x:f>
        <x:v>118.896</x:v>
      </x:c>
      <x:c r="M446" s="38" t="n">
        <x:v>141.551</x:v>
      </x:c>
      <x:c r="N446" s="38" t="n">
        <x:v>606</x:v>
      </x:c>
      <x:c r="O446" s="38" t="n">
        <x:v>477.56</x:v>
      </x:c>
      <x:c r="P446" s="38" t="n">
        <x:v>550</x:v>
      </x:c>
      <x:c r="Q446" s="38" t="n">
        <x:v>19.88</x:v>
      </x:c>
      <x:c r="R446" s="38" t="n">
        <x:v>43.7475</x:v>
      </x:c>
      <x:c r="S446" s="38" t="n">
        <x:v>100.96</x:v>
      </x:c>
      <x:c r="T446" s="40" t="n">
        <x:v>15.74</x:v>
      </x:c>
      <x:c r="U446" s="40" t="n">
        <x:v>0.9</x:v>
      </x:c>
      <x:c r="V446" s="38" t="n">
        <x:f>L446*(1-T446/100)*(1-U446/100)</x:f>
        <x:v>99.28013367359999</x:v>
      </x:c>
      <x:c r="W446" s="38" t="n">
        <x:f>G446*N446</x:f>
        <x:v>57639.689999999995</x:v>
      </x:c>
      <x:c r="X446" s="38" t="n">
        <x:f>H446*O446</x:f>
        <x:v>7714.026679999999</x:v>
      </x:c>
      <x:c r="Y446" s="38" t="n">
        <x:f>I446*P446</x:f>
        <x:v>3033.25</x:v>
      </x:c>
      <x:c r="Z446" s="38" t="n">
        <x:f>J446*Q446+K446*P446</x:f>
        <x:v>164.46416</x:v>
      </x:c>
      <x:c r="AA446" s="38" t="n">
        <x:f>M446*R446</x:f>
        <x:v>6192.5023725</x:v>
      </x:c>
      <x:c r="AB446" s="38" t="n">
        <x:f>SUM(W446:AA446)</x:f>
        <x:v>74743.93321250001</x:v>
      </x:c>
      <x:c r="AC446" s="38" t="n">
        <x:v>5.99</x:v>
      </x:c>
      <x:c r="AD446" s="38" t="n">
        <x:v>174.33</x:v>
      </x:c>
      <x:c r="AE446" s="38" t="n">
        <x:v>27.16</x:v>
      </x:c>
      <x:c r="AF446" s="38" t="n">
        <x:v>4.8148</x:v>
      </x:c>
      <x:c r="AG446" s="38" t="n">
        <x:v>5.81</x:v>
      </x:c>
      <x:c r="AH446" s="38" t="n">
        <x:f>IF(E446="Fason",L446*S446,0)</x:f>
        <x:v>12003.74016</x:v>
      </x:c>
      <x:c r="AI446" s="38" t="n">
        <x:f>IF(E446="Kurum içi",AC446*AD446+AE446*AF446+AB446*12%,0)</x:f>
        <x:v>0</x:v>
      </x:c>
      <x:c r="AJ446" s="38" t="n">
        <x:f>V446*AG446</x:f>
        <x:v>576.8175766436159</x:v>
      </x:c>
      <x:c r="AK446" s="38" t="n">
        <x:f>AB446*2%</x:f>
        <x:v>1494.8786642500002</x:v>
      </x:c>
      <x:c r="AL446" s="38" t="n">
        <x:f>AB446+AH446+AI446+AJ446+AK446</x:f>
        <x:v>88819.36961339363</x:v>
      </x:c>
      <x:c r="AM446" s="38" t="n">
        <x:f>AL446/V446</x:f>
        <x:v>894.6338640659181</x:v>
      </x:c>
      <x:c r="AN446" s="40" t="n">
        <x:f>(W446+X446)/AL446*100</x:f>
        <x:v>73.58047795707941</x:v>
      </x:c>
      <x:c r="AO446" s="28" t="str">
        <x:v>R01-R20; ilgili satırdaki bölgesel fiyat ve maliyet varsayımları</x:v>
      </x:c>
      <x:c r="AP446" s="28" t="str">
        <x:v>Girdi miktarları, alım fiyatı değişimi, fason bedeli ve parti sonucu simüle edilmiştir; işletme kaydı değildir.</x:v>
      </x:c>
    </x:row>
    <x:row r="447" ht="22" customHeight="1">
      <x:c r="A447" t="str">
        <x:v>SUC-0446</x:v>
      </x:c>
      <x:c r="B447" s="36" t="n">
        <x:v>46312</x:v>
      </x:c>
      <x:c r="C447" t="str">
        <x:v>Marmara</x:v>
      </x:c>
      <x:c r="D447" t="str">
        <x:v>ERZURUM_CI</x:v>
      </x:c>
      <x:c r="E447" t="str">
        <x:v>Kurum içi</x:v>
      </x:c>
      <x:c r="F447" s="42" t="str">
        <x:v>SENTETİK/SİMÜLE — gerçek parti kaydı değildir</x:v>
      </x:c>
      <x:c r="G447" s="38" t="n">
        <x:v>206.07</x:v>
      </x:c>
      <x:c r="H447" s="38" t="n">
        <x:v>37.713</x:v>
      </x:c>
      <x:c r="I447" s="38" t="n">
        <x:v>12.478</x:v>
      </x:c>
      <x:c r="J447" s="38" t="n">
        <x:v>3.67</x:v>
      </x:c>
      <x:c r="K447" s="38" t="n">
        <x:v>0.026</x:v>
      </x:c>
      <x:c r="L447" s="38" t="n">
        <x:f>SUM(G447:K447)</x:f>
        <x:v>259.957</x:v>
      </x:c>
      <x:c r="M447" s="38" t="n">
        <x:v>329.765</x:v>
      </x:c>
      <x:c r="N447" s="38" t="n">
        <x:v>599.81</x:v>
      </x:c>
      <x:c r="O447" s="38" t="n">
        <x:v>437.63</x:v>
      </x:c>
      <x:c r="P447" s="38" t="n">
        <x:v>550</x:v>
      </x:c>
      <x:c r="Q447" s="38" t="n">
        <x:v>19.88</x:v>
      </x:c>
      <x:c r="R447" s="38" t="n">
        <x:v>43.7475</x:v>
      </x:c>
      <x:c r="S447" s="38" t="n">
        <x:v>115.25</x:v>
      </x:c>
      <x:c r="T447" s="40" t="n">
        <x:v>22.56</x:v>
      </x:c>
      <x:c r="U447" s="40" t="n">
        <x:v>1.1</x:v>
      </x:c>
      <x:c r="V447" s="38" t="n">
        <x:f>L447*(1-T447/100)*(1-U447/100)</x:f>
        <x:v>199.09628309119998</x:v>
      </x:c>
      <x:c r="W447" s="38" t="n">
        <x:f>G447*N447</x:f>
        <x:v>123602.84669999998</x:v>
      </x:c>
      <x:c r="X447" s="38" t="n">
        <x:f>H447*O447</x:f>
        <x:v>16504.34019</x:v>
      </x:c>
      <x:c r="Y447" s="38" t="n">
        <x:f>I447*P447</x:f>
        <x:v>6862.9</x:v>
      </x:c>
      <x:c r="Z447" s="38" t="n">
        <x:f>J447*Q447+K447*P447</x:f>
        <x:v>87.25959999999999</x:v>
      </x:c>
      <x:c r="AA447" s="38" t="n">
        <x:f>M447*R447</x:f>
        <x:v>14426.3943375</x:v>
      </x:c>
      <x:c r="AB447" s="38" t="n">
        <x:f>SUM(W447:AA447)</x:f>
        <x:v>161483.74082749998</x:v>
      </x:c>
      <x:c r="AC447" s="38" t="n">
        <x:v>9.58</x:v>
      </x:c>
      <x:c r="AD447" s="38" t="n">
        <x:v>174.33</x:v>
      </x:c>
      <x:c r="AE447" s="38" t="n">
        <x:v>117.79</x:v>
      </x:c>
      <x:c r="AF447" s="38" t="n">
        <x:v>4.8148</x:v>
      </x:c>
      <x:c r="AG447" s="38" t="n">
        <x:v>5.65</x:v>
      </x:c>
      <x:c r="AH447" s="38" t="n">
        <x:f>IF(E447="Fason",L447*S447,0)</x:f>
        <x:v>0</x:v>
      </x:c>
      <x:c r="AI447" s="38" t="n">
        <x:f>IF(E447="Kurum içi",AC447*AD447+AE447*AF447+AB447*12%,0)</x:f>
        <x:v>21615.265591299998</x:v>
      </x:c>
      <x:c r="AJ447" s="38" t="n">
        <x:f>V447*AG447</x:f>
        <x:v>1124.8939994652799</x:v>
      </x:c>
      <x:c r="AK447" s="38" t="n">
        <x:f>AB447*2%</x:f>
        <x:v>3229.6748165499994</x:v>
      </x:c>
      <x:c r="AL447" s="38" t="n">
        <x:f>AB447+AH447+AI447+AJ447+AK447</x:f>
        <x:v>187453.57523481525</x:v>
      </x:c>
      <x:c r="AM447" s="38" t="n">
        <x:f>AL447/V447</x:f>
        <x:v>941.5222239430177</x:v>
      </x:c>
      <x:c r="AN447" s="40" t="n">
        <x:f>(W447+X447)/AL447*100</x:f>
        <x:v>74.74233911756208</x:v>
      </x:c>
      <x:c r="AO447" s="28" t="str">
        <x:v>R01-R20; ilgili satırdaki bölgesel fiyat ve maliyet varsayımları</x:v>
      </x:c>
      <x:c r="AP447" s="28" t="str">
        <x:v>Girdi miktarları, alım fiyatı değişimi, fason bedeli ve parti sonucu simüle edilmiştir; işletme kaydı değildir.</x:v>
      </x:c>
    </x:row>
    <x:row r="448" ht="22" customHeight="1">
      <x:c r="A448" t="str">
        <x:v>SUC-0447</x:v>
      </x:c>
      <x:c r="B448" s="36" t="n">
        <x:v>46276</x:v>
      </x:c>
      <x:c r="C448" t="str">
        <x:v>İç Anadolu</x:v>
      </x:c>
      <x:c r="D448" t="str">
        <x:v>MEB_STANDART</x:v>
      </x:c>
      <x:c r="E448" t="str">
        <x:v>Fason</x:v>
      </x:c>
      <x:c r="F448" s="42" t="str">
        <x:v>SENTETİK/SİMÜLE — gerçek parti kaydı değildir</x:v>
      </x:c>
      <x:c r="G448" s="38" t="n">
        <x:v>156.676</x:v>
      </x:c>
      <x:c r="H448" s="38" t="n">
        <x:v>49.107</x:v>
      </x:c>
      <x:c r="I448" s="38" t="n">
        <x:v>9.796</x:v>
      </x:c>
      <x:c r="J448" s="38" t="n">
        <x:v>5.28</x:v>
      </x:c>
      <x:c r="K448" s="38" t="n">
        <x:v>2.492</x:v>
      </x:c>
      <x:c r="L448" s="38" t="n">
        <x:f>SUM(G448:K448)</x:f>
        <x:v>223.35099999999997</x:v>
      </x:c>
      <x:c r="M448" s="38" t="n">
        <x:v>292.522</x:v>
      </x:c>
      <x:c r="N448" s="38" t="n">
        <x:v>579.41</x:v>
      </x:c>
      <x:c r="O448" s="38" t="n">
        <x:v>429.68</x:v>
      </x:c>
      <x:c r="P448" s="38" t="n">
        <x:v>669.9</x:v>
      </x:c>
      <x:c r="Q448" s="38" t="n">
        <x:v>19.88</x:v>
      </x:c>
      <x:c r="R448" s="38" t="n">
        <x:v>43.7475</x:v>
      </x:c>
      <x:c r="S448" s="38" t="n">
        <x:v>66.92</x:v>
      </x:c>
      <x:c r="T448" s="40" t="n">
        <x:v>15.64</x:v>
      </x:c>
      <x:c r="U448" s="40" t="n">
        <x:v>0.68</x:v>
      </x:c>
      <x:c r="V448" s="38" t="n">
        <x:f>L448*(1-T448/100)*(1-U448/100)</x:f>
        <x:v>187.13765505551999</x:v>
      </x:c>
      <x:c r="W448" s="38" t="n">
        <x:f>G448*N448</x:f>
        <x:v>90779.64115999998</x:v>
      </x:c>
      <x:c r="X448" s="38" t="n">
        <x:f>H448*O448</x:f>
        <x:v>21100.29576</x:v>
      </x:c>
      <x:c r="Y448" s="38" t="n">
        <x:f>I448*P448</x:f>
        <x:v>6562.340399999999</x:v>
      </x:c>
      <x:c r="Z448" s="38" t="n">
        <x:f>J448*Q448+K448*P448</x:f>
        <x:v>1774.3572</x:v>
      </x:c>
      <x:c r="AA448" s="38" t="n">
        <x:f>M448*R448</x:f>
        <x:v>12797.106195</x:v>
      </x:c>
      <x:c r="AB448" s="38" t="n">
        <x:f>SUM(W448:AA448)</x:f>
        <x:v>133013.74071499996</x:v>
      </x:c>
      <x:c r="AC448" s="38" t="n">
        <x:v>14.85</x:v>
      </x:c>
      <x:c r="AD448" s="38" t="n">
        <x:v>174.33</x:v>
      </x:c>
      <x:c r="AE448" s="38" t="n">
        <x:v>81.46</x:v>
      </x:c>
      <x:c r="AF448" s="38" t="n">
        <x:v>4.8148</x:v>
      </x:c>
      <x:c r="AG448" s="38" t="n">
        <x:v>5.19</x:v>
      </x:c>
      <x:c r="AH448" s="38" t="n">
        <x:f>IF(E448="Fason",L448*S448,0)</x:f>
        <x:v>14946.648919999998</x:v>
      </x:c>
      <x:c r="AI448" s="38" t="n">
        <x:f>IF(E448="Kurum içi",AC448*AD448+AE448*AF448+AB448*12%,0)</x:f>
        <x:v>0</x:v>
      </x:c>
      <x:c r="AJ448" s="38" t="n">
        <x:f>V448*AG448</x:f>
        <x:v>971.2444297381488</x:v>
      </x:c>
      <x:c r="AK448" s="38" t="n">
        <x:f>AB448*2%</x:f>
        <x:v>2660.2748142999994</x:v>
      </x:c>
      <x:c r="AL448" s="38" t="n">
        <x:f>AB448+AH448+AI448+AJ448+AK448</x:f>
        <x:v>151591.90887903812</x:v>
      </x:c>
      <x:c r="AM448" s="38" t="n">
        <x:f>AL448/V448</x:f>
        <x:v>810.0556183311362</x:v>
      </x:c>
      <x:c r="AN448" s="40" t="n">
        <x:f>(W448+X448)/AL448*100</x:f>
        <x:v>73.80336968332124</x:v>
      </x:c>
      <x:c r="AO448" s="28" t="str">
        <x:v>R01-R20; ilgili satırdaki bölgesel fiyat ve maliyet varsayımları</x:v>
      </x:c>
      <x:c r="AP448" s="28" t="str">
        <x:v>Girdi miktarları, alım fiyatı değişimi, fason bedeli ve parti sonucu simüle edilmiştir; işletme kaydı değildir.</x:v>
      </x:c>
    </x:row>
    <x:row r="449" ht="22" customHeight="1">
      <x:c r="A449" t="str">
        <x:v>SUC-0448</x:v>
      </x:c>
      <x:c r="B449" s="36" t="n">
        <x:v>46270</x:v>
      </x:c>
      <x:c r="C449" t="str">
        <x:v>Marmara</x:v>
      </x:c>
      <x:c r="D449" t="str">
        <x:v>MEB_STANDART</x:v>
      </x:c>
      <x:c r="E449" t="str">
        <x:v>Fason</x:v>
      </x:c>
      <x:c r="F449" s="42" t="str">
        <x:v>SENTETİK/SİMÜLE — gerçek parti kaydı değildir</x:v>
      </x:c>
      <x:c r="G449" s="38" t="n">
        <x:v>292.132</x:v>
      </x:c>
      <x:c r="H449" s="38" t="n">
        <x:v>91.12</x:v>
      </x:c>
      <x:c r="I449" s="38" t="n">
        <x:v>18.101</x:v>
      </x:c>
      <x:c r="J449" s="38" t="n">
        <x:v>10.108</x:v>
      </x:c>
      <x:c r="K449" s="38" t="n">
        <x:v>3.672</x:v>
      </x:c>
      <x:c r="L449" s="38" t="n">
        <x:f>SUM(G449:K449)</x:f>
        <x:v>415.13300000000004</x:v>
      </x:c>
      <x:c r="M449" s="38" t="n">
        <x:v>490.115</x:v>
      </x:c>
      <x:c r="N449" s="38" t="n">
        <x:v>598.19</x:v>
      </x:c>
      <x:c r="O449" s="38" t="n">
        <x:v>432.22</x:v>
      </x:c>
      <x:c r="P449" s="38" t="n">
        <x:v>400</x:v>
      </x:c>
      <x:c r="Q449" s="38" t="n">
        <x:v>19.88</x:v>
      </x:c>
      <x:c r="R449" s="38" t="n">
        <x:v>43.7475</x:v>
      </x:c>
      <x:c r="S449" s="38" t="n">
        <x:v>86.61</x:v>
      </x:c>
      <x:c r="T449" s="40" t="n">
        <x:v>27.5</x:v>
      </x:c>
      <x:c r="U449" s="40" t="n">
        <x:v>0.64</x:v>
      </x:c>
      <x:c r="V449" s="38" t="n">
        <x:f>L449*(1-T449/100)*(1-U449/100)</x:f>
        <x:v>299.04520788</x:v>
      </x:c>
      <x:c r="W449" s="38" t="n">
        <x:f>G449*N449</x:f>
        <x:v>174750.44108000002</x:v>
      </x:c>
      <x:c r="X449" s="38" t="n">
        <x:f>H449*O449</x:f>
        <x:v>39383.8864</x:v>
      </x:c>
      <x:c r="Y449" s="38" t="n">
        <x:f>I449*P449</x:f>
        <x:v>7240.4</x:v>
      </x:c>
      <x:c r="Z449" s="38" t="n">
        <x:f>J449*Q449+K449*P449</x:f>
        <x:v>1669.74704</x:v>
      </x:c>
      <x:c r="AA449" s="38" t="n">
        <x:f>M449*R449</x:f>
        <x:v>21441.305962500002</x:v>
      </x:c>
      <x:c r="AB449" s="38" t="n">
        <x:f>SUM(W449:AA449)</x:f>
        <x:v>244485.78048250003</x:v>
      </x:c>
      <x:c r="AC449" s="38" t="n">
        <x:v>18.41</x:v>
      </x:c>
      <x:c r="AD449" s="38" t="n">
        <x:v>174.33</x:v>
      </x:c>
      <x:c r="AE449" s="38" t="n">
        <x:v>97.46</x:v>
      </x:c>
      <x:c r="AF449" s="38" t="n">
        <x:v>4.8148</x:v>
      </x:c>
      <x:c r="AG449" s="38" t="n">
        <x:v>5.48</x:v>
      </x:c>
      <x:c r="AH449" s="38" t="n">
        <x:f>IF(E449="Fason",L449*S449,0)</x:f>
        <x:v>35954.66913</x:v>
      </x:c>
      <x:c r="AI449" s="38" t="n">
        <x:f>IF(E449="Kurum içi",AC449*AD449+AE449*AF449+AB449*12%,0)</x:f>
        <x:v>0</x:v>
      </x:c>
      <x:c r="AJ449" s="38" t="n">
        <x:f>V449*AG449</x:f>
        <x:v>1638.7677391824002</x:v>
      </x:c>
      <x:c r="AK449" s="38" t="n">
        <x:f>AB449*2%</x:f>
        <x:v>4889.715609650001</x:v>
      </x:c>
      <x:c r="AL449" s="38" t="n">
        <x:f>AB449+AH449+AI449+AJ449+AK449</x:f>
        <x:v>286968.93296133244</x:v>
      </x:c>
      <x:c r="AM449" s="38" t="n">
        <x:f>AL449/V449</x:f>
        <x:v>959.6172264244625</x:v>
      </x:c>
      <x:c r="AN449" s="40" t="n">
        <x:f>(W449+X449)/AL449*100</x:f>
        <x:v>74.61934128906334</x:v>
      </x:c>
      <x:c r="AO449" s="28" t="str">
        <x:v>R01-R20; ilgili satırdaki bölgesel fiyat ve maliyet varsayımları</x:v>
      </x:c>
      <x:c r="AP449" s="28" t="str">
        <x:v>Girdi miktarları, alım fiyatı değişimi, fason bedeli ve parti sonucu simüle edilmiştir; işletme kaydı değildir.</x:v>
      </x:c>
    </x:row>
    <x:row r="450" ht="22" customHeight="1">
      <x:c r="A450" t="str">
        <x:v>SUC-0449</x:v>
      </x:c>
      <x:c r="B450" s="36" t="n">
        <x:v>46284</x:v>
      </x:c>
      <x:c r="C450" t="str">
        <x:v>Karadeniz</x:v>
      </x:c>
      <x:c r="D450" t="str">
        <x:v>ERZURUM_CI</x:v>
      </x:c>
      <x:c r="E450" t="str">
        <x:v>Kurum içi</x:v>
      </x:c>
      <x:c r="F450" s="42" t="str">
        <x:v>SENTETİK/SİMÜLE — gerçek parti kaydı değildir</x:v>
      </x:c>
      <x:c r="G450" s="38" t="n">
        <x:v>205.129</x:v>
      </x:c>
      <x:c r="H450" s="38" t="n">
        <x:v>36.892</x:v>
      </x:c>
      <x:c r="I450" s="38" t="n">
        <x:v>11.46</x:v>
      </x:c>
      <x:c r="J450" s="38" t="n">
        <x:v>3.774</x:v>
      </x:c>
      <x:c r="K450" s="38" t="n">
        <x:v>0.622</x:v>
      </x:c>
      <x:c r="L450" s="38" t="n">
        <x:f>SUM(G450:K450)</x:f>
        <x:v>257.877</x:v>
      </x:c>
      <x:c r="M450" s="38" t="n">
        <x:v>326.965</x:v>
      </x:c>
      <x:c r="N450" s="38" t="n">
        <x:v>601.41</x:v>
      </x:c>
      <x:c r="O450" s="38" t="n">
        <x:v>475.46</x:v>
      </x:c>
      <x:c r="P450" s="38" t="n">
        <x:v>550</x:v>
      </x:c>
      <x:c r="Q450" s="38" t="n">
        <x:v>19.88</x:v>
      </x:c>
      <x:c r="R450" s="38" t="n">
        <x:v>43.7475</x:v>
      </x:c>
      <x:c r="S450" s="38" t="n">
        <x:v>79.09</x:v>
      </x:c>
      <x:c r="T450" s="40" t="n">
        <x:v>20.25</x:v>
      </x:c>
      <x:c r="U450" s="40" t="n">
        <x:v>1.73</x:v>
      </x:c>
      <x:c r="V450" s="38" t="n">
        <x:f>L450*(1-T450/100)*(1-U450/100)</x:f>
        <x:v>202.09904300025002</x:v>
      </x:c>
      <x:c r="W450" s="38" t="n">
        <x:f>G450*N450</x:f>
        <x:v>123366.63188999999</x:v>
      </x:c>
      <x:c r="X450" s="38" t="n">
        <x:f>H450*O450</x:f>
        <x:v>17540.67032</x:v>
      </x:c>
      <x:c r="Y450" s="38" t="n">
        <x:f>I450*P450</x:f>
        <x:v>6303.000000000001</x:v>
      </x:c>
      <x:c r="Z450" s="38" t="n">
        <x:f>J450*Q450+K450*P450</x:f>
        <x:v>417.12712</x:v>
      </x:c>
      <x:c r="AA450" s="38" t="n">
        <x:f>M450*R450</x:f>
        <x:v>14303.9013375</x:v>
      </x:c>
      <x:c r="AB450" s="38" t="n">
        <x:f>SUM(W450:AA450)</x:f>
        <x:v>161931.33066749998</x:v>
      </x:c>
      <x:c r="AC450" s="38" t="n">
        <x:v>11.83</x:v>
      </x:c>
      <x:c r="AD450" s="38" t="n">
        <x:v>174.33</x:v>
      </x:c>
      <x:c r="AE450" s="38" t="n">
        <x:v>84.43</x:v>
      </x:c>
      <x:c r="AF450" s="38" t="n">
        <x:v>4.8148</x:v>
      </x:c>
      <x:c r="AG450" s="38" t="n">
        <x:v>5.54</x:v>
      </x:c>
      <x:c r="AH450" s="38" t="n">
        <x:f>IF(E450="Fason",L450*S450,0)</x:f>
        <x:v>0</x:v>
      </x:c>
      <x:c r="AI450" s="38" t="n">
        <x:f>IF(E450="Kurum içi",AC450*AD450+AE450*AF450+AB450*12%,0)</x:f>
        <x:v>21900.597144099997</x:v>
      </x:c>
      <x:c r="AJ450" s="38" t="n">
        <x:f>V450*AG450</x:f>
        <x:v>1119.628698221385</x:v>
      </x:c>
      <x:c r="AK450" s="38" t="n">
        <x:f>AB450*2%</x:f>
        <x:v>3238.6266133499994</x:v>
      </x:c>
      <x:c r="AL450" s="38" t="n">
        <x:f>AB450+AH450+AI450+AJ450+AK450</x:f>
        <x:v>188190.18312317136</x:v>
      </x:c>
      <x:c r="AM450" s="38" t="n">
        <x:f>AL450/V450</x:f>
        <x:v>931.1780022775197</x:v>
      </x:c>
      <x:c r="AN450" s="40" t="n">
        <x:f>(W450+X450)/AL450*100</x:f>
        <x:v>74.87494824200023</x:v>
      </x:c>
      <x:c r="AO450" s="28" t="str">
        <x:v>R01-R20; ilgili satırdaki bölgesel fiyat ve maliyet varsayımları</x:v>
      </x:c>
      <x:c r="AP450" s="28" t="str">
        <x:v>Girdi miktarları, alım fiyatı değişimi, fason bedeli ve parti sonucu simüle edilmiştir; işletme kaydı değildir.</x:v>
      </x:c>
    </x:row>
    <x:row r="451" ht="22" customHeight="1">
      <x:c r="A451" t="str">
        <x:v>SUC-0450</x:v>
      </x:c>
      <x:c r="B451" s="36" t="n">
        <x:v>46298</x:v>
      </x:c>
      <x:c r="C451" t="str">
        <x:v>Akdeniz</x:v>
      </x:c>
      <x:c r="D451" t="str">
        <x:v>MEB_STANDART</x:v>
      </x:c>
      <x:c r="E451" t="str">
        <x:v>Kurum içi</x:v>
      </x:c>
      <x:c r="F451" s="42" t="str">
        <x:v>SENTETİK/SİMÜLE — gerçek parti kaydı değildir</x:v>
      </x:c>
      <x:c r="G451" s="38" t="n">
        <x:v>101.658</x:v>
      </x:c>
      <x:c r="H451" s="38" t="n">
        <x:v>32.881</x:v>
      </x:c>
      <x:c r="I451" s="38" t="n">
        <x:v>6.149</x:v>
      </x:c>
      <x:c r="J451" s="38" t="n">
        <x:v>3.527</x:v>
      </x:c>
      <x:c r="K451" s="38" t="n">
        <x:v>1.325</x:v>
      </x:c>
      <x:c r="L451" s="38" t="n">
        <x:f>SUM(G451:K451)</x:f>
        <x:v>145.53999999999996</x:v>
      </x:c>
      <x:c r="M451" s="38" t="n">
        <x:v>187.283</x:v>
      </x:c>
      <x:c r="N451" s="38" t="n">
        <x:v>602.37</x:v>
      </x:c>
      <x:c r="O451" s="38" t="n">
        <x:v>448.66</x:v>
      </x:c>
      <x:c r="P451" s="38" t="n">
        <x:v>400</x:v>
      </x:c>
      <x:c r="Q451" s="38" t="n">
        <x:v>19.88</x:v>
      </x:c>
      <x:c r="R451" s="38" t="n">
        <x:v>43.7475</x:v>
      </x:c>
      <x:c r="S451" s="38" t="n">
        <x:v>121.12</x:v>
      </x:c>
      <x:c r="T451" s="40" t="n">
        <x:v>17.05</x:v>
      </x:c>
      <x:c r="U451" s="40" t="n">
        <x:v>0.7</x:v>
      </x:c>
      <x:c r="V451" s="38" t="n">
        <x:f>L451*(1-T451/100)*(1-U451/100)</x:f>
        <x:v>119.88035198999998</x:v>
      </x:c>
      <x:c r="W451" s="38" t="n">
        <x:f>G451*N451</x:f>
        <x:v>61235.72946</x:v>
      </x:c>
      <x:c r="X451" s="38" t="n">
        <x:f>H451*O451</x:f>
        <x:v>14752.38946</x:v>
      </x:c>
      <x:c r="Y451" s="38" t="n">
        <x:f>I451*P451</x:f>
        <x:v>2459.6</x:v>
      </x:c>
      <x:c r="Z451" s="38" t="n">
        <x:f>J451*Q451+K451*P451</x:f>
        <x:v>600.11676</x:v>
      </x:c>
      <x:c r="AA451" s="38" t="n">
        <x:f>M451*R451</x:f>
        <x:v>8193.1630425</x:v>
      </x:c>
      <x:c r="AB451" s="38" t="n">
        <x:f>SUM(W451:AA451)</x:f>
        <x:v>87240.99872250002</x:v>
      </x:c>
      <x:c r="AC451" s="38" t="n">
        <x:v>9.66</x:v>
      </x:c>
      <x:c r="AD451" s="38" t="n">
        <x:v>174.33</x:v>
      </x:c>
      <x:c r="AE451" s="38" t="n">
        <x:v>53.28</x:v>
      </x:c>
      <x:c r="AF451" s="38" t="n">
        <x:v>4.8148</x:v>
      </x:c>
      <x:c r="AG451" s="38" t="n">
        <x:v>5.55</x:v>
      </x:c>
      <x:c r="AH451" s="38" t="n">
        <x:f>IF(E451="Fason",L451*S451,0)</x:f>
        <x:v>0</x:v>
      </x:c>
      <x:c r="AI451" s="38" t="n">
        <x:f>IF(E451="Kurum içi",AC451*AD451+AE451*AF451+AB451*12%,0)</x:f>
        <x:v>12409.480190700002</x:v>
      </x:c>
      <x:c r="AJ451" s="38" t="n">
        <x:f>V451*AG451</x:f>
        <x:v>665.3359535444998</x:v>
      </x:c>
      <x:c r="AK451" s="38" t="n">
        <x:f>AB451*2%</x:f>
        <x:v>1744.8199744500005</x:v>
      </x:c>
      <x:c r="AL451" s="38" t="n">
        <x:f>AB451+AH451+AI451+AJ451+AK451</x:f>
        <x:v>102060.63484119454</x:v>
      </x:c>
      <x:c r="AM451" s="38" t="n">
        <x:f>AL451/V451</x:f>
        <x:v>851.3541472559915</x:v>
      </x:c>
      <x:c r="AN451" s="40" t="n">
        <x:f>(W451+X451)/AL451*100</x:f>
        <x:v>74.45389599842962</x:v>
      </x:c>
      <x:c r="AO451" s="28" t="str">
        <x:v>R01-R20; ilgili satırdaki bölgesel fiyat ve maliyet varsayımları</x:v>
      </x:c>
      <x:c r="AP451" s="28" t="str">
        <x:v>Girdi miktarları, alım fiyatı değişimi, fason bedeli ve parti sonucu simüle edilmiştir; işletme kaydı değildir.</x:v>
      </x:c>
    </x:row>
    <x:row r="452" ht="22" customHeight="1">
      <x:c r="A452" t="str">
        <x:v>SUC-0451</x:v>
      </x:c>
      <x:c r="B452" s="36" t="n">
        <x:v>46269</x:v>
      </x:c>
      <x:c r="C452" t="str">
        <x:v>Doğu Anadolu</x:v>
      </x:c>
      <x:c r="D452" t="str">
        <x:v>MEB_STANDART</x:v>
      </x:c>
      <x:c r="E452" t="str">
        <x:v>Fason</x:v>
      </x:c>
      <x:c r="F452" s="42" t="str">
        <x:v>SENTETİK/SİMÜLE — gerçek parti kaydı değildir</x:v>
      </x:c>
      <x:c r="G452" s="38" t="n">
        <x:v>330.145</x:v>
      </x:c>
      <x:c r="H452" s="38" t="n">
        <x:v>100.549</x:v>
      </x:c>
      <x:c r="I452" s="38" t="n">
        <x:v>19.87</x:v>
      </x:c>
      <x:c r="J452" s="38" t="n">
        <x:v>11.521</x:v>
      </x:c>
      <x:c r="K452" s="38" t="n">
        <x:v>4.892</x:v>
      </x:c>
      <x:c r="L452" s="38" t="n">
        <x:f>SUM(G452:K452)</x:f>
        <x:v>466.977</x:v>
      </x:c>
      <x:c r="M452" s="38" t="n">
        <x:v>609.163</x:v>
      </x:c>
      <x:c r="N452" s="38" t="n">
        <x:v>576.33</x:v>
      </x:c>
      <x:c r="O452" s="38" t="n">
        <x:v>434.58</x:v>
      </x:c>
      <x:c r="P452" s="38" t="n">
        <x:v>550</x:v>
      </x:c>
      <x:c r="Q452" s="38" t="n">
        <x:v>19.88</x:v>
      </x:c>
      <x:c r="R452" s="38" t="n">
        <x:v>43.7475</x:v>
      </x:c>
      <x:c r="S452" s="38" t="n">
        <x:v>120.55</x:v>
      </x:c>
      <x:c r="T452" s="40" t="n">
        <x:v>19.77</x:v>
      </x:c>
      <x:c r="U452" s="40" t="n">
        <x:v>0.32</x:v>
      </x:c>
      <x:c r="V452" s="38" t="n">
        <x:f>L452*(1-T452/100)*(1-U452/100)</x:f>
        <x:v>373.45674902928</x:v>
      </x:c>
      <x:c r="W452" s="38" t="n">
        <x:f>G452*N452</x:f>
        <x:v>190272.46785000002</x:v>
      </x:c>
      <x:c r="X452" s="38" t="n">
        <x:f>H452*O452</x:f>
        <x:v>43696.58442</x:v>
      </x:c>
      <x:c r="Y452" s="38" t="n">
        <x:f>I452*P452</x:f>
        <x:v>10928.5</x:v>
      </x:c>
      <x:c r="Z452" s="38" t="n">
        <x:f>J452*Q452+K452*P452</x:f>
        <x:v>2919.6374800000003</x:v>
      </x:c>
      <x:c r="AA452" s="38" t="n">
        <x:f>M452*R452</x:f>
        <x:v>26649.358342500003</x:v>
      </x:c>
      <x:c r="AB452" s="38" t="n">
        <x:f>SUM(W452:AA452)</x:f>
        <x:v>274466.5480925</x:v>
      </x:c>
      <x:c r="AC452" s="38" t="n">
        <x:v>31.08</x:v>
      </x:c>
      <x:c r="AD452" s="38" t="n">
        <x:v>174.33</x:v>
      </x:c>
      <x:c r="AE452" s="38" t="n">
        <x:v>161.82</x:v>
      </x:c>
      <x:c r="AF452" s="38" t="n">
        <x:v>4.8148</x:v>
      </x:c>
      <x:c r="AG452" s="38" t="n">
        <x:v>5.29</x:v>
      </x:c>
      <x:c r="AH452" s="38" t="n">
        <x:f>IF(E452="Fason",L452*S452,0)</x:f>
        <x:v>56294.07734999999</x:v>
      </x:c>
      <x:c r="AI452" s="38" t="n">
        <x:f>IF(E452="Kurum içi",AC452*AD452+AE452*AF452+AB452*12%,0)</x:f>
        <x:v>0</x:v>
      </x:c>
      <x:c r="AJ452" s="38" t="n">
        <x:f>V452*AG452</x:f>
        <x:v>1975.586202364891</x:v>
      </x:c>
      <x:c r="AK452" s="38" t="n">
        <x:f>AB452*2%</x:f>
        <x:v>5489.330961850001</x:v>
      </x:c>
      <x:c r="AL452" s="38" t="n">
        <x:f>AB452+AH452+AI452+AJ452+AK452</x:f>
        <x:v>338225.5426067149</x:v>
      </x:c>
      <x:c r="AM452" s="38" t="n">
        <x:f>AL452/V452</x:f>
        <x:v>905.6618831654777</x:v>
      </x:c>
      <x:c r="AN452" s="40" t="n">
        <x:f>(W452+X452)/AL452*100</x:f>
        <x:v>69.17545329864598</x:v>
      </x:c>
      <x:c r="AO452" s="28" t="str">
        <x:v>R01-R20; ilgili satırdaki bölgesel fiyat ve maliyet varsayımları</x:v>
      </x:c>
      <x:c r="AP452" s="28" t="str">
        <x:v>Girdi miktarları, alım fiyatı değişimi, fason bedeli ve parti sonucu simüle edilmiştir; işletme kaydı değildir.</x:v>
      </x:c>
    </x:row>
    <x:row r="453" ht="22" customHeight="1">
      <x:c r="A453" t="str">
        <x:v>SUC-0452</x:v>
      </x:c>
      <x:c r="B453" s="36" t="n">
        <x:v>46300</x:v>
      </x:c>
      <x:c r="C453" t="str">
        <x:v>İç Anadolu</x:v>
      </x:c>
      <x:c r="D453" t="str">
        <x:v>MEB_STANDART</x:v>
      </x:c>
      <x:c r="E453" t="str">
        <x:v>Kurum içi</x:v>
      </x:c>
      <x:c r="F453" s="42" t="str">
        <x:v>SENTETİK/SİMÜLE — gerçek parti kaydı değildir</x:v>
      </x:c>
      <x:c r="G453" s="38" t="n">
        <x:v>174.296</x:v>
      </x:c>
      <x:c r="H453" s="38" t="n">
        <x:v>53.413</x:v>
      </x:c>
      <x:c r="I453" s="38" t="n">
        <x:v>11.748</x:v>
      </x:c>
      <x:c r="J453" s="38" t="n">
        <x:v>6.137</x:v>
      </x:c>
      <x:c r="K453" s="38" t="n">
        <x:v>2.687</x:v>
      </x:c>
      <x:c r="L453" s="38" t="n">
        <x:f>SUM(G453:K453)</x:f>
        <x:v>248.281</x:v>
      </x:c>
      <x:c r="M453" s="38" t="n">
        <x:v>305.643</x:v>
      </x:c>
      <x:c r="N453" s="38" t="n">
        <x:v>590.45</x:v>
      </x:c>
      <x:c r="O453" s="38" t="n">
        <x:v>440.58</x:v>
      </x:c>
      <x:c r="P453" s="38" t="n">
        <x:v>669.9</x:v>
      </x:c>
      <x:c r="Q453" s="38" t="n">
        <x:v>19.88</x:v>
      </x:c>
      <x:c r="R453" s="38" t="n">
        <x:v>43.7475</x:v>
      </x:c>
      <x:c r="S453" s="38" t="n">
        <x:v>83.92</x:v>
      </x:c>
      <x:c r="T453" s="40" t="n">
        <x:v>22.5</x:v>
      </x:c>
      <x:c r="U453" s="40" t="n">
        <x:v>1.75</x:v>
      </x:c>
      <x:c r="V453" s="38" t="n">
        <x:f>L453*(1-T453/100)*(1-U453/100)</x:f>
        <x:v>189.0504639375</x:v>
      </x:c>
      <x:c r="W453" s="38" t="n">
        <x:f>G453*N453</x:f>
        <x:v>102913.0732</x:v>
      </x:c>
      <x:c r="X453" s="38" t="n">
        <x:f>H453*O453</x:f>
        <x:v>23532.699539999998</x:v>
      </x:c>
      <x:c r="Y453" s="38" t="n">
        <x:f>I453*P453</x:f>
        <x:v>7869.985199999999</x:v>
      </x:c>
      <x:c r="Z453" s="38" t="n">
        <x:f>J453*Q453+K453*P453</x:f>
        <x:v>1922.0248599999998</x:v>
      </x:c>
      <x:c r="AA453" s="38" t="n">
        <x:f>M453*R453</x:f>
        <x:v>13371.1171425</x:v>
      </x:c>
      <x:c r="AB453" s="38" t="n">
        <x:f>SUM(W453:AA453)</x:f>
        <x:v>149608.89994250002</x:v>
      </x:c>
      <x:c r="AC453" s="38" t="n">
        <x:v>14.37</x:v>
      </x:c>
      <x:c r="AD453" s="38" t="n">
        <x:v>174.33</x:v>
      </x:c>
      <x:c r="AE453" s="38" t="n">
        <x:v>106.91</x:v>
      </x:c>
      <x:c r="AF453" s="38" t="n">
        <x:v>4.8148</x:v>
      </x:c>
      <x:c r="AG453" s="38" t="n">
        <x:v>5.36</x:v>
      </x:c>
      <x:c r="AH453" s="38" t="n">
        <x:f>IF(E453="Fason",L453*S453,0)</x:f>
        <x:v>0</x:v>
      </x:c>
      <x:c r="AI453" s="38" t="n">
        <x:f>IF(E453="Kurum içi",AC453*AD453+AE453*AF453+AB453*12%,0)</x:f>
        <x:v>20972.9403611</x:v>
      </x:c>
      <x:c r="AJ453" s="38" t="n">
        <x:f>V453*AG453</x:f>
        <x:v>1013.3104867050001</x:v>
      </x:c>
      <x:c r="AK453" s="38" t="n">
        <x:f>AB453*2%</x:f>
        <x:v>2992.1779988500007</x:v>
      </x:c>
      <x:c r="AL453" s="38" t="n">
        <x:f>AB453+AH453+AI453+AJ453+AK453</x:f>
        <x:v>174587.32878915503</x:v>
      </x:c>
      <x:c r="AM453" s="38" t="n">
        <x:f>AL453/V453</x:f>
        <x:v>923.4959023791315</x:v>
      </x:c>
      <x:c r="AN453" s="40" t="n">
        <x:f>(W453+X453)/AL453*100</x:f>
        <x:v>72.42551542369124</x:v>
      </x:c>
      <x:c r="AO453" s="28" t="str">
        <x:v>R01-R20; ilgili satırdaki bölgesel fiyat ve maliyet varsayımları</x:v>
      </x:c>
      <x:c r="AP453" s="28" t="str">
        <x:v>Girdi miktarları, alım fiyatı değişimi, fason bedeli ve parti sonucu simüle edilmiştir; işletme kaydı değildir.</x:v>
      </x:c>
    </x:row>
    <x:row r="454" ht="22" customHeight="1">
      <x:c r="A454" t="str">
        <x:v>SUC-0453</x:v>
      </x:c>
      <x:c r="B454" s="36" t="n">
        <x:v>46282</x:v>
      </x:c>
      <x:c r="C454" t="str">
        <x:v>Doğu Anadolu</x:v>
      </x:c>
      <x:c r="D454" t="str">
        <x:v>ERZURUM_CI</x:v>
      </x:c>
      <x:c r="E454" t="str">
        <x:v>Kurum içi</x:v>
      </x:c>
      <x:c r="F454" s="42" t="str">
        <x:v>SENTETİK/SİMÜLE — gerçek parti kaydı değildir</x:v>
      </x:c>
      <x:c r="G454" s="38" t="n">
        <x:v>93.426</x:v>
      </x:c>
      <x:c r="H454" s="38" t="n">
        <x:v>15.345</x:v>
      </x:c>
      <x:c r="I454" s="38" t="n">
        <x:v>5.597</x:v>
      </x:c>
      <x:c r="J454" s="38" t="n">
        <x:v>1.673</x:v>
      </x:c>
      <x:c r="K454" s="38" t="n">
        <x:v>0.012</x:v>
      </x:c>
      <x:c r="L454" s="38" t="n">
        <x:f>SUM(G454:K454)</x:f>
        <x:v>116.053</x:v>
      </x:c>
      <x:c r="M454" s="38" t="n">
        <x:v>150.06</x:v>
      </x:c>
      <x:c r="N454" s="38" t="n">
        <x:v>591.25</x:v>
      </x:c>
      <x:c r="O454" s="38" t="n">
        <x:v>460.6</x:v>
      </x:c>
      <x:c r="P454" s="38" t="n">
        <x:v>669.9</x:v>
      </x:c>
      <x:c r="Q454" s="38" t="n">
        <x:v>19.88</x:v>
      </x:c>
      <x:c r="R454" s="38" t="n">
        <x:v>43.7475</x:v>
      </x:c>
      <x:c r="S454" s="38" t="n">
        <x:v>65.52</x:v>
      </x:c>
      <x:c r="T454" s="40" t="n">
        <x:v>26.15</x:v>
      </x:c>
      <x:c r="U454" s="40" t="n">
        <x:v>0.69</x:v>
      </x:c>
      <x:c r="V454" s="38" t="n">
        <x:f>L454*(1-T454/100)*(1-U454/100)</x:f>
        <x:v>85.11377503054999</x:v>
      </x:c>
      <x:c r="W454" s="38" t="n">
        <x:f>G454*N454</x:f>
        <x:v>55238.1225</x:v>
      </x:c>
      <x:c r="X454" s="38" t="n">
        <x:f>H454*O454</x:f>
        <x:v>7067.907000000001</x:v>
      </x:c>
      <x:c r="Y454" s="38" t="n">
        <x:f>I454*P454</x:f>
        <x:v>3749.4303</x:v>
      </x:c>
      <x:c r="Z454" s="38" t="n">
        <x:f>J454*Q454+K454*P454</x:f>
        <x:v>41.29804</x:v>
      </x:c>
      <x:c r="AA454" s="38" t="n">
        <x:f>M454*R454</x:f>
        <x:v>6564.74985</x:v>
      </x:c>
      <x:c r="AB454" s="38" t="n">
        <x:f>SUM(W454:AA454)</x:f>
        <x:v>72661.50769</x:v>
      </x:c>
      <x:c r="AC454" s="38" t="n">
        <x:v>7.62</x:v>
      </x:c>
      <x:c r="AD454" s="38" t="n">
        <x:v>174.33</x:v>
      </x:c>
      <x:c r="AE454" s="38" t="n">
        <x:v>43.8</x:v>
      </x:c>
      <x:c r="AF454" s="38" t="n">
        <x:v>4.8148</x:v>
      </x:c>
      <x:c r="AG454" s="38" t="n">
        <x:v>5.32</x:v>
      </x:c>
      <x:c r="AH454" s="38" t="n">
        <x:f>IF(E454="Fason",L454*S454,0)</x:f>
        <x:v>0</x:v>
      </x:c>
      <x:c r="AI454" s="38" t="n">
        <x:f>IF(E454="Kurum içi",AC454*AD454+AE454*AF454+AB454*12%,0)</x:f>
        <x:v>10258.663762799999</x:v>
      </x:c>
      <x:c r="AJ454" s="38" t="n">
        <x:f>V454*AG454</x:f>
        <x:v>452.80528316252594</x:v>
      </x:c>
      <x:c r="AK454" s="38" t="n">
        <x:f>AB454*2%</x:f>
        <x:v>1453.2301538</x:v>
      </x:c>
      <x:c r="AL454" s="38" t="n">
        <x:f>AB454+AH454+AI454+AJ454+AK454</x:f>
        <x:v>84826.20688976253</x:v>
      </x:c>
      <x:c r="AM454" s="38" t="n">
        <x:f>AL454/V454</x:f>
        <x:v>996.621367802283</x:v>
      </x:c>
      <x:c r="AN454" s="40" t="n">
        <x:f>(W454+X454)/AL454*100</x:f>
        <x:v>73.45139171550008</x:v>
      </x:c>
      <x:c r="AO454" s="28" t="str">
        <x:v>R01-R20; ilgili satırdaki bölgesel fiyat ve maliyet varsayımları</x:v>
      </x:c>
      <x:c r="AP454" s="28" t="str">
        <x:v>Girdi miktarları, alım fiyatı değişimi, fason bedeli ve parti sonucu simüle edilmiştir; işletme kaydı değildir.</x:v>
      </x:c>
    </x:row>
    <x:row r="455" ht="22" customHeight="1">
      <x:c r="A455" t="str">
        <x:v>SUC-0454</x:v>
      </x:c>
      <x:c r="B455" s="36" t="n">
        <x:v>46300</x:v>
      </x:c>
      <x:c r="C455" t="str">
        <x:v>Güneydoğu Anadolu</x:v>
      </x:c>
      <x:c r="D455" t="str">
        <x:v>MEB_STANDART</x:v>
      </x:c>
      <x:c r="E455" t="str">
        <x:v>Kurum içi</x:v>
      </x:c>
      <x:c r="F455" s="42" t="str">
        <x:v>SENTETİK/SİMÜLE — gerçek parti kaydı değildir</x:v>
      </x:c>
      <x:c r="G455" s="38" t="n">
        <x:v>202.151</x:v>
      </x:c>
      <x:c r="H455" s="38" t="n">
        <x:v>61.811</x:v>
      </x:c>
      <x:c r="I455" s="38" t="n">
        <x:v>13.526</x:v>
      </x:c>
      <x:c r="J455" s="38" t="n">
        <x:v>6.923</x:v>
      </x:c>
      <x:c r="K455" s="38" t="n">
        <x:v>2.718</x:v>
      </x:c>
      <x:c r="L455" s="38" t="n">
        <x:f>SUM(G455:K455)</x:f>
        <x:v>287.129</x:v>
      </x:c>
      <x:c r="M455" s="38" t="n">
        <x:v>337.245</x:v>
      </x:c>
      <x:c r="N455" s="38" t="n">
        <x:v>581.08</x:v>
      </x:c>
      <x:c r="O455" s="38" t="n">
        <x:v>412.32</x:v>
      </x:c>
      <x:c r="P455" s="38" t="n">
        <x:v>400</x:v>
      </x:c>
      <x:c r="Q455" s="38" t="n">
        <x:v>19.88</x:v>
      </x:c>
      <x:c r="R455" s="38" t="n">
        <x:v>43.7475</x:v>
      </x:c>
      <x:c r="S455" s="38" t="n">
        <x:v>72.97</x:v>
      </x:c>
      <x:c r="T455" s="40" t="n">
        <x:v>25.79</x:v>
      </x:c>
      <x:c r="U455" s="40" t="n">
        <x:v>1.5</x:v>
      </x:c>
      <x:c r="V455" s="38" t="n">
        <x:f>L455*(1-T455/100)*(1-U455/100)</x:f>
        <x:v>209.8822544365</x:v>
      </x:c>
      <x:c r="W455" s="38" t="n">
        <x:f>G455*N455</x:f>
        <x:v>117465.90308000002</x:v>
      </x:c>
      <x:c r="X455" s="38" t="n">
        <x:f>H455*O455</x:f>
        <x:v>25485.911519999998</x:v>
      </x:c>
      <x:c r="Y455" s="38" t="n">
        <x:f>I455*P455</x:f>
        <x:v>5410.4</x:v>
      </x:c>
      <x:c r="Z455" s="38" t="n">
        <x:f>J455*Q455+K455*P455</x:f>
        <x:v>1224.82924</x:v>
      </x:c>
      <x:c r="AA455" s="38" t="n">
        <x:f>M455*R455</x:f>
        <x:v>14753.625637500001</x:v>
      </x:c>
      <x:c r="AB455" s="38" t="n">
        <x:f>SUM(W455:AA455)</x:f>
        <x:v>164340.6694775</x:v>
      </x:c>
      <x:c r="AC455" s="38" t="n">
        <x:v>18.13</x:v>
      </x:c>
      <x:c r="AD455" s="38" t="n">
        <x:v>174.33</x:v>
      </x:c>
      <x:c r="AE455" s="38" t="n">
        <x:v>77.81</x:v>
      </x:c>
      <x:c r="AF455" s="38" t="n">
        <x:v>4.8148</x:v>
      </x:c>
      <x:c r="AG455" s="38" t="n">
        <x:v>5.29</x:v>
      </x:c>
      <x:c r="AH455" s="38" t="n">
        <x:f>IF(E455="Fason",L455*S455,0)</x:f>
        <x:v>0</x:v>
      </x:c>
      <x:c r="AI455" s="38" t="n">
        <x:f>IF(E455="Kurum içi",AC455*AD455+AE455*AF455+AB455*12%,0)</x:f>
        <x:v>23256.122825299997</x:v>
      </x:c>
      <x:c r="AJ455" s="38" t="n">
        <x:f>V455*AG455</x:f>
        <x:v>1110.277125969085</x:v>
      </x:c>
      <x:c r="AK455" s="38" t="n">
        <x:f>AB455*2%</x:f>
        <x:v>3286.81338955</x:v>
      </x:c>
      <x:c r="AL455" s="38" t="n">
        <x:f>AB455+AH455+AI455+AJ455+AK455</x:f>
        <x:v>191993.88281831908</x:v>
      </x:c>
      <x:c r="AM455" s="38" t="n">
        <x:f>AL455/V455</x:f>
        <x:v>914.7694898446354</x:v>
      </x:c>
      <x:c r="AN455" s="40" t="n">
        <x:f>(W455+X455)/AL455*100</x:f>
        <x:v>74.45644231033816</x:v>
      </x:c>
      <x:c r="AO455" s="28" t="str">
        <x:v>R01-R20; ilgili satırdaki bölgesel fiyat ve maliyet varsayımları</x:v>
      </x:c>
      <x:c r="AP455" s="28" t="str">
        <x:v>Girdi miktarları, alım fiyatı değişimi, fason bedeli ve parti sonucu simüle edilmiştir; işletme kaydı değildir.</x:v>
      </x:c>
    </x:row>
    <x:row r="456" ht="22" customHeight="1">
      <x:c r="A456" t="str">
        <x:v>SUC-0455</x:v>
      </x:c>
      <x:c r="B456" s="36" t="n">
        <x:v>46285</x:v>
      </x:c>
      <x:c r="C456" t="str">
        <x:v>Akdeniz</x:v>
      </x:c>
      <x:c r="D456" t="str">
        <x:v>MEB_STANDART</x:v>
      </x:c>
      <x:c r="E456" t="str">
        <x:v>Kurum içi</x:v>
      </x:c>
      <x:c r="F456" s="42" t="str">
        <x:v>SENTETİK/SİMÜLE — gerçek parti kaydı değildir</x:v>
      </x:c>
      <x:c r="G456" s="38" t="n">
        <x:v>310.377</x:v>
      </x:c>
      <x:c r="H456" s="38" t="n">
        <x:v>92.702</x:v>
      </x:c>
      <x:c r="I456" s="38" t="n">
        <x:v>18.987</x:v>
      </x:c>
      <x:c r="J456" s="38" t="n">
        <x:v>10.639</x:v>
      </x:c>
      <x:c r="K456" s="38" t="n">
        <x:v>4.756</x:v>
      </x:c>
      <x:c r="L456" s="38" t="n">
        <x:f>SUM(G456:K456)</x:f>
        <x:v>437.461</x:v>
      </x:c>
      <x:c r="M456" s="38" t="n">
        <x:v>537.364</x:v>
      </x:c>
      <x:c r="N456" s="38" t="n">
        <x:v>587.05</x:v>
      </x:c>
      <x:c r="O456" s="38" t="n">
        <x:v>445.99</x:v>
      </x:c>
      <x:c r="P456" s="38" t="n">
        <x:v>400</x:v>
      </x:c>
      <x:c r="Q456" s="38" t="n">
        <x:v>19.88</x:v>
      </x:c>
      <x:c r="R456" s="38" t="n">
        <x:v>43.7475</x:v>
      </x:c>
      <x:c r="S456" s="38" t="n">
        <x:v>79.68</x:v>
      </x:c>
      <x:c r="T456" s="40" t="n">
        <x:v>21.67</x:v>
      </x:c>
      <x:c r="U456" s="40" t="n">
        <x:v>1.68</x:v>
      </x:c>
      <x:c r="V456" s="38" t="n">
        <x:f>L456*(1-T456/100)*(1-U456/100)</x:f>
        <x:v>336.90645951816003</x:v>
      </x:c>
      <x:c r="W456" s="38" t="n">
        <x:f>G456*N456</x:f>
        <x:v>182206.81785</x:v>
      </x:c>
      <x:c r="X456" s="38" t="n">
        <x:f>H456*O456</x:f>
        <x:v>41344.16498</x:v>
      </x:c>
      <x:c r="Y456" s="38" t="n">
        <x:f>I456*P456</x:f>
        <x:v>7594.799999999999</x:v>
      </x:c>
      <x:c r="Z456" s="38" t="n">
        <x:f>J456*Q456+K456*P456</x:f>
        <x:v>2113.90332</x:v>
      </x:c>
      <x:c r="AA456" s="38" t="n">
        <x:f>M456*R456</x:f>
        <x:v>23508.33159</x:v>
      </x:c>
      <x:c r="AB456" s="38" t="n">
        <x:f>SUM(W456:AA456)</x:f>
        <x:v>256768.01773999998</x:v>
      </x:c>
      <x:c r="AC456" s="38" t="n">
        <x:v>22.98</x:v>
      </x:c>
      <x:c r="AD456" s="38" t="n">
        <x:v>174.33</x:v>
      </x:c>
      <x:c r="AE456" s="38" t="n">
        <x:v>161.02</x:v>
      </x:c>
      <x:c r="AF456" s="38" t="n">
        <x:v>4.8148</x:v>
      </x:c>
      <x:c r="AG456" s="38" t="n">
        <x:v>5.21</x:v>
      </x:c>
      <x:c r="AH456" s="38" t="n">
        <x:f>IF(E456="Fason",L456*S456,0)</x:f>
        <x:v>0</x:v>
      </x:c>
      <x:c r="AI456" s="38" t="n">
        <x:f>IF(E456="Kurum içi",AC456*AD456+AE456*AF456+AB456*12%,0)</x:f>
        <x:v>35593.54462479999</x:v>
      </x:c>
      <x:c r="AJ456" s="38" t="n">
        <x:f>V456*AG456</x:f>
        <x:v>1755.2826540896137</x:v>
      </x:c>
      <x:c r="AK456" s="38" t="n">
        <x:f>AB456*2%</x:f>
        <x:v>5135.3603548</x:v>
      </x:c>
      <x:c r="AL456" s="38" t="n">
        <x:f>AB456+AH456+AI456+AJ456+AK456</x:f>
        <x:v>299252.2053736896</x:v>
      </x:c>
      <x:c r="AM456" s="38" t="n">
        <x:f>AL456/V456</x:f>
        <x:v>888.2352858466319</x:v>
      </x:c>
      <x:c r="AN456" s="40" t="n">
        <x:f>(W456+X456)/AL456*100</x:f>
        <x:v>74.70320312287821</x:v>
      </x:c>
      <x:c r="AO456" s="28" t="str">
        <x:v>R01-R20; ilgili satırdaki bölgesel fiyat ve maliyet varsayımları</x:v>
      </x:c>
      <x:c r="AP456" s="28" t="str">
        <x:v>Girdi miktarları, alım fiyatı değişimi, fason bedeli ve parti sonucu simüle edilmiştir; işletme kaydı değildir.</x:v>
      </x:c>
    </x:row>
    <x:row r="457" ht="22" customHeight="1">
      <x:c r="A457" t="str">
        <x:v>SUC-0456</x:v>
      </x:c>
      <x:c r="B457" s="36" t="n">
        <x:v>46294</x:v>
      </x:c>
      <x:c r="C457" t="str">
        <x:v>Karadeniz</x:v>
      </x:c>
      <x:c r="D457" t="str">
        <x:v>MEB_STANDART</x:v>
      </x:c>
      <x:c r="E457" t="str">
        <x:v>Kurum içi</x:v>
      </x:c>
      <x:c r="F457" s="42" t="str">
        <x:v>SENTETİK/SİMÜLE — gerçek parti kaydı değildir</x:v>
      </x:c>
      <x:c r="G457" s="38" t="n">
        <x:v>173.163</x:v>
      </x:c>
      <x:c r="H457" s="38" t="n">
        <x:v>53.733</x:v>
      </x:c>
      <x:c r="I457" s="38" t="n">
        <x:v>11.325</x:v>
      </x:c>
      <x:c r="J457" s="38" t="n">
        <x:v>6.257</x:v>
      </x:c>
      <x:c r="K457" s="38" t="n">
        <x:v>2.462</x:v>
      </x:c>
      <x:c r="L457" s="38" t="n">
        <x:f>SUM(G457:K457)</x:f>
        <x:v>246.94</x:v>
      </x:c>
      <x:c r="M457" s="38" t="n">
        <x:v>311.371</x:v>
      </x:c>
      <x:c r="N457" s="38" t="n">
        <x:v>602.15</x:v>
      </x:c>
      <x:c r="O457" s="38" t="n">
        <x:v>447.55</x:v>
      </x:c>
      <x:c r="P457" s="38" t="n">
        <x:v>669.9</x:v>
      </x:c>
      <x:c r="Q457" s="38" t="n">
        <x:v>19.88</x:v>
      </x:c>
      <x:c r="R457" s="38" t="n">
        <x:v>43.7475</x:v>
      </x:c>
      <x:c r="S457" s="38" t="n">
        <x:v>91.59</x:v>
      </x:c>
      <x:c r="T457" s="40" t="n">
        <x:v>31.5</x:v>
      </x:c>
      <x:c r="U457" s="40" t="n">
        <x:v>1.23</x:v>
      </x:c>
      <x:c r="V457" s="38" t="n">
        <x:f>L457*(1-T457/100)*(1-U457/100)</x:f>
        <x:v>167.07330703000002</x:v>
      </x:c>
      <x:c r="W457" s="38" t="n">
        <x:f>G457*N457</x:f>
        <x:v>104270.10045</x:v>
      </x:c>
      <x:c r="X457" s="38" t="n">
        <x:f>H457*O457</x:f>
        <x:v>24048.204149999998</x:v>
      </x:c>
      <x:c r="Y457" s="38" t="n">
        <x:f>I457*P457</x:f>
        <x:v>7586.617499999999</x:v>
      </x:c>
      <x:c r="Z457" s="38" t="n">
        <x:f>J457*Q457+K457*P457</x:f>
        <x:v>1773.68296</x:v>
      </x:c>
      <x:c r="AA457" s="38" t="n">
        <x:f>M457*R457</x:f>
        <x:v>13621.7028225</x:v>
      </x:c>
      <x:c r="AB457" s="38" t="n">
        <x:f>SUM(W457:AA457)</x:f>
        <x:v>151300.3078825</x:v>
      </x:c>
      <x:c r="AC457" s="38" t="n">
        <x:v>14.88</x:v>
      </x:c>
      <x:c r="AD457" s="38" t="n">
        <x:v>174.33</x:v>
      </x:c>
      <x:c r="AE457" s="38" t="n">
        <x:v>108.13</x:v>
      </x:c>
      <x:c r="AF457" s="38" t="n">
        <x:v>4.8148</x:v>
      </x:c>
      <x:c r="AG457" s="38" t="n">
        <x:v>5.47</x:v>
      </x:c>
      <x:c r="AH457" s="38" t="n">
        <x:f>IF(E457="Fason",L457*S457,0)</x:f>
        <x:v>0</x:v>
      </x:c>
      <x:c r="AI457" s="38" t="n">
        <x:f>IF(E457="Kurum içi",AC457*AD457+AE457*AF457+AB457*12%,0)</x:f>
        <x:v>21270.6916699</x:v>
      </x:c>
      <x:c r="AJ457" s="38" t="n">
        <x:f>V457*AG457</x:f>
        <x:v>913.8909894541001</x:v>
      </x:c>
      <x:c r="AK457" s="38" t="n">
        <x:f>AB457*2%</x:f>
        <x:v>3026.00615765</x:v>
      </x:c>
      <x:c r="AL457" s="38" t="n">
        <x:f>AB457+AH457+AI457+AJ457+AK457</x:f>
        <x:v>176510.8966995041</x:v>
      </x:c>
      <x:c r="AM457" s="38" t="n">
        <x:f>AL457/V457</x:f>
        <x:v>1056.4877169026736</x:v>
      </x:c>
      <x:c r="AN457" s="40" t="n">
        <x:f>(W457+X457)/AL457*100</x:f>
        <x:v>72.69710085856728</x:v>
      </x:c>
      <x:c r="AO457" s="28" t="str">
        <x:v>R01-R20; ilgili satırdaki bölgesel fiyat ve maliyet varsayımları</x:v>
      </x:c>
      <x:c r="AP457" s="28" t="str">
        <x:v>Girdi miktarları, alım fiyatı değişimi, fason bedeli ve parti sonucu simüle edilmiştir; işletme kaydı değildir.</x:v>
      </x:c>
    </x:row>
    <x:row r="458" ht="22" customHeight="1">
      <x:c r="A458" t="str">
        <x:v>SUC-0457</x:v>
      </x:c>
      <x:c r="B458" s="36" t="n">
        <x:v>46276</x:v>
      </x:c>
      <x:c r="C458" t="str">
        <x:v>Ege</x:v>
      </x:c>
      <x:c r="D458" t="str">
        <x:v>ERZURUM_CI</x:v>
      </x:c>
      <x:c r="E458" t="str">
        <x:v>Kurum içi</x:v>
      </x:c>
      <x:c r="F458" s="42" t="str">
        <x:v>SENTETİK/SİMÜLE — gerçek parti kaydı değildir</x:v>
      </x:c>
      <x:c r="G458" s="38" t="n">
        <x:v>302.905</x:v>
      </x:c>
      <x:c r="H458" s="38" t="n">
        <x:v>50.947</x:v>
      </x:c>
      <x:c r="I458" s="38" t="n">
        <x:v>16.648</x:v>
      </x:c>
      <x:c r="J458" s="38" t="n">
        <x:v>6.432</x:v>
      </x:c>
      <x:c r="K458" s="38" t="n">
        <x:v>0.399</x:v>
      </x:c>
      <x:c r="L458" s="38" t="n">
        <x:f>SUM(G458:K458)</x:f>
        <x:v>377.331</x:v>
      </x:c>
      <x:c r="M458" s="38" t="n">
        <x:v>507.658</x:v>
      </x:c>
      <x:c r="N458" s="38" t="n">
        <x:v>591.8</x:v>
      </x:c>
      <x:c r="O458" s="38" t="n">
        <x:v>472.46</x:v>
      </x:c>
      <x:c r="P458" s="38" t="n">
        <x:v>550</x:v>
      </x:c>
      <x:c r="Q458" s="38" t="n">
        <x:v>19.88</x:v>
      </x:c>
      <x:c r="R458" s="38" t="n">
        <x:v>43.7475</x:v>
      </x:c>
      <x:c r="S458" s="38" t="n">
        <x:v>82.31</x:v>
      </x:c>
      <x:c r="T458" s="40" t="n">
        <x:v>22.38</x:v>
      </x:c>
      <x:c r="U458" s="40" t="n">
        <x:v>0.85</x:v>
      </x:c>
      <x:c r="V458" s="38" t="n">
        <x:f>L458*(1-T458/100)*(1-U458/100)</x:f>
        <x:v>290.3948054613</x:v>
      </x:c>
      <x:c r="W458" s="38" t="n">
        <x:f>G458*N458</x:f>
        <x:v>179259.17899999997</x:v>
      </x:c>
      <x:c r="X458" s="38" t="n">
        <x:f>H458*O458</x:f>
        <x:v>24070.41962</x:v>
      </x:c>
      <x:c r="Y458" s="38" t="n">
        <x:f>I458*P458</x:f>
        <x:v>9156.4</x:v>
      </x:c>
      <x:c r="Z458" s="38" t="n">
        <x:f>J458*Q458+K458*P458</x:f>
        <x:v>347.31816000000003</x:v>
      </x:c>
      <x:c r="AA458" s="38" t="n">
        <x:f>M458*R458</x:f>
        <x:v>22208.768355</x:v>
      </x:c>
      <x:c r="AB458" s="38" t="n">
        <x:f>SUM(W458:AA458)</x:f>
        <x:v>235042.08513499997</x:v>
      </x:c>
      <x:c r="AC458" s="38" t="n">
        <x:v>15.44</x:v>
      </x:c>
      <x:c r="AD458" s="38" t="n">
        <x:v>174.33</x:v>
      </x:c>
      <x:c r="AE458" s="38" t="n">
        <x:v>139.29</x:v>
      </x:c>
      <x:c r="AF458" s="38" t="n">
        <x:v>4.8148</x:v>
      </x:c>
      <x:c r="AG458" s="38" t="n">
        <x:v>5.38</x:v>
      </x:c>
      <x:c r="AH458" s="38" t="n">
        <x:f>IF(E458="Fason",L458*S458,0)</x:f>
        <x:v>0</x:v>
      </x:c>
      <x:c r="AI458" s="38" t="n">
        <x:f>IF(E458="Kurum içi",AC458*AD458+AE458*AF458+AB458*12%,0)</x:f>
        <x:v>31567.358908199993</x:v>
      </x:c>
      <x:c r="AJ458" s="38" t="n">
        <x:f>V458*AG458</x:f>
        <x:v>1562.3240533817939</x:v>
      </x:c>
      <x:c r="AK458" s="38" t="n">
        <x:f>AB458*2%</x:f>
        <x:v>4700.8417027</x:v>
      </x:c>
      <x:c r="AL458" s="38" t="n">
        <x:f>AB458+AH458+AI458+AJ458+AK458</x:f>
        <x:v>272872.60979928175</x:v>
      </x:c>
      <x:c r="AM458" s="38" t="n">
        <x:f>AL458/V458</x:f>
        <x:v>939.6607813484</x:v>
      </x:c>
      <x:c r="AN458" s="40" t="n">
        <x:f>(W458+X458)/AL458*100</x:f>
        <x:v>74.5144772022242</x:v>
      </x:c>
      <x:c r="AO458" s="28" t="str">
        <x:v>R01-R20; ilgili satırdaki bölgesel fiyat ve maliyet varsayımları</x:v>
      </x:c>
      <x:c r="AP458" s="28" t="str">
        <x:v>Girdi miktarları, alım fiyatı değişimi, fason bedeli ve parti sonucu simüle edilmiştir; işletme kaydı değildir.</x:v>
      </x:c>
    </x:row>
    <x:row r="459" ht="22" customHeight="1">
      <x:c r="A459" t="str">
        <x:v>SUC-0458</x:v>
      </x:c>
      <x:c r="B459" s="36" t="n">
        <x:v>46287</x:v>
      </x:c>
      <x:c r="C459" t="str">
        <x:v>Doğu Anadolu</x:v>
      </x:c>
      <x:c r="D459" t="str">
        <x:v>MEB_STANDART</x:v>
      </x:c>
      <x:c r="E459" t="str">
        <x:v>Fason</x:v>
      </x:c>
      <x:c r="F459" s="42" t="str">
        <x:v>SENTETİK/SİMÜLE — gerçek parti kaydı değildir</x:v>
      </x:c>
      <x:c r="G459" s="38" t="n">
        <x:v>81.649</x:v>
      </x:c>
      <x:c r="H459" s="38" t="n">
        <x:v>25.428</x:v>
      </x:c>
      <x:c r="I459" s="38" t="n">
        <x:v>5.114</x:v>
      </x:c>
      <x:c r="J459" s="38" t="n">
        <x:v>2.949</x:v>
      </x:c>
      <x:c r="K459" s="38" t="n">
        <x:v>1.223</x:v>
      </x:c>
      <x:c r="L459" s="38" t="n">
        <x:f>SUM(G459:K459)</x:f>
        <x:v>116.363</x:v>
      </x:c>
      <x:c r="M459" s="38" t="n">
        <x:v>154.408</x:v>
      </x:c>
      <x:c r="N459" s="38" t="n">
        <x:v>605.02</x:v>
      </x:c>
      <x:c r="O459" s="38" t="n">
        <x:v>457.04</x:v>
      </x:c>
      <x:c r="P459" s="38" t="n">
        <x:v>400</x:v>
      </x:c>
      <x:c r="Q459" s="38" t="n">
        <x:v>19.88</x:v>
      </x:c>
      <x:c r="R459" s="38" t="n">
        <x:v>43.7475</x:v>
      </x:c>
      <x:c r="S459" s="38" t="n">
        <x:v>96.5</x:v>
      </x:c>
      <x:c r="T459" s="40" t="n">
        <x:v>17.3</x:v>
      </x:c>
      <x:c r="U459" s="40" t="n">
        <x:v>0.61</x:v>
      </x:c>
      <x:c r="V459" s="38" t="n">
        <x:f>L459*(1-T459/100)*(1-U459/100)</x:f>
        <x:v>95.6451845739</x:v>
      </x:c>
      <x:c r="W459" s="38" t="n">
        <x:f>G459*N459</x:f>
        <x:v>49399.27798</x:v>
      </x:c>
      <x:c r="X459" s="38" t="n">
        <x:f>H459*O459</x:f>
        <x:v>11621.613120000002</x:v>
      </x:c>
      <x:c r="Y459" s="38" t="n">
        <x:f>I459*P459</x:f>
        <x:v>2045.6</x:v>
      </x:c>
      <x:c r="Z459" s="38" t="n">
        <x:f>J459*Q459+K459*P459</x:f>
        <x:v>547.8261200000001</x:v>
      </x:c>
      <x:c r="AA459" s="38" t="n">
        <x:f>M459*R459</x:f>
        <x:v>6754.9639799999995</x:v>
      </x:c>
      <x:c r="AB459" s="38" t="n">
        <x:f>SUM(W459:AA459)</x:f>
        <x:v>70369.2812</x:v>
      </x:c>
      <x:c r="AC459" s="38" t="n">
        <x:v>8</x:v>
      </x:c>
      <x:c r="AD459" s="38" t="n">
        <x:v>174.33</x:v>
      </x:c>
      <x:c r="AE459" s="38" t="n">
        <x:v>44.82</x:v>
      </x:c>
      <x:c r="AF459" s="38" t="n">
        <x:v>4.8148</x:v>
      </x:c>
      <x:c r="AG459" s="38" t="n">
        <x:v>5.81</x:v>
      </x:c>
      <x:c r="AH459" s="38" t="n">
        <x:f>IF(E459="Fason",L459*S459,0)</x:f>
        <x:v>11229.0295</x:v>
      </x:c>
      <x:c r="AI459" s="38" t="n">
        <x:f>IF(E459="Kurum içi",AC459*AD459+AE459*AF459+AB459*12%,0)</x:f>
        <x:v>0</x:v>
      </x:c>
      <x:c r="AJ459" s="38" t="n">
        <x:f>V459*AG459</x:f>
        <x:v>555.698522374359</x:v>
      </x:c>
      <x:c r="AK459" s="38" t="n">
        <x:f>AB459*2%</x:f>
        <x:v>1407.385624</x:v>
      </x:c>
      <x:c r="AL459" s="38" t="n">
        <x:f>AB459+AH459+AI459+AJ459+AK459</x:f>
        <x:v>83561.39484637436</x:v>
      </x:c>
      <x:c r="AM459" s="38" t="n">
        <x:f>AL459/V459</x:f>
        <x:v>873.6602393381432</x:v>
      </x:c>
      <x:c r="AN459" s="40" t="n">
        <x:f>(W459+X459)/AL459*100</x:f>
        <x:v>73.02521841836827</x:v>
      </x:c>
      <x:c r="AO459" s="28" t="str">
        <x:v>R01-R20; ilgili satırdaki bölgesel fiyat ve maliyet varsayımları</x:v>
      </x:c>
      <x:c r="AP459" s="28" t="str">
        <x:v>Girdi miktarları, alım fiyatı değişimi, fason bedeli ve parti sonucu simüle edilmiştir; işletme kaydı değildir.</x:v>
      </x:c>
    </x:row>
    <x:row r="460" ht="22" customHeight="1">
      <x:c r="A460" t="str">
        <x:v>SUC-0459</x:v>
      </x:c>
      <x:c r="B460" s="36" t="n">
        <x:v>46308</x:v>
      </x:c>
      <x:c r="C460" t="str">
        <x:v>Karadeniz</x:v>
      </x:c>
      <x:c r="D460" t="str">
        <x:v>ERZURUM_CI</x:v>
      </x:c>
      <x:c r="E460" t="str">
        <x:v>Kurum içi</x:v>
      </x:c>
      <x:c r="F460" s="42" t="str">
        <x:v>SENTETİK/SİMÜLE — gerçek parti kaydı değildir</x:v>
      </x:c>
      <x:c r="G460" s="38" t="n">
        <x:v>207.514</x:v>
      </x:c>
      <x:c r="H460" s="38" t="n">
        <x:v>37.653</x:v>
      </x:c>
      <x:c r="I460" s="38" t="n">
        <x:v>12.96</x:v>
      </x:c>
      <x:c r="J460" s="38" t="n">
        <x:v>3.751</x:v>
      </x:c>
      <x:c r="K460" s="38" t="n">
        <x:v>0.17</x:v>
      </x:c>
      <x:c r="L460" s="38" t="n">
        <x:f>SUM(G460:K460)</x:f>
        <x:v>262.048</x:v>
      </x:c>
      <x:c r="M460" s="38" t="n">
        <x:v>303.575</x:v>
      </x:c>
      <x:c r="N460" s="38" t="n">
        <x:v>607.16</x:v>
      </x:c>
      <x:c r="O460" s="38" t="n">
        <x:v>444.91</x:v>
      </x:c>
      <x:c r="P460" s="38" t="n">
        <x:v>550</x:v>
      </x:c>
      <x:c r="Q460" s="38" t="n">
        <x:v>19.88</x:v>
      </x:c>
      <x:c r="R460" s="38" t="n">
        <x:v>43.7475</x:v>
      </x:c>
      <x:c r="S460" s="38" t="n">
        <x:v>85.79</x:v>
      </x:c>
      <x:c r="T460" s="40" t="n">
        <x:v>18.38</x:v>
      </x:c>
      <x:c r="U460" s="40" t="n">
        <x:v>0.53</x:v>
      </x:c>
      <x:c r="V460" s="38" t="n">
        <x:f>L460*(1-T460/100)*(1-U460/100)</x:f>
        <x:v>212.74999463872004</x:v>
      </x:c>
      <x:c r="W460" s="38" t="n">
        <x:f>G460*N460</x:f>
        <x:v>125994.20024</x:v>
      </x:c>
      <x:c r="X460" s="38" t="n">
        <x:f>H460*O460</x:f>
        <x:v>16752.19623</x:v>
      </x:c>
      <x:c r="Y460" s="38" t="n">
        <x:f>I460*P460</x:f>
        <x:v>7128.000000000001</x:v>
      </x:c>
      <x:c r="Z460" s="38" t="n">
        <x:f>J460*Q460+K460*P460</x:f>
        <x:v>168.06988</x:v>
      </x:c>
      <x:c r="AA460" s="38" t="n">
        <x:f>M460*R460</x:f>
        <x:v>13280.6473125</x:v>
      </x:c>
      <x:c r="AB460" s="38" t="n">
        <x:f>SUM(W460:AA460)</x:f>
        <x:v>163323.1136625</x:v>
      </x:c>
      <x:c r="AC460" s="38" t="n">
        <x:v>15.4</x:v>
      </x:c>
      <x:c r="AD460" s="38" t="n">
        <x:v>174.33</x:v>
      </x:c>
      <x:c r="AE460" s="38" t="n">
        <x:v>125.22</x:v>
      </x:c>
      <x:c r="AF460" s="38" t="n">
        <x:v>4.8148</x:v>
      </x:c>
      <x:c r="AG460" s="38" t="n">
        <x:v>5.57</x:v>
      </x:c>
      <x:c r="AH460" s="38" t="n">
        <x:f>IF(E460="Fason",L460*S460,0)</x:f>
        <x:v>0</x:v>
      </x:c>
      <x:c r="AI460" s="38" t="n">
        <x:f>IF(E460="Kurum içi",AC460*AD460+AE460*AF460+AB460*12%,0)</x:f>
        <x:v>22886.3648955</x:v>
      </x:c>
      <x:c r="AJ460" s="38" t="n">
        <x:f>V460*AG460</x:f>
        <x:v>1185.0174701376707</x:v>
      </x:c>
      <x:c r="AK460" s="38" t="n">
        <x:f>AB460*2%</x:f>
        <x:v>3266.4622732499997</x:v>
      </x:c>
      <x:c r="AL460" s="38" t="n">
        <x:f>AB460+AH460+AI460+AJ460+AK460</x:f>
        <x:v>190660.9583013877</x:v>
      </x:c>
      <x:c r="AM460" s="38" t="n">
        <x:f>AL460/V460</x:f>
        <x:v>896.1737396287944</x:v>
      </x:c>
      <x:c r="AN460" s="40" t="n">
        <x:f>(W460+X460)/AL460*100</x:f>
        <x:v>74.86923266395911</x:v>
      </x:c>
      <x:c r="AO460" s="28" t="str">
        <x:v>R01-R20; ilgili satırdaki bölgesel fiyat ve maliyet varsayımları</x:v>
      </x:c>
      <x:c r="AP460" s="28" t="str">
        <x:v>Girdi miktarları, alım fiyatı değişimi, fason bedeli ve parti sonucu simüle edilmiştir; işletme kaydı değildir.</x:v>
      </x:c>
    </x:row>
    <x:row r="461" ht="22" customHeight="1">
      <x:c r="A461" t="str">
        <x:v>SUC-0460</x:v>
      </x:c>
      <x:c r="B461" s="36" t="n">
        <x:v>46273</x:v>
      </x:c>
      <x:c r="C461" t="str">
        <x:v>Ege</x:v>
      </x:c>
      <x:c r="D461" t="str">
        <x:v>ERZURUM_CI</x:v>
      </x:c>
      <x:c r="E461" t="str">
        <x:v>Fason</x:v>
      </x:c>
      <x:c r="F461" s="42" t="str">
        <x:v>SENTETİK/SİMÜLE — gerçek parti kaydı değildir</x:v>
      </x:c>
      <x:c r="G461" s="38" t="n">
        <x:v>161.212</x:v>
      </x:c>
      <x:c r="H461" s="38" t="n">
        <x:v>27.916</x:v>
      </x:c>
      <x:c r="I461" s="38" t="n">
        <x:v>9.011</x:v>
      </x:c>
      <x:c r="J461" s="38" t="n">
        <x:v>2.977</x:v>
      </x:c>
      <x:c r="K461" s="38" t="n">
        <x:v>0.02</x:v>
      </x:c>
      <x:c r="L461" s="38" t="n">
        <x:f>SUM(G461:K461)</x:f>
        <x:v>201.136</x:v>
      </x:c>
      <x:c r="M461" s="38" t="n">
        <x:v>262.514</x:v>
      </x:c>
      <x:c r="N461" s="38" t="n">
        <x:v>607.37</x:v>
      </x:c>
      <x:c r="O461" s="38" t="n">
        <x:v>470.98</x:v>
      </x:c>
      <x:c r="P461" s="38" t="n">
        <x:v>669.9</x:v>
      </x:c>
      <x:c r="Q461" s="38" t="n">
        <x:v>19.88</x:v>
      </x:c>
      <x:c r="R461" s="38" t="n">
        <x:v>43.7475</x:v>
      </x:c>
      <x:c r="S461" s="38" t="n">
        <x:v>87.55</x:v>
      </x:c>
      <x:c r="T461" s="40" t="n">
        <x:v>21.52</x:v>
      </x:c>
      <x:c r="U461" s="40" t="n">
        <x:v>1.79</x:v>
      </x:c>
      <x:c r="V461" s="38" t="n">
        <x:f>L461*(1-T461/100)*(1-U461/100)</x:f>
        <x:v>155.02599036287998</x:v>
      </x:c>
      <x:c r="W461" s="38" t="n">
        <x:f>G461*N461</x:f>
        <x:v>97915.33244</x:v>
      </x:c>
      <x:c r="X461" s="38" t="n">
        <x:f>H461*O461</x:f>
        <x:v>13147.877680000001</x:v>
      </x:c>
      <x:c r="Y461" s="38" t="n">
        <x:f>I461*P461</x:f>
        <x:v>6036.468899999999</x:v>
      </x:c>
      <x:c r="Z461" s="38" t="n">
        <x:f>J461*Q461+K461*P461</x:f>
        <x:v>72.58076</x:v>
      </x:c>
      <x:c r="AA461" s="38" t="n">
        <x:f>M461*R461</x:f>
        <x:v>11484.331215</x:v>
      </x:c>
      <x:c r="AB461" s="38" t="n">
        <x:f>SUM(W461:AA461)</x:f>
        <x:v>128656.59099499999</x:v>
      </x:c>
      <x:c r="AC461" s="38" t="n">
        <x:v>13.2</x:v>
      </x:c>
      <x:c r="AD461" s="38" t="n">
        <x:v>174.33</x:v>
      </x:c>
      <x:c r="AE461" s="38" t="n">
        <x:v>60.34</x:v>
      </x:c>
      <x:c r="AF461" s="38" t="n">
        <x:v>4.8148</x:v>
      </x:c>
      <x:c r="AG461" s="38" t="n">
        <x:v>5.18</x:v>
      </x:c>
      <x:c r="AH461" s="38" t="n">
        <x:f>IF(E461="Fason",L461*S461,0)</x:f>
        <x:v>17609.4568</x:v>
      </x:c>
      <x:c r="AI461" s="38" t="n">
        <x:f>IF(E461="Kurum içi",AC461*AD461+AE461*AF461+AB461*12%,0)</x:f>
        <x:v>0</x:v>
      </x:c>
      <x:c r="AJ461" s="38" t="n">
        <x:f>V461*AG461</x:f>
        <x:v>803.0346300797182</x:v>
      </x:c>
      <x:c r="AK461" s="38" t="n">
        <x:f>AB461*2%</x:f>
        <x:v>2573.1318198999998</x:v>
      </x:c>
      <x:c r="AL461" s="38" t="n">
        <x:f>AB461+AH461+AI461+AJ461+AK461</x:f>
        <x:v>149642.21424497972</x:v>
      </x:c>
      <x:c r="AM461" s="38" t="n">
        <x:f>AL461/V461</x:f>
        <x:v>965.2717837486599</x:v>
      </x:c>
      <x:c r="AN461" s="40" t="n">
        <x:f>(W461+X461)/AL461*100</x:f>
        <x:v>74.21917049301214</x:v>
      </x:c>
      <x:c r="AO461" s="28" t="str">
        <x:v>R01-R20; ilgili satırdaki bölgesel fiyat ve maliyet varsayımları</x:v>
      </x:c>
      <x:c r="AP461" s="28" t="str">
        <x:v>Girdi miktarları, alım fiyatı değişimi, fason bedeli ve parti sonucu simüle edilmiştir; işletme kaydı değildir.</x:v>
      </x:c>
    </x:row>
    <x:row r="462" ht="22" customHeight="1">
      <x:c r="A462" t="str">
        <x:v>SUC-0461</x:v>
      </x:c>
      <x:c r="B462" s="36" t="n">
        <x:v>46268</x:v>
      </x:c>
      <x:c r="C462" t="str">
        <x:v>Doğu Anadolu</x:v>
      </x:c>
      <x:c r="D462" t="str">
        <x:v>MEB_STANDART</x:v>
      </x:c>
      <x:c r="E462" t="str">
        <x:v>Kurum içi</x:v>
      </x:c>
      <x:c r="F462" s="42" t="str">
        <x:v>SENTETİK/SİMÜLE — gerçek parti kaydı değildir</x:v>
      </x:c>
      <x:c r="G462" s="38" t="n">
        <x:v>77.887</x:v>
      </x:c>
      <x:c r="H462" s="38" t="n">
        <x:v>24.185</x:v>
      </x:c>
      <x:c r="I462" s="38" t="n">
        <x:v>4.888</x:v>
      </x:c>
      <x:c r="J462" s="38" t="n">
        <x:v>2.887</x:v>
      </x:c>
      <x:c r="K462" s="38" t="n">
        <x:v>1.129</x:v>
      </x:c>
      <x:c r="L462" s="38" t="n">
        <x:f>SUM(G462:K462)</x:f>
        <x:v>110.97600000000001</x:v>
      </x:c>
      <x:c r="M462" s="38" t="n">
        <x:v>135.72</x:v>
      </x:c>
      <x:c r="N462" s="38" t="n">
        <x:v>576.3</x:v>
      </x:c>
      <x:c r="O462" s="38" t="n">
        <x:v>473.79</x:v>
      </x:c>
      <x:c r="P462" s="38" t="n">
        <x:v>669.9</x:v>
      </x:c>
      <x:c r="Q462" s="38" t="n">
        <x:v>19.88</x:v>
      </x:c>
      <x:c r="R462" s="38" t="n">
        <x:v>43.7475</x:v>
      </x:c>
      <x:c r="S462" s="38" t="n">
        <x:v>70.3</x:v>
      </x:c>
      <x:c r="T462" s="40" t="n">
        <x:v>16.63</x:v>
      </x:c>
      <x:c r="U462" s="40" t="n">
        <x:v>0.39</x:v>
      </x:c>
      <x:c r="V462" s="38" t="n">
        <x:f>L462*(1-T462/100)*(1-U462/100)</x:f>
        <x:v>92.15986050432001</x:v>
      </x:c>
      <x:c r="W462" s="38" t="n">
        <x:f>G462*N462</x:f>
        <x:v>44886.278099999996</x:v>
      </x:c>
      <x:c r="X462" s="38" t="n">
        <x:f>H462*O462</x:f>
        <x:v>11458.61115</x:v>
      </x:c>
      <x:c r="Y462" s="38" t="n">
        <x:f>I462*P462</x:f>
        <x:v>3274.4712</x:v>
      </x:c>
      <x:c r="Z462" s="38" t="n">
        <x:f>J462*Q462+K462*P462</x:f>
        <x:v>813.71066</x:v>
      </x:c>
      <x:c r="AA462" s="38" t="n">
        <x:f>M462*R462</x:f>
        <x:v>5937.4107</x:v>
      </x:c>
      <x:c r="AB462" s="38" t="n">
        <x:f>SUM(W462:AA462)</x:f>
        <x:v>66370.48181</x:v>
      </x:c>
      <x:c r="AC462" s="38" t="n">
        <x:v>6.84</x:v>
      </x:c>
      <x:c r="AD462" s="38" t="n">
        <x:v>174.33</x:v>
      </x:c>
      <x:c r="AE462" s="38" t="n">
        <x:v>47.15</x:v>
      </x:c>
      <x:c r="AF462" s="38" t="n">
        <x:v>4.8148</x:v>
      </x:c>
      <x:c r="AG462" s="38" t="n">
        <x:v>5.67</x:v>
      </x:c>
      <x:c r="AH462" s="38" t="n">
        <x:f>IF(E462="Fason",L462*S462,0)</x:f>
        <x:v>0</x:v>
      </x:c>
      <x:c r="AI462" s="38" t="n">
        <x:f>IF(E462="Kurum içi",AC462*AD462+AE462*AF462+AB462*12%,0)</x:f>
        <x:v>9383.8928372</x:v>
      </x:c>
      <x:c r="AJ462" s="38" t="n">
        <x:f>V462*AG462</x:f>
        <x:v>522.5464090594944</x:v>
      </x:c>
      <x:c r="AK462" s="38" t="n">
        <x:f>AB462*2%</x:f>
        <x:v>1327.4096362</x:v>
      </x:c>
      <x:c r="AL462" s="38" t="n">
        <x:f>AB462+AH462+AI462+AJ462+AK462</x:f>
        <x:v>77604.33069245948</x:v>
      </x:c>
      <x:c r="AM462" s="38" t="n">
        <x:f>AL462/V462</x:f>
        <x:v>842.062154475828</x:v>
      </x:c>
      <x:c r="AN462" s="40" t="n">
        <x:f>(W462+X462)/AL462*100</x:f>
        <x:v>72.60534141231221</x:v>
      </x:c>
      <x:c r="AO462" s="28" t="str">
        <x:v>R01-R20; ilgili satırdaki bölgesel fiyat ve maliyet varsayımları</x:v>
      </x:c>
      <x:c r="AP462" s="28" t="str">
        <x:v>Girdi miktarları, alım fiyatı değişimi, fason bedeli ve parti sonucu simüle edilmiştir; işletme kaydı değildir.</x:v>
      </x:c>
    </x:row>
    <x:row r="463" ht="22" customHeight="1">
      <x:c r="A463" t="str">
        <x:v>SUC-0462</x:v>
      </x:c>
      <x:c r="B463" s="36" t="n">
        <x:v>46300</x:v>
      </x:c>
      <x:c r="C463" t="str">
        <x:v>Ege</x:v>
      </x:c>
      <x:c r="D463" t="str">
        <x:v>MEB_STANDART</x:v>
      </x:c>
      <x:c r="E463" t="str">
        <x:v>Kurum içi</x:v>
      </x:c>
      <x:c r="F463" s="42" t="str">
        <x:v>SENTETİK/SİMÜLE — gerçek parti kaydı değildir</x:v>
      </x:c>
      <x:c r="G463" s="38" t="n">
        <x:v>244.329</x:v>
      </x:c>
      <x:c r="H463" s="38" t="n">
        <x:v>79.252</x:v>
      </x:c>
      <x:c r="I463" s="38" t="n">
        <x:v>15.226</x:v>
      </x:c>
      <x:c r="J463" s="38" t="n">
        <x:v>8.091</x:v>
      </x:c>
      <x:c r="K463" s="38" t="n">
        <x:v>4.007</x:v>
      </x:c>
      <x:c r="L463" s="38" t="n">
        <x:f>SUM(G463:K463)</x:f>
        <x:v>350.90500000000003</x:v>
      </x:c>
      <x:c r="M463" s="38" t="n">
        <x:v>438.355</x:v>
      </x:c>
      <x:c r="N463" s="38" t="n">
        <x:v>606.43</x:v>
      </x:c>
      <x:c r="O463" s="38" t="n">
        <x:v>417.07</x:v>
      </x:c>
      <x:c r="P463" s="38" t="n">
        <x:v>669.9</x:v>
      </x:c>
      <x:c r="Q463" s="38" t="n">
        <x:v>19.88</x:v>
      </x:c>
      <x:c r="R463" s="38" t="n">
        <x:v>43.7475</x:v>
      </x:c>
      <x:c r="S463" s="38" t="n">
        <x:v>75.77</x:v>
      </x:c>
      <x:c r="T463" s="40" t="n">
        <x:v>26.01</x:v>
      </x:c>
      <x:c r="U463" s="40" t="n">
        <x:v>1.65</x:v>
      </x:c>
      <x:c r="V463" s="38" t="n">
        <x:f>L463*(1-T463/100)*(1-U463/100)</x:f>
        <x:v>255.35063844325003</x:v>
      </x:c>
      <x:c r="W463" s="38" t="n">
        <x:f>G463*N463</x:f>
        <x:v>148168.43547</x:v>
      </x:c>
      <x:c r="X463" s="38" t="n">
        <x:f>H463*O463</x:f>
        <x:v>33053.63164</x:v>
      </x:c>
      <x:c r="Y463" s="38" t="n">
        <x:f>I463*P463</x:f>
        <x:v>10199.8974</x:v>
      </x:c>
      <x:c r="Z463" s="38" t="n">
        <x:f>J463*Q463+K463*P463</x:f>
        <x:v>2845.13838</x:v>
      </x:c>
      <x:c r="AA463" s="38" t="n">
        <x:f>M463*R463</x:f>
        <x:v>19176.9353625</x:v>
      </x:c>
      <x:c r="AB463" s="38" t="n">
        <x:f>SUM(W463:AA463)</x:f>
        <x:v>213444.03825249997</x:v>
      </x:c>
      <x:c r="AC463" s="38" t="n">
        <x:v>17.16</x:v>
      </x:c>
      <x:c r="AD463" s="38" t="n">
        <x:v>174.33</x:v>
      </x:c>
      <x:c r="AE463" s="38" t="n">
        <x:v>83.79</x:v>
      </x:c>
      <x:c r="AF463" s="38" t="n">
        <x:v>4.8148</x:v>
      </x:c>
      <x:c r="AG463" s="38" t="n">
        <x:v>5.64</x:v>
      </x:c>
      <x:c r="AH463" s="38" t="n">
        <x:f>IF(E463="Fason",L463*S463,0)</x:f>
        <x:v>0</x:v>
      </x:c>
      <x:c r="AI463" s="38" t="n">
        <x:f>IF(E463="Kurum içi",AC463*AD463+AE463*AF463+AB463*12%,0)</x:f>
        <x:v>29008.219482299995</x:v>
      </x:c>
      <x:c r="AJ463" s="38" t="n">
        <x:f>V463*AG463</x:f>
        <x:v>1440.1776008199301</x:v>
      </x:c>
      <x:c r="AK463" s="38" t="n">
        <x:f>AB463*2%</x:f>
        <x:v>4268.880765049999</x:v>
      </x:c>
      <x:c r="AL463" s="38" t="n">
        <x:f>AB463+AH463+AI463+AJ463+AK463</x:f>
        <x:v>248161.3161006699</x:v>
      </x:c>
      <x:c r="AM463" s="38" t="n">
        <x:f>AL463/V463</x:f>
        <x:v>971.8452932547576</x:v>
      </x:c>
      <x:c r="AN463" s="40" t="n">
        <x:f>(W463+X463)/AL463*100</x:f>
        <x:v>73.0259131268005</x:v>
      </x:c>
      <x:c r="AO463" s="28" t="str">
        <x:v>R01-R20; ilgili satırdaki bölgesel fiyat ve maliyet varsayımları</x:v>
      </x:c>
      <x:c r="AP463" s="28" t="str">
        <x:v>Girdi miktarları, alım fiyatı değişimi, fason bedeli ve parti sonucu simüle edilmiştir; işletme kaydı değildir.</x:v>
      </x:c>
    </x:row>
    <x:row r="464" ht="22" customHeight="1">
      <x:c r="A464" t="str">
        <x:v>SUC-0463</x:v>
      </x:c>
      <x:c r="B464" s="36" t="n">
        <x:v>46300</x:v>
      </x:c>
      <x:c r="C464" t="str">
        <x:v>Güneydoğu Anadolu</x:v>
      </x:c>
      <x:c r="D464" t="str">
        <x:v>MEB_STANDART</x:v>
      </x:c>
      <x:c r="E464" t="str">
        <x:v>Kurum içi</x:v>
      </x:c>
      <x:c r="F464" s="42" t="str">
        <x:v>SENTETİK/SİMÜLE — gerçek parti kaydı değildir</x:v>
      </x:c>
      <x:c r="G464" s="38" t="n">
        <x:v>70.228</x:v>
      </x:c>
      <x:c r="H464" s="38" t="n">
        <x:v>21.417</x:v>
      </x:c>
      <x:c r="I464" s="38" t="n">
        <x:v>4.673</x:v>
      </x:c>
      <x:c r="J464" s="38" t="n">
        <x:v>2.536</x:v>
      </x:c>
      <x:c r="K464" s="38" t="n">
        <x:v>1.058</x:v>
      </x:c>
      <x:c r="L464" s="38" t="n">
        <x:f>SUM(G464:K464)</x:f>
        <x:v>99.912</x:v>
      </x:c>
      <x:c r="M464" s="38" t="n">
        <x:v>128.529</x:v>
      </x:c>
      <x:c r="N464" s="38" t="n">
        <x:v>592.53</x:v>
      </x:c>
      <x:c r="O464" s="38" t="n">
        <x:v>427.94</x:v>
      </x:c>
      <x:c r="P464" s="38" t="n">
        <x:v>550</x:v>
      </x:c>
      <x:c r="Q464" s="38" t="n">
        <x:v>19.88</x:v>
      </x:c>
      <x:c r="R464" s="38" t="n">
        <x:v>43.7475</x:v>
      </x:c>
      <x:c r="S464" s="38" t="n">
        <x:v>90.19</x:v>
      </x:c>
      <x:c r="T464" s="40" t="n">
        <x:v>21.26</x:v>
      </x:c>
      <x:c r="U464" s="40" t="n">
        <x:v>1.69</x:v>
      </x:c>
      <x:c r="V464" s="38" t="n">
        <x:f>L464*(1-T464/100)*(1-U464/100)</x:f>
        <x:v>77.34117382128</x:v>
      </x:c>
      <x:c r="W464" s="38" t="n">
        <x:f>G464*N464</x:f>
        <x:v>41612.19684</x:v>
      </x:c>
      <x:c r="X464" s="38" t="n">
        <x:f>H464*O464</x:f>
        <x:v>9165.190980000001</x:v>
      </x:c>
      <x:c r="Y464" s="38" t="n">
        <x:f>I464*P464</x:f>
        <x:v>2570.15</x:v>
      </x:c>
      <x:c r="Z464" s="38" t="n">
        <x:f>J464*Q464+K464*P464</x:f>
        <x:v>632.3156799999999</x:v>
      </x:c>
      <x:c r="AA464" s="38" t="n">
        <x:f>M464*R464</x:f>
        <x:v>5622.8224275</x:v>
      </x:c>
      <x:c r="AB464" s="38" t="n">
        <x:f>SUM(W464:AA464)</x:f>
        <x:v>59602.6759275</x:v>
      </x:c>
      <x:c r="AC464" s="38" t="n">
        <x:v>3.77</x:v>
      </x:c>
      <x:c r="AD464" s="38" t="n">
        <x:v>174.33</x:v>
      </x:c>
      <x:c r="AE464" s="38" t="n">
        <x:v>40.93</x:v>
      </x:c>
      <x:c r="AF464" s="38" t="n">
        <x:v>4.8148</x:v>
      </x:c>
      <x:c r="AG464" s="38" t="n">
        <x:v>5.13</x:v>
      </x:c>
      <x:c r="AH464" s="38" t="n">
        <x:f>IF(E464="Fason",L464*S464,0)</x:f>
        <x:v>0</x:v>
      </x:c>
      <x:c r="AI464" s="38" t="n">
        <x:f>IF(E464="Kurum içi",AC464*AD464+AE464*AF464+AB464*12%,0)</x:f>
        <x:v>8006.6149753</x:v>
      </x:c>
      <x:c r="AJ464" s="38" t="n">
        <x:f>V464*AG464</x:f>
        <x:v>396.76022170316634</x:v>
      </x:c>
      <x:c r="AK464" s="38" t="n">
        <x:f>AB464*2%</x:f>
        <x:v>1192.05351855</x:v>
      </x:c>
      <x:c r="AL464" s="38" t="n">
        <x:f>AB464+AH464+AI464+AJ464+AK464</x:f>
        <x:v>69198.10464305317</x:v>
      </x:c>
      <x:c r="AM464" s="38" t="n">
        <x:f>AL464/V464</x:f>
        <x:v>894.7123663128798</x:v>
      </x:c>
      <x:c r="AN464" s="40" t="n">
        <x:f>(W464+X464)/AL464*100</x:f>
        <x:v>73.37973790167612</x:v>
      </x:c>
      <x:c r="AO464" s="28" t="str">
        <x:v>R01-R20; ilgili satırdaki bölgesel fiyat ve maliyet varsayımları</x:v>
      </x:c>
      <x:c r="AP464" s="28" t="str">
        <x:v>Girdi miktarları, alım fiyatı değişimi, fason bedeli ve parti sonucu simüle edilmiştir; işletme kaydı değildir.</x:v>
      </x:c>
    </x:row>
    <x:row r="465" ht="22" customHeight="1">
      <x:c r="A465" t="str">
        <x:v>SUC-0464</x:v>
      </x:c>
      <x:c r="B465" s="36" t="n">
        <x:v>46277</x:v>
      </x:c>
      <x:c r="C465" t="str">
        <x:v>Doğu Anadolu</x:v>
      </x:c>
      <x:c r="D465" t="str">
        <x:v>ERZURUM_CI</x:v>
      </x:c>
      <x:c r="E465" t="str">
        <x:v>Fason</x:v>
      </x:c>
      <x:c r="F465" s="42" t="str">
        <x:v>SENTETİK/SİMÜLE — gerçek parti kaydı değildir</x:v>
      </x:c>
      <x:c r="G465" s="38" t="n">
        <x:v>154.765</x:v>
      </x:c>
      <x:c r="H465" s="38" t="n">
        <x:v>28.779</x:v>
      </x:c>
      <x:c r="I465" s="38" t="n">
        <x:v>8.941</x:v>
      </x:c>
      <x:c r="J465" s="38" t="n">
        <x:v>3.268</x:v>
      </x:c>
      <x:c r="K465" s="38" t="n">
        <x:v>0.32</x:v>
      </x:c>
      <x:c r="L465" s="38" t="n">
        <x:f>SUM(G465:K465)</x:f>
        <x:v>196.07299999999998</x:v>
      </x:c>
      <x:c r="M465" s="38" t="n">
        <x:v>242.503</x:v>
      </x:c>
      <x:c r="N465" s="38" t="n">
        <x:v>608.96</x:v>
      </x:c>
      <x:c r="O465" s="38" t="n">
        <x:v>418.15</x:v>
      </x:c>
      <x:c r="P465" s="38" t="n">
        <x:v>400</x:v>
      </x:c>
      <x:c r="Q465" s="38" t="n">
        <x:v>19.88</x:v>
      </x:c>
      <x:c r="R465" s="38" t="n">
        <x:v>43.7475</x:v>
      </x:c>
      <x:c r="S465" s="38" t="n">
        <x:v>83.17</x:v>
      </x:c>
      <x:c r="T465" s="40" t="n">
        <x:v>26.3</x:v>
      </x:c>
      <x:c r="U465" s="40" t="n">
        <x:v>1.32</x:v>
      </x:c>
      <x:c r="V465" s="38" t="n">
        <x:f>L465*(1-T465/100)*(1-U465/100)</x:f>
        <x:v>142.5983244268</x:v>
      </x:c>
      <x:c r="W465" s="38" t="n">
        <x:f>G465*N465</x:f>
        <x:v>94245.6944</x:v>
      </x:c>
      <x:c r="X465" s="38" t="n">
        <x:f>H465*O465</x:f>
        <x:v>12033.938849999999</x:v>
      </x:c>
      <x:c r="Y465" s="38" t="n">
        <x:f>I465*P465</x:f>
        <x:v>3576.4</x:v>
      </x:c>
      <x:c r="Z465" s="38" t="n">
        <x:f>J465*Q465+K465*P465</x:f>
        <x:v>192.96784</x:v>
      </x:c>
      <x:c r="AA465" s="38" t="n">
        <x:f>M465*R465</x:f>
        <x:v>10608.8999925</x:v>
      </x:c>
      <x:c r="AB465" s="38" t="n">
        <x:f>SUM(W465:AA465)</x:f>
        <x:v>120657.90108249997</x:v>
      </x:c>
      <x:c r="AC465" s="38" t="n">
        <x:v>7.74</x:v>
      </x:c>
      <x:c r="AD465" s="38" t="n">
        <x:v>174.33</x:v>
      </x:c>
      <x:c r="AE465" s="38" t="n">
        <x:v>82.91</x:v>
      </x:c>
      <x:c r="AF465" s="38" t="n">
        <x:v>4.8148</x:v>
      </x:c>
      <x:c r="AG465" s="38" t="n">
        <x:v>5.48</x:v>
      </x:c>
      <x:c r="AH465" s="38" t="n">
        <x:f>IF(E465="Fason",L465*S465,0)</x:f>
        <x:v>16307.391409999998</x:v>
      </x:c>
      <x:c r="AI465" s="38" t="n">
        <x:f>IF(E465="Kurum içi",AC465*AD465+AE465*AF465+AB465*12%,0)</x:f>
        <x:v>0</x:v>
      </x:c>
      <x:c r="AJ465" s="38" t="n">
        <x:f>V465*AG465</x:f>
        <x:v>781.438817858864</x:v>
      </x:c>
      <x:c r="AK465" s="38" t="n">
        <x:f>AB465*2%</x:f>
        <x:v>2413.1580216499997</x:v>
      </x:c>
      <x:c r="AL465" s="38" t="n">
        <x:f>AB465+AH465+AI465+AJ465+AK465</x:f>
        <x:v>140159.88933200884</x:v>
      </x:c>
      <x:c r="AM465" s="38" t="n">
        <x:f>AL465/V465</x:f>
        <x:v>982.8999737227426</x:v>
      </x:c>
      <x:c r="AN465" s="40" t="n">
        <x:f>(W465+X465)/AL465*100</x:f>
        <x:v>75.82742377760177</x:v>
      </x:c>
      <x:c r="AO465" s="28" t="str">
        <x:v>R01-R20; ilgili satırdaki bölgesel fiyat ve maliyet varsayımları</x:v>
      </x:c>
      <x:c r="AP465" s="28" t="str">
        <x:v>Girdi miktarları, alım fiyatı değişimi, fason bedeli ve parti sonucu simüle edilmiştir; işletme kaydı değildir.</x:v>
      </x:c>
    </x:row>
    <x:row r="466" ht="22" customHeight="1">
      <x:c r="A466" t="str">
        <x:v>SUC-0465</x:v>
      </x:c>
      <x:c r="B466" s="36" t="n">
        <x:v>46313</x:v>
      </x:c>
      <x:c r="C466" t="str">
        <x:v>Ege</x:v>
      </x:c>
      <x:c r="D466" t="str">
        <x:v>ERZURUM_CI</x:v>
      </x:c>
      <x:c r="E466" t="str">
        <x:v>Kurum içi</x:v>
      </x:c>
      <x:c r="F466" s="42" t="str">
        <x:v>SENTETİK/SİMÜLE — gerçek parti kaydı değildir</x:v>
      </x:c>
      <x:c r="G466" s="38" t="n">
        <x:v>197.87</x:v>
      </x:c>
      <x:c r="H466" s="38" t="n">
        <x:v>34.758</x:v>
      </x:c>
      <x:c r="I466" s="38" t="n">
        <x:v>11.45</x:v>
      </x:c>
      <x:c r="J466" s="38" t="n">
        <x:v>3.722</x:v>
      </x:c>
      <x:c r="K466" s="38" t="n">
        <x:v>0.025</x:v>
      </x:c>
      <x:c r="L466" s="38" t="n">
        <x:f>SUM(G466:K466)</x:f>
        <x:v>247.82500000000002</x:v>
      </x:c>
      <x:c r="M466" s="38" t="n">
        <x:v>334.842</x:v>
      </x:c>
      <x:c r="N466" s="38" t="n">
        <x:v>613.24</x:v>
      </x:c>
      <x:c r="O466" s="38" t="n">
        <x:v>474.55</x:v>
      </x:c>
      <x:c r="P466" s="38" t="n">
        <x:v>669.9</x:v>
      </x:c>
      <x:c r="Q466" s="38" t="n">
        <x:v>19.88</x:v>
      </x:c>
      <x:c r="R466" s="38" t="n">
        <x:v>43.7475</x:v>
      </x:c>
      <x:c r="S466" s="38" t="n">
        <x:v>123.3</x:v>
      </x:c>
      <x:c r="T466" s="40" t="n">
        <x:v>18.87</x:v>
      </x:c>
      <x:c r="U466" s="40" t="n">
        <x:v>0.39</x:v>
      </x:c>
      <x:c r="V466" s="38" t="n">
        <x:f>L466*(1-T466/100)*(1-U466/100)</x:f>
        <x:v>200.27628685225002</x:v>
      </x:c>
      <x:c r="W466" s="38" t="n">
        <x:f>G466*N466</x:f>
        <x:v>121341.7988</x:v>
      </x:c>
      <x:c r="X466" s="38" t="n">
        <x:f>H466*O466</x:f>
        <x:v>16494.408900000002</x:v>
      </x:c>
      <x:c r="Y466" s="38" t="n">
        <x:f>I466*P466</x:f>
        <x:v>7670.355</x:v>
      </x:c>
      <x:c r="Z466" s="38" t="n">
        <x:f>J466*Q466+K466*P466</x:f>
        <x:v>90.74086</x:v>
      </x:c>
      <x:c r="AA466" s="38" t="n">
        <x:f>M466*R466</x:f>
        <x:v>14648.500395000001</x:v>
      </x:c>
      <x:c r="AB466" s="38" t="n">
        <x:f>SUM(W466:AA466)</x:f>
        <x:v>160245.803955</x:v>
      </x:c>
      <x:c r="AC466" s="38" t="n">
        <x:v>11.67</x:v>
      </x:c>
      <x:c r="AD466" s="38" t="n">
        <x:v>174.33</x:v>
      </x:c>
      <x:c r="AE466" s="38" t="n">
        <x:v>75.05</x:v>
      </x:c>
      <x:c r="AF466" s="38" t="n">
        <x:v>4.8148</x:v>
      </x:c>
      <x:c r="AG466" s="38" t="n">
        <x:v>5.78</x:v>
      </x:c>
      <x:c r="AH466" s="38" t="n">
        <x:f>IF(E466="Fason",L466*S466,0)</x:f>
        <x:v>0</x:v>
      </x:c>
      <x:c r="AI466" s="38" t="n">
        <x:f>IF(E466="Kurum içi",AC466*AD466+AE466*AF466+AB466*12%,0)</x:f>
        <x:v>21625.2783146</x:v>
      </x:c>
      <x:c r="AJ466" s="38" t="n">
        <x:f>V466*AG466</x:f>
        <x:v>1157.5969380060053</x:v>
      </x:c>
      <x:c r="AK466" s="38" t="n">
        <x:f>AB466*2%</x:f>
        <x:v>3204.9160791000004</x:v>
      </x:c>
      <x:c r="AL466" s="38" t="n">
        <x:f>AB466+AH466+AI466+AJ466+AK466</x:f>
        <x:v>186233.595286706</x:v>
      </x:c>
      <x:c r="AM466" s="38" t="n">
        <x:f>AL466/V466</x:f>
        <x:v>929.8834036407727</x:v>
      </x:c>
      <x:c r="AN466" s="40" t="n">
        <x:f>(W466+X466)/AL466*100</x:f>
        <x:v>74.01253650706879</x:v>
      </x:c>
      <x:c r="AO466" s="28" t="str">
        <x:v>R01-R20; ilgili satırdaki bölgesel fiyat ve maliyet varsayımları</x:v>
      </x:c>
      <x:c r="AP466" s="28" t="str">
        <x:v>Girdi miktarları, alım fiyatı değişimi, fason bedeli ve parti sonucu simüle edilmiştir; işletme kaydı değildir.</x:v>
      </x:c>
    </x:row>
    <x:row r="467" ht="22" customHeight="1">
      <x:c r="A467" t="str">
        <x:v>SUC-0466</x:v>
      </x:c>
      <x:c r="B467" s="36" t="n">
        <x:v>46299</x:v>
      </x:c>
      <x:c r="C467" t="str">
        <x:v>İç Anadolu</x:v>
      </x:c>
      <x:c r="D467" t="str">
        <x:v>ERZURUM_CI</x:v>
      </x:c>
      <x:c r="E467" t="str">
        <x:v>Kurum içi</x:v>
      </x:c>
      <x:c r="F467" s="42" t="str">
        <x:v>SENTETİK/SİMÜLE — gerçek parti kaydı değildir</x:v>
      </x:c>
      <x:c r="G467" s="38" t="n">
        <x:v>73.773</x:v>
      </x:c>
      <x:c r="H467" s="38" t="n">
        <x:v>12.5</x:v>
      </x:c>
      <x:c r="I467" s="38" t="n">
        <x:v>4.487</x:v>
      </x:c>
      <x:c r="J467" s="38" t="n">
        <x:v>1.622</x:v>
      </x:c>
      <x:c r="K467" s="38" t="n">
        <x:v>0.13</x:v>
      </x:c>
      <x:c r="L467" s="38" t="n">
        <x:f>SUM(G467:K467)</x:f>
        <x:v>92.51199999999999</x:v>
      </x:c>
      <x:c r="M467" s="38" t="n">
        <x:v>109.742</x:v>
      </x:c>
      <x:c r="N467" s="38" t="n">
        <x:v>575.82</x:v>
      </x:c>
      <x:c r="O467" s="38" t="n">
        <x:v>436.08</x:v>
      </x:c>
      <x:c r="P467" s="38" t="n">
        <x:v>669.9</x:v>
      </x:c>
      <x:c r="Q467" s="38" t="n">
        <x:v>19.88</x:v>
      </x:c>
      <x:c r="R467" s="38" t="n">
        <x:v>43.7475</x:v>
      </x:c>
      <x:c r="S467" s="38" t="n">
        <x:v>113.12</x:v>
      </x:c>
      <x:c r="T467" s="40" t="n">
        <x:v>17.74</x:v>
      </x:c>
      <x:c r="U467" s="40" t="n">
        <x:v>0.81</x:v>
      </x:c>
      <x:c r="V467" s="38" t="n">
        <x:f>L467*(1-T467/100)*(1-U467/100)</x:f>
        <x:v>75.48395819327999</x:v>
      </x:c>
      <x:c r="W467" s="38" t="n">
        <x:f>G467*N467</x:f>
        <x:v>42479.96886</x:v>
      </x:c>
      <x:c r="X467" s="38" t="n">
        <x:f>H467*O467</x:f>
        <x:v>5451</x:v>
      </x:c>
      <x:c r="Y467" s="38" t="n">
        <x:f>I467*P467</x:f>
        <x:v>3005.8413</x:v>
      </x:c>
      <x:c r="Z467" s="38" t="n">
        <x:f>J467*Q467+K467*P467</x:f>
        <x:v>119.33236</x:v>
      </x:c>
      <x:c r="AA467" s="38" t="n">
        <x:f>M467*R467</x:f>
        <x:v>4800.938145</x:v>
      </x:c>
      <x:c r="AB467" s="38" t="n">
        <x:f>SUM(W467:AA467)</x:f>
        <x:v>55857.080665</x:v>
      </x:c>
      <x:c r="AC467" s="38" t="n">
        <x:v>5.65</x:v>
      </x:c>
      <x:c r="AD467" s="38" t="n">
        <x:v>174.33</x:v>
      </x:c>
      <x:c r="AE467" s="38" t="n">
        <x:v>43.64</x:v>
      </x:c>
      <x:c r="AF467" s="38" t="n">
        <x:v>4.8148</x:v>
      </x:c>
      <x:c r="AG467" s="38" t="n">
        <x:v>5.36</x:v>
      </x:c>
      <x:c r="AH467" s="38" t="n">
        <x:f>IF(E467="Fason",L467*S467,0)</x:f>
        <x:v>0</x:v>
      </x:c>
      <x:c r="AI467" s="38" t="n">
        <x:f>IF(E467="Kurum içi",AC467*AD467+AE467*AF467+AB467*12%,0)</x:f>
        <x:v>7897.9320517999995</x:v>
      </x:c>
      <x:c r="AJ467" s="38" t="n">
        <x:f>V467*AG467</x:f>
        <x:v>404.5940159159808</x:v>
      </x:c>
      <x:c r="AK467" s="38" t="n">
        <x:f>AB467*2%</x:f>
        <x:v>1117.1416133</x:v>
      </x:c>
      <x:c r="AL467" s="38" t="n">
        <x:f>AB467+AH467+AI467+AJ467+AK467</x:f>
        <x:v>65276.748346015986</x:v>
      </x:c>
      <x:c r="AM467" s="38" t="n">
        <x:f>AL467/V467</x:f>
        <x:v>864.7764360590631</x:v>
      </x:c>
      <x:c r="AN467" s="40" t="n">
        <x:f>(W467+X467)/AL467*100</x:f>
        <x:v>73.42732301236839</x:v>
      </x:c>
      <x:c r="AO467" s="28" t="str">
        <x:v>R01-R20; ilgili satırdaki bölgesel fiyat ve maliyet varsayımları</x:v>
      </x:c>
      <x:c r="AP467" s="28" t="str">
        <x:v>Girdi miktarları, alım fiyatı değişimi, fason bedeli ve parti sonucu simüle edilmiştir; işletme kaydı değildir.</x:v>
      </x:c>
    </x:row>
    <x:row r="468" ht="22" customHeight="1">
      <x:c r="A468" t="str">
        <x:v>SUC-0467</x:v>
      </x:c>
      <x:c r="B468" s="36" t="n">
        <x:v>46310</x:v>
      </x:c>
      <x:c r="C468" t="str">
        <x:v>Karadeniz</x:v>
      </x:c>
      <x:c r="D468" t="str">
        <x:v>MEB_STANDART</x:v>
      </x:c>
      <x:c r="E468" t="str">
        <x:v>Fason</x:v>
      </x:c>
      <x:c r="F468" s="42" t="str">
        <x:v>SENTETİK/SİMÜLE — gerçek parti kaydı değildir</x:v>
      </x:c>
      <x:c r="G468" s="38" t="n">
        <x:v>70.35</x:v>
      </x:c>
      <x:c r="H468" s="38" t="n">
        <x:v>22.678</x:v>
      </x:c>
      <x:c r="I468" s="38" t="n">
        <x:v>4.257</x:v>
      </x:c>
      <x:c r="J468" s="38" t="n">
        <x:v>2.676</x:v>
      </x:c>
      <x:c r="K468" s="38" t="n">
        <x:v>1.074</x:v>
      </x:c>
      <x:c r="L468" s="38" t="n">
        <x:f>SUM(G468:K468)</x:f>
        <x:v>101.035</x:v>
      </x:c>
      <x:c r="M468" s="38" t="n">
        <x:v>134.883</x:v>
      </x:c>
      <x:c r="N468" s="38" t="n">
        <x:v>594.34</x:v>
      </x:c>
      <x:c r="O468" s="38" t="n">
        <x:v>442.98</x:v>
      </x:c>
      <x:c r="P468" s="38" t="n">
        <x:v>669.9</x:v>
      </x:c>
      <x:c r="Q468" s="38" t="n">
        <x:v>19.88</x:v>
      </x:c>
      <x:c r="R468" s="38" t="n">
        <x:v>43.7475</x:v>
      </x:c>
      <x:c r="S468" s="38" t="n">
        <x:v>120.85</x:v>
      </x:c>
      <x:c r="T468" s="40" t="n">
        <x:v>16.23</x:v>
      </x:c>
      <x:c r="U468" s="40" t="n">
        <x:v>1.12</x:v>
      </x:c>
      <x:c r="V468" s="38" t="n">
        <x:f>L468*(1-T468/100)*(1-U468/100)</x:f>
        <x:v>83.6890848816</x:v>
      </x:c>
      <x:c r="W468" s="38" t="n">
        <x:f>G468*N468</x:f>
        <x:v>41811.818999999996</x:v>
      </x:c>
      <x:c r="X468" s="38" t="n">
        <x:f>H468*O468</x:f>
        <x:v>10045.900440000001</x:v>
      </x:c>
      <x:c r="Y468" s="38" t="n">
        <x:f>I468*P468</x:f>
        <x:v>2851.7643</x:v>
      </x:c>
      <x:c r="Z468" s="38" t="n">
        <x:f>J468*Q468+K468*P468</x:f>
        <x:v>772.6714800000001</x:v>
      </x:c>
      <x:c r="AA468" s="38" t="n">
        <x:f>M468*R468</x:f>
        <x:v>5900.794042500001</x:v>
      </x:c>
      <x:c r="AB468" s="38" t="n">
        <x:f>SUM(W468:AA468)</x:f>
        <x:v>61382.9492625</x:v>
      </x:c>
      <x:c r="AC468" s="38" t="n">
        <x:v>5.95</x:v>
      </x:c>
      <x:c r="AD468" s="38" t="n">
        <x:v>174.33</x:v>
      </x:c>
      <x:c r="AE468" s="38" t="n">
        <x:v>40.83</x:v>
      </x:c>
      <x:c r="AF468" s="38" t="n">
        <x:v>4.8148</x:v>
      </x:c>
      <x:c r="AG468" s="38" t="n">
        <x:v>5.53</x:v>
      </x:c>
      <x:c r="AH468" s="38" t="n">
        <x:f>IF(E468="Fason",L468*S468,0)</x:f>
        <x:v>12210.079749999999</x:v>
      </x:c>
      <x:c r="AI468" s="38" t="n">
        <x:f>IF(E468="Kurum içi",AC468*AD468+AE468*AF468+AB468*12%,0)</x:f>
        <x:v>0</x:v>
      </x:c>
      <x:c r="AJ468" s="38" t="n">
        <x:f>V468*AG468</x:f>
        <x:v>462.800639395248</x:v>
      </x:c>
      <x:c r="AK468" s="38" t="n">
        <x:f>AB468*2%</x:f>
        <x:v>1227.65898525</x:v>
      </x:c>
      <x:c r="AL468" s="38" t="n">
        <x:f>AB468+AH468+AI468+AJ468+AK468</x:f>
        <x:v>75283.48863714526</x:v>
      </x:c>
      <x:c r="AM468" s="38" t="n">
        <x:f>AL468/V468</x:f>
        <x:v>899.5616183837278</x:v>
      </x:c>
      <x:c r="AN468" s="40" t="n">
        <x:f>(W468+X468)/AL468*100</x:f>
        <x:v>68.88325764225162</x:v>
      </x:c>
      <x:c r="AO468" s="28" t="str">
        <x:v>R01-R20; ilgili satırdaki bölgesel fiyat ve maliyet varsayımları</x:v>
      </x:c>
      <x:c r="AP468" s="28" t="str">
        <x:v>Girdi miktarları, alım fiyatı değişimi, fason bedeli ve parti sonucu simüle edilmiştir; işletme kaydı değildir.</x:v>
      </x:c>
    </x:row>
    <x:row r="469" ht="22" customHeight="1">
      <x:c r="A469" t="str">
        <x:v>SUC-0468</x:v>
      </x:c>
      <x:c r="B469" s="36" t="n">
        <x:v>46294</x:v>
      </x:c>
      <x:c r="C469" t="str">
        <x:v>Ege</x:v>
      </x:c>
      <x:c r="D469" t="str">
        <x:v>ERZURUM_CI</x:v>
      </x:c>
      <x:c r="E469" t="str">
        <x:v>Fason</x:v>
      </x:c>
      <x:c r="F469" s="42" t="str">
        <x:v>SENTETİK/SİMÜLE — gerçek parti kaydı değildir</x:v>
      </x:c>
      <x:c r="G469" s="38" t="n">
        <x:v>204.594</x:v>
      </x:c>
      <x:c r="H469" s="38" t="n">
        <x:v>39.012</x:v>
      </x:c>
      <x:c r="I469" s="38" t="n">
        <x:v>11.418</x:v>
      </x:c>
      <x:c r="J469" s="38" t="n">
        <x:v>3.808</x:v>
      </x:c>
      <x:c r="K469" s="38" t="n">
        <x:v>0.434</x:v>
      </x:c>
      <x:c r="L469" s="38" t="n">
        <x:f>SUM(G469:K469)</x:f>
        <x:v>259.266</x:v>
      </x:c>
      <x:c r="M469" s="38" t="n">
        <x:v>327.085</x:v>
      </x:c>
      <x:c r="N469" s="38" t="n">
        <x:v>582.86</x:v>
      </x:c>
      <x:c r="O469" s="38" t="n">
        <x:v>470.23</x:v>
      </x:c>
      <x:c r="P469" s="38" t="n">
        <x:v>550</x:v>
      </x:c>
      <x:c r="Q469" s="38" t="n">
        <x:v>19.88</x:v>
      </x:c>
      <x:c r="R469" s="38" t="n">
        <x:v>43.7475</x:v>
      </x:c>
      <x:c r="S469" s="38" t="n">
        <x:v>81.77</x:v>
      </x:c>
      <x:c r="T469" s="40" t="n">
        <x:v>17.62</x:v>
      </x:c>
      <x:c r="U469" s="40" t="n">
        <x:v>1.53</x:v>
      </x:c>
      <x:c r="V469" s="38" t="n">
        <x:f>L469*(1-T469/100)*(1-U469/100)</x:f>
        <x:v>210.31550583876</x:v>
      </x:c>
      <x:c r="W469" s="38" t="n">
        <x:f>G469*N469</x:f>
        <x:v>119249.65884</x:v>
      </x:c>
      <x:c r="X469" s="38" t="n">
        <x:f>H469*O469</x:f>
        <x:v>18344.61276</x:v>
      </x:c>
      <x:c r="Y469" s="38" t="n">
        <x:f>I469*P469</x:f>
        <x:v>6279.9</x:v>
      </x:c>
      <x:c r="Z469" s="38" t="n">
        <x:f>J469*Q469+K469*P469</x:f>
        <x:v>314.40304</x:v>
      </x:c>
      <x:c r="AA469" s="38" t="n">
        <x:f>M469*R469</x:f>
        <x:v>14309.1510375</x:v>
      </x:c>
      <x:c r="AB469" s="38" t="n">
        <x:f>SUM(W469:AA469)</x:f>
        <x:v>158497.7256775</x:v>
      </x:c>
      <x:c r="AC469" s="38" t="n">
        <x:v>17.45</x:v>
      </x:c>
      <x:c r="AD469" s="38" t="n">
        <x:v>174.33</x:v>
      </x:c>
      <x:c r="AE469" s="38" t="n">
        <x:v>80.34</x:v>
      </x:c>
      <x:c r="AF469" s="38" t="n">
        <x:v>4.8148</x:v>
      </x:c>
      <x:c r="AG469" s="38" t="n">
        <x:v>5.82</x:v>
      </x:c>
      <x:c r="AH469" s="38" t="n">
        <x:f>IF(E469="Fason",L469*S469,0)</x:f>
        <x:v>21200.18082</x:v>
      </x:c>
      <x:c r="AI469" s="38" t="n">
        <x:f>IF(E469="Kurum içi",AC469*AD469+AE469*AF469+AB469*12%,0)</x:f>
        <x:v>0</x:v>
      </x:c>
      <x:c r="AJ469" s="38" t="n">
        <x:f>V469*AG469</x:f>
        <x:v>1224.0362439815833</x:v>
      </x:c>
      <x:c r="AK469" s="38" t="n">
        <x:f>AB469*2%</x:f>
        <x:v>3169.9545135500002</x:v>
      </x:c>
      <x:c r="AL469" s="38" t="n">
        <x:f>AB469+AH469+AI469+AJ469+AK469</x:f>
        <x:v>184091.89725503162</x:v>
      </x:c>
      <x:c r="AM469" s="38" t="n">
        <x:f>AL469/V469</x:f>
        <x:v>875.3130042449989</x:v>
      </x:c>
      <x:c r="AN469" s="40" t="n">
        <x:f>(W469+X469)/AL469*100</x:f>
        <x:v>74.74216608750783</x:v>
      </x:c>
      <x:c r="AO469" s="28" t="str">
        <x:v>R01-R20; ilgili satırdaki bölgesel fiyat ve maliyet varsayımları</x:v>
      </x:c>
      <x:c r="AP469" s="28" t="str">
        <x:v>Girdi miktarları, alım fiyatı değişimi, fason bedeli ve parti sonucu simüle edilmiştir; işletme kaydı değildir.</x:v>
      </x:c>
    </x:row>
    <x:row r="470" ht="22" customHeight="1">
      <x:c r="A470" t="str">
        <x:v>SUC-0469</x:v>
      </x:c>
      <x:c r="B470" s="36" t="n">
        <x:v>46273</x:v>
      </x:c>
      <x:c r="C470" t="str">
        <x:v>Doğu Anadolu</x:v>
      </x:c>
      <x:c r="D470" t="str">
        <x:v>ERZURUM_CI</x:v>
      </x:c>
      <x:c r="E470" t="str">
        <x:v>Kurum içi</x:v>
      </x:c>
      <x:c r="F470" s="42" t="str">
        <x:v>SENTETİK/SİMÜLE — gerçek parti kaydı değildir</x:v>
      </x:c>
      <x:c r="G470" s="38" t="n">
        <x:v>261.738</x:v>
      </x:c>
      <x:c r="H470" s="38" t="n">
        <x:v>43.366</x:v>
      </x:c>
      <x:c r="I470" s="38" t="n">
        <x:v>15.233</x:v>
      </x:c>
      <x:c r="J470" s="38" t="n">
        <x:v>5.828</x:v>
      </x:c>
      <x:c r="K470" s="38" t="n">
        <x:v>0.033</x:v>
      </x:c>
      <x:c r="L470" s="38" t="n">
        <x:f>SUM(G470:K470)</x:f>
        <x:v>326.198</x:v>
      </x:c>
      <x:c r="M470" s="38" t="n">
        <x:v>435.208</x:v>
      </x:c>
      <x:c r="N470" s="38" t="n">
        <x:v>603</x:v>
      </x:c>
      <x:c r="O470" s="38" t="n">
        <x:v>440.13</x:v>
      </x:c>
      <x:c r="P470" s="38" t="n">
        <x:v>550</x:v>
      </x:c>
      <x:c r="Q470" s="38" t="n">
        <x:v>19.88</x:v>
      </x:c>
      <x:c r="R470" s="38" t="n">
        <x:v>43.7475</x:v>
      </x:c>
      <x:c r="S470" s="38" t="n">
        <x:v>124.23</x:v>
      </x:c>
      <x:c r="T470" s="40" t="n">
        <x:v>27.26</x:v>
      </x:c>
      <x:c r="U470" s="40" t="n">
        <x:v>1.09</x:v>
      </x:c>
      <x:c r="V470" s="38" t="n">
        <x:f>L470*(1-T470/100)*(1-U470/100)</x:f>
        <x:v>234.69011216532</x:v>
      </x:c>
      <x:c r="W470" s="38" t="n">
        <x:f>G470*N470</x:f>
        <x:v>157828.014</x:v>
      </x:c>
      <x:c r="X470" s="38" t="n">
        <x:f>H470*O470</x:f>
        <x:v>19086.67758</x:v>
      </x:c>
      <x:c r="Y470" s="38" t="n">
        <x:f>I470*P470</x:f>
        <x:v>8378.15</x:v>
      </x:c>
      <x:c r="Z470" s="38" t="n">
        <x:f>J470*Q470+K470*P470</x:f>
        <x:v>134.01064</x:v>
      </x:c>
      <x:c r="AA470" s="38" t="n">
        <x:f>M470*R470</x:f>
        <x:v>19039.261980000003</x:v>
      </x:c>
      <x:c r="AB470" s="38" t="n">
        <x:f>SUM(W470:AA470)</x:f>
        <x:v>204466.11419999998</x:v>
      </x:c>
      <x:c r="AC470" s="38" t="n">
        <x:v>16.06</x:v>
      </x:c>
      <x:c r="AD470" s="38" t="n">
        <x:v>174.33</x:v>
      </x:c>
      <x:c r="AE470" s="38" t="n">
        <x:v>137.11</x:v>
      </x:c>
      <x:c r="AF470" s="38" t="n">
        <x:v>4.8148</x:v>
      </x:c>
      <x:c r="AG470" s="38" t="n">
        <x:v>5.83</x:v>
      </x:c>
      <x:c r="AH470" s="38" t="n">
        <x:f>IF(E470="Fason",L470*S470,0)</x:f>
        <x:v>0</x:v>
      </x:c>
      <x:c r="AI470" s="38" t="n">
        <x:f>IF(E470="Kurum içi",AC470*AD470+AE470*AF470+AB470*12%,0)</x:f>
        <x:v>27995.830731999995</x:v>
      </x:c>
      <x:c r="AJ470" s="38" t="n">
        <x:f>V470*AG470</x:f>
        <x:v>1368.2433539238154</x:v>
      </x:c>
      <x:c r="AK470" s="38" t="n">
        <x:f>AB470*2%</x:f>
        <x:v>4089.322284</x:v>
      </x:c>
      <x:c r="AL470" s="38" t="n">
        <x:f>AB470+AH470+AI470+AJ470+AK470</x:f>
        <x:v>237919.5105699238</x:v>
      </x:c>
      <x:c r="AM470" s="38" t="n">
        <x:f>AL470/V470</x:f>
        <x:v>1013.7602661433344</x:v>
      </x:c>
      <x:c r="AN470" s="40" t="n">
        <x:f>(W470+X470)/AL470*100</x:f>
        <x:v>74.35905157849815</x:v>
      </x:c>
      <x:c r="AO470" s="28" t="str">
        <x:v>R01-R20; ilgili satırdaki bölgesel fiyat ve maliyet varsayımları</x:v>
      </x:c>
      <x:c r="AP470" s="28" t="str">
        <x:v>Girdi miktarları, alım fiyatı değişimi, fason bedeli ve parti sonucu simüle edilmiştir; işletme kaydı değildir.</x:v>
      </x:c>
    </x:row>
    <x:row r="471" ht="22" customHeight="1">
      <x:c r="A471" t="str">
        <x:v>SUC-0470</x:v>
      </x:c>
      <x:c r="B471" s="36" t="n">
        <x:v>46290</x:v>
      </x:c>
      <x:c r="C471" t="str">
        <x:v>Güneydoğu Anadolu</x:v>
      </x:c>
      <x:c r="D471" t="str">
        <x:v>ERZURUM_CI</x:v>
      </x:c>
      <x:c r="E471" t="str">
        <x:v>Kurum içi</x:v>
      </x:c>
      <x:c r="F471" s="42" t="str">
        <x:v>SENTETİK/SİMÜLE — gerçek parti kaydı değildir</x:v>
      </x:c>
      <x:c r="G471" s="38" t="n">
        <x:v>187.979</x:v>
      </x:c>
      <x:c r="H471" s="38" t="n">
        <x:v>32.404</x:v>
      </x:c>
      <x:c r="I471" s="38" t="n">
        <x:v>11.401</x:v>
      </x:c>
      <x:c r="J471" s="38" t="n">
        <x:v>3.571</x:v>
      </x:c>
      <x:c r="K471" s="38" t="n">
        <x:v>0.402</x:v>
      </x:c>
      <x:c r="L471" s="38" t="n">
        <x:f>SUM(G471:K471)</x:f>
        <x:v>235.757</x:v>
      </x:c>
      <x:c r="M471" s="38" t="n">
        <x:v>270.879</x:v>
      </x:c>
      <x:c r="N471" s="38" t="n">
        <x:v>569.76</x:v>
      </x:c>
      <x:c r="O471" s="38" t="n">
        <x:v>437.5</x:v>
      </x:c>
      <x:c r="P471" s="38" t="n">
        <x:v>669.9</x:v>
      </x:c>
      <x:c r="Q471" s="38" t="n">
        <x:v>19.88</x:v>
      </x:c>
      <x:c r="R471" s="38" t="n">
        <x:v>43.7475</x:v>
      </x:c>
      <x:c r="S471" s="38" t="n">
        <x:v>65.08</x:v>
      </x:c>
      <x:c r="T471" s="40" t="n">
        <x:v>23.35</x:v>
      </x:c>
      <x:c r="U471" s="40" t="n">
        <x:v>1.09</x:v>
      </x:c>
      <x:c r="V471" s="38" t="n">
        <x:f>L471*(1-T471/100)*(1-U471/100)</x:f>
        <x:v>178.73802612855</x:v>
      </x:c>
      <x:c r="W471" s="38" t="n">
        <x:f>G471*N471</x:f>
        <x:v>107102.91504</x:v>
      </x:c>
      <x:c r="X471" s="38" t="n">
        <x:f>H471*O471</x:f>
        <x:v>14176.750000000002</x:v>
      </x:c>
      <x:c r="Y471" s="38" t="n">
        <x:f>I471*P471</x:f>
        <x:v>7637.5298999999995</x:v>
      </x:c>
      <x:c r="Z471" s="38" t="n">
        <x:f>J471*Q471+K471*P471</x:f>
        <x:v>340.29128000000003</x:v>
      </x:c>
      <x:c r="AA471" s="38" t="n">
        <x:f>M471*R471</x:f>
        <x:v>11850.279052500002</x:v>
      </x:c>
      <x:c r="AB471" s="38" t="n">
        <x:f>SUM(W471:AA471)</x:f>
        <x:v>141107.7652725</x:v>
      </x:c>
      <x:c r="AC471" s="38" t="n">
        <x:v>9.58</x:v>
      </x:c>
      <x:c r="AD471" s="38" t="n">
        <x:v>174.33</x:v>
      </x:c>
      <x:c r="AE471" s="38" t="n">
        <x:v>66.7</x:v>
      </x:c>
      <x:c r="AF471" s="38" t="n">
        <x:v>4.8148</x:v>
      </x:c>
      <x:c r="AG471" s="38" t="n">
        <x:v>5.45</x:v>
      </x:c>
      <x:c r="AH471" s="38" t="n">
        <x:f>IF(E471="Fason",L471*S471,0)</x:f>
        <x:v>0</x:v>
      </x:c>
      <x:c r="AI471" s="38" t="n">
        <x:f>IF(E471="Kurum içi",AC471*AD471+AE471*AF471+AB471*12%,0)</x:f>
        <x:v>18924.1603927</x:v>
      </x:c>
      <x:c r="AJ471" s="38" t="n">
        <x:f>V471*AG471</x:f>
        <x:v>974.1222424005974</x:v>
      </x:c>
      <x:c r="AK471" s="38" t="n">
        <x:f>AB471*2%</x:f>
        <x:v>2822.15530545</x:v>
      </x:c>
      <x:c r="AL471" s="38" t="n">
        <x:f>AB471+AH471+AI471+AJ471+AK471</x:f>
        <x:v>163828.20321305058</x:v>
      </x:c>
      <x:c r="AM471" s="38" t="n">
        <x:f>AL471/V471</x:f>
        <x:v>916.582815428564</x:v>
      </x:c>
      <x:c r="AN471" s="40" t="n">
        <x:f>(W471+X471)/AL471*100</x:f>
        <x:v>74.0285632518851</x:v>
      </x:c>
      <x:c r="AO471" s="28" t="str">
        <x:v>R01-R20; ilgili satırdaki bölgesel fiyat ve maliyet varsayımları</x:v>
      </x:c>
      <x:c r="AP471" s="28" t="str">
        <x:v>Girdi miktarları, alım fiyatı değişimi, fason bedeli ve parti sonucu simüle edilmiştir; işletme kaydı değildir.</x:v>
      </x:c>
    </x:row>
    <x:row r="472" ht="22" customHeight="1">
      <x:c r="A472" t="str">
        <x:v>SUC-0471</x:v>
      </x:c>
      <x:c r="B472" s="36" t="n">
        <x:v>46284</x:v>
      </x:c>
      <x:c r="C472" t="str">
        <x:v>Ege</x:v>
      </x:c>
      <x:c r="D472" t="str">
        <x:v>MEB_STANDART</x:v>
      </x:c>
      <x:c r="E472" t="str">
        <x:v>Kurum içi</x:v>
      </x:c>
      <x:c r="F472" s="42" t="str">
        <x:v>SENTETİK/SİMÜLE — gerçek parti kaydı değildir</x:v>
      </x:c>
      <x:c r="G472" s="38" t="n">
        <x:v>333.627</x:v>
      </x:c>
      <x:c r="H472" s="38" t="n">
        <x:v>102.059</x:v>
      </x:c>
      <x:c r="I472" s="38" t="n">
        <x:v>20.761</x:v>
      </x:c>
      <x:c r="J472" s="38" t="n">
        <x:v>11.022</x:v>
      </x:c>
      <x:c r="K472" s="38" t="n">
        <x:v>4.508</x:v>
      </x:c>
      <x:c r="L472" s="38" t="n">
        <x:f>SUM(G472:K472)</x:f>
        <x:v>471.97700000000003</x:v>
      </x:c>
      <x:c r="M472" s="38" t="n">
        <x:v>604.911</x:v>
      </x:c>
      <x:c r="N472" s="38" t="n">
        <x:v>607.16</x:v>
      </x:c>
      <x:c r="O472" s="38" t="n">
        <x:v>429.09</x:v>
      </x:c>
      <x:c r="P472" s="38" t="n">
        <x:v>669.9</x:v>
      </x:c>
      <x:c r="Q472" s="38" t="n">
        <x:v>19.88</x:v>
      </x:c>
      <x:c r="R472" s="38" t="n">
        <x:v>43.7475</x:v>
      </x:c>
      <x:c r="S472" s="38" t="n">
        <x:v>87.8</x:v>
      </x:c>
      <x:c r="T472" s="40" t="n">
        <x:v>15.59</x:v>
      </x:c>
      <x:c r="U472" s="40" t="n">
        <x:v>1.28</x:v>
      </x:c>
      <x:c r="V472" s="38" t="n">
        <x:f>L472*(1-T472/100)*(1-U472/100)</x:f>
        <x:v>393.29631964304</x:v>
      </x:c>
      <x:c r="W472" s="38" t="n">
        <x:f>G472*N472</x:f>
        <x:v>202564.96932</x:v>
      </x:c>
      <x:c r="X472" s="38" t="n">
        <x:f>H472*O472</x:f>
        <x:v>43792.496309999995</x:v>
      </x:c>
      <x:c r="Y472" s="38" t="n">
        <x:f>I472*P472</x:f>
        <x:v>13907.793899999999</x:v>
      </x:c>
      <x:c r="Z472" s="38" t="n">
        <x:f>J472*Q472+K472*P472</x:f>
        <x:v>3239.0265600000002</x:v>
      </x:c>
      <x:c r="AA472" s="38" t="n">
        <x:f>M472*R472</x:f>
        <x:v>26463.3439725</x:v>
      </x:c>
      <x:c r="AB472" s="38" t="n">
        <x:f>SUM(W472:AA472)</x:f>
        <x:v>289967.6300625</x:v>
      </x:c>
      <x:c r="AC472" s="38" t="n">
        <x:v>32.3</x:v>
      </x:c>
      <x:c r="AD472" s="38" t="n">
        <x:v>174.33</x:v>
      </x:c>
      <x:c r="AE472" s="38" t="n">
        <x:v>165.8</x:v>
      </x:c>
      <x:c r="AF472" s="38" t="n">
        <x:v>4.8148</x:v>
      </x:c>
      <x:c r="AG472" s="38" t="n">
        <x:v>5.3</x:v>
      </x:c>
      <x:c r="AH472" s="38" t="n">
        <x:f>IF(E472="Fason",L472*S472,0)</x:f>
        <x:v>0</x:v>
      </x:c>
      <x:c r="AI472" s="38" t="n">
        <x:f>IF(E472="Kurum içi",AC472*AD472+AE472*AF472+AB472*12%,0)</x:f>
        <x:v>41225.268447500006</x:v>
      </x:c>
      <x:c r="AJ472" s="38" t="n">
        <x:f>V472*AG472</x:f>
        <x:v>2084.4704941081122</x:v>
      </x:c>
      <x:c r="AK472" s="38" t="n">
        <x:f>AB472*2%</x:f>
        <x:v>5799.352601250001</x:v>
      </x:c>
      <x:c r="AL472" s="38" t="n">
        <x:f>AB472+AH472+AI472+AJ472+AK472</x:f>
        <x:v>339076.7216053581</x:v>
      </x:c>
      <x:c r="AM472" s="38" t="n">
        <x:f>AL472/V472</x:f>
        <x:v>862.1405913818563</x:v>
      </x:c>
      <x:c r="AN472" s="40" t="n">
        <x:f>(W472+X472)/AL472*100</x:f>
        <x:v>72.65537559276291</x:v>
      </x:c>
      <x:c r="AO472" s="28" t="str">
        <x:v>R01-R20; ilgili satırdaki bölgesel fiyat ve maliyet varsayımları</x:v>
      </x:c>
      <x:c r="AP472" s="28" t="str">
        <x:v>Girdi miktarları, alım fiyatı değişimi, fason bedeli ve parti sonucu simüle edilmiştir; işletme kaydı değildir.</x:v>
      </x:c>
    </x:row>
    <x:row r="473" ht="22" customHeight="1">
      <x:c r="A473" t="str">
        <x:v>SUC-0472</x:v>
      </x:c>
      <x:c r="B473" s="36" t="n">
        <x:v>46288</x:v>
      </x:c>
      <x:c r="C473" t="str">
        <x:v>Ege</x:v>
      </x:c>
      <x:c r="D473" t="str">
        <x:v>MEB_STANDART</x:v>
      </x:c>
      <x:c r="E473" t="str">
        <x:v>Kurum içi</x:v>
      </x:c>
      <x:c r="F473" s="42" t="str">
        <x:v>SENTETİK/SİMÜLE — gerçek parti kaydı değildir</x:v>
      </x:c>
      <x:c r="G473" s="38" t="n">
        <x:v>307.771</x:v>
      </x:c>
      <x:c r="H473" s="38" t="n">
        <x:v>102.088</x:v>
      </x:c>
      <x:c r="I473" s="38" t="n">
        <x:v>20.308</x:v>
      </x:c>
      <x:c r="J473" s="38" t="n">
        <x:v>10.508</x:v>
      </x:c>
      <x:c r="K473" s="38" t="n">
        <x:v>4.887</x:v>
      </x:c>
      <x:c r="L473" s="38" t="n">
        <x:f>SUM(G473:K473)</x:f>
        <x:v>445.562</x:v>
      </x:c>
      <x:c r="M473" s="38" t="n">
        <x:v>599.814</x:v>
      </x:c>
      <x:c r="N473" s="38" t="n">
        <x:v>599.9</x:v>
      </x:c>
      <x:c r="O473" s="38" t="n">
        <x:v>459.79</x:v>
      </x:c>
      <x:c r="P473" s="38" t="n">
        <x:v>550</x:v>
      </x:c>
      <x:c r="Q473" s="38" t="n">
        <x:v>19.88</x:v>
      </x:c>
      <x:c r="R473" s="38" t="n">
        <x:v>43.7475</x:v>
      </x:c>
      <x:c r="S473" s="38" t="n">
        <x:v>91.03</x:v>
      </x:c>
      <x:c r="T473" s="40" t="n">
        <x:v>25.63</x:v>
      </x:c>
      <x:c r="U473" s="40" t="n">
        <x:v>1.64</x:v>
      </x:c>
      <x:c r="V473" s="38" t="n">
        <x:f>L473*(1-T473/100)*(1-U473/100)</x:f>
        <x:v>325.93008226584004</x:v>
      </x:c>
      <x:c r="W473" s="38" t="n">
        <x:f>G473*N473</x:f>
        <x:v>184631.8229</x:v>
      </x:c>
      <x:c r="X473" s="38" t="n">
        <x:f>H473*O473</x:f>
        <x:v>46939.04152</x:v>
      </x:c>
      <x:c r="Y473" s="38" t="n">
        <x:f>I473*P473</x:f>
        <x:v>11169.4</x:v>
      </x:c>
      <x:c r="Z473" s="38" t="n">
        <x:f>J473*Q473+K473*P473</x:f>
        <x:v>2896.7490399999997</x:v>
      </x:c>
      <x:c r="AA473" s="38" t="n">
        <x:f>M473*R473</x:f>
        <x:v>26240.362965</x:v>
      </x:c>
      <x:c r="AB473" s="38" t="n">
        <x:f>SUM(W473:AA473)</x:f>
        <x:v>271877.37642499997</x:v>
      </x:c>
      <x:c r="AC473" s="38" t="n">
        <x:v>30.18</x:v>
      </x:c>
      <x:c r="AD473" s="38" t="n">
        <x:v>174.33</x:v>
      </x:c>
      <x:c r="AE473" s="38" t="n">
        <x:v>99.54</x:v>
      </x:c>
      <x:c r="AF473" s="38" t="n">
        <x:v>4.8148</x:v>
      </x:c>
      <x:c r="AG473" s="38" t="n">
        <x:v>5.53</x:v>
      </x:c>
      <x:c r="AH473" s="38" t="n">
        <x:f>IF(E473="Fason",L473*S473,0)</x:f>
        <x:v>0</x:v>
      </x:c>
      <x:c r="AI473" s="38" t="n">
        <x:f>IF(E473="Kurum içi",AC473*AD473+AE473*AF473+AB473*12%,0)</x:f>
        <x:v>38365.829762999994</x:v>
      </x:c>
      <x:c r="AJ473" s="38" t="n">
        <x:f>V473*AG473</x:f>
        <x:v>1802.3933549300955</x:v>
      </x:c>
      <x:c r="AK473" s="38" t="n">
        <x:f>AB473*2%</x:f>
        <x:v>5437.547528499999</x:v>
      </x:c>
      <x:c r="AL473" s="38" t="n">
        <x:f>AB473+AH473+AI473+AJ473+AK473</x:f>
        <x:v>317483.1470714301</x:v>
      </x:c>
      <x:c r="AM473" s="38" t="n">
        <x:f>AL473/V473</x:f>
        <x:v>974.0835975136523</x:v>
      </x:c>
      <x:c r="AN473" s="40" t="n">
        <x:f>(W473+X473)/AL473*100</x:f>
        <x:v>72.93957696844274</x:v>
      </x:c>
      <x:c r="AO473" s="28" t="str">
        <x:v>R01-R20; ilgili satırdaki bölgesel fiyat ve maliyet varsayımları</x:v>
      </x:c>
      <x:c r="AP473" s="28" t="str">
        <x:v>Girdi miktarları, alım fiyatı değişimi, fason bedeli ve parti sonucu simüle edilmiştir; işletme kaydı değildir.</x:v>
      </x:c>
    </x:row>
    <x:row r="474" ht="22" customHeight="1">
      <x:c r="A474" t="str">
        <x:v>SUC-0473</x:v>
      </x:c>
      <x:c r="B474" s="36" t="n">
        <x:v>46307</x:v>
      </x:c>
      <x:c r="C474" t="str">
        <x:v>Karadeniz</x:v>
      </x:c>
      <x:c r="D474" t="str">
        <x:v>MEB_STANDART</x:v>
      </x:c>
      <x:c r="E474" t="str">
        <x:v>Kurum içi</x:v>
      </x:c>
      <x:c r="F474" s="42" t="str">
        <x:v>SENTETİK/SİMÜLE — gerçek parti kaydı değildir</x:v>
      </x:c>
      <x:c r="G474" s="38" t="n">
        <x:v>179.727</x:v>
      </x:c>
      <x:c r="H474" s="38" t="n">
        <x:v>55.645</x:v>
      </x:c>
      <x:c r="I474" s="38" t="n">
        <x:v>11.59</x:v>
      </x:c>
      <x:c r="J474" s="38" t="n">
        <x:v>6.357</x:v>
      </x:c>
      <x:c r="K474" s="38" t="n">
        <x:v>2.363</x:v>
      </x:c>
      <x:c r="L474" s="38" t="n">
        <x:f>SUM(G474:K474)</x:f>
        <x:v>255.68200000000002</x:v>
      </x:c>
      <x:c r="M474" s="38" t="n">
        <x:v>323.003</x:v>
      </x:c>
      <x:c r="N474" s="38" t="n">
        <x:v>611.96</x:v>
      </x:c>
      <x:c r="O474" s="38" t="n">
        <x:v>436.23</x:v>
      </x:c>
      <x:c r="P474" s="38" t="n">
        <x:v>400</x:v>
      </x:c>
      <x:c r="Q474" s="38" t="n">
        <x:v>19.88</x:v>
      </x:c>
      <x:c r="R474" s="38" t="n">
        <x:v>43.7475</x:v>
      </x:c>
      <x:c r="S474" s="38" t="n">
        <x:v>88.25</x:v>
      </x:c>
      <x:c r="T474" s="40" t="n">
        <x:v>19.27</x:v>
      </x:c>
      <x:c r="U474" s="40" t="n">
        <x:v>1.51</x:v>
      </x:c>
      <x:c r="V474" s="38" t="n">
        <x:f>L474*(1-T474/100)*(1-U474/100)</x:f>
        <x:v>203.29525621314002</x:v>
      </x:c>
      <x:c r="W474" s="38" t="n">
        <x:f>G474*N474</x:f>
        <x:v>109985.73492</x:v>
      </x:c>
      <x:c r="X474" s="38" t="n">
        <x:f>H474*O474</x:f>
        <x:v>24274.018350000002</x:v>
      </x:c>
      <x:c r="Y474" s="38" t="n">
        <x:f>I474*P474</x:f>
        <x:v>4636</x:v>
      </x:c>
      <x:c r="Z474" s="38" t="n">
        <x:f>J474*Q474+K474*P474</x:f>
        <x:v>1071.57716</x:v>
      </x:c>
      <x:c r="AA474" s="38" t="n">
        <x:f>M474*R474</x:f>
        <x:v>14130.5737425</x:v>
      </x:c>
      <x:c r="AB474" s="38" t="n">
        <x:f>SUM(W474:AA474)</x:f>
        <x:v>154097.9041725</x:v>
      </x:c>
      <x:c r="AC474" s="38" t="n">
        <x:v>9.39</x:v>
      </x:c>
      <x:c r="AD474" s="38" t="n">
        <x:v>174.33</x:v>
      </x:c>
      <x:c r="AE474" s="38" t="n">
        <x:v>120.7</x:v>
      </x:c>
      <x:c r="AF474" s="38" t="n">
        <x:v>4.8148</x:v>
      </x:c>
      <x:c r="AG474" s="38" t="n">
        <x:v>5.38</x:v>
      </x:c>
      <x:c r="AH474" s="38" t="n">
        <x:f>IF(E474="Fason",L474*S474,0)</x:f>
        <x:v>0</x:v>
      </x:c>
      <x:c r="AI474" s="38" t="n">
        <x:f>IF(E474="Kurum içi",AC474*AD474+AE474*AF474+AB474*12%,0)</x:f>
        <x:v>20709.8535607</x:v>
      </x:c>
      <x:c r="AJ474" s="38" t="n">
        <x:f>V474*AG474</x:f>
        <x:v>1093.7284784266933</x:v>
      </x:c>
      <x:c r="AK474" s="38" t="n">
        <x:f>AB474*2%</x:f>
        <x:v>3081.9580834500002</x:v>
      </x:c>
      <x:c r="AL474" s="38" t="n">
        <x:f>AB474+AH474+AI474+AJ474+AK474</x:f>
        <x:v>178983.4442950767</x:v>
      </x:c>
      <x:c r="AM474" s="38" t="n">
        <x:f>AL474/V474</x:f>
        <x:v>880.4113171604251</x:v>
      </x:c>
      <x:c r="AN474" s="40" t="n">
        <x:f>(W474+X474)/AL474*100</x:f>
        <x:v>75.01238664770354</x:v>
      </x:c>
      <x:c r="AO474" s="28" t="str">
        <x:v>R01-R20; ilgili satırdaki bölgesel fiyat ve maliyet varsayımları</x:v>
      </x:c>
      <x:c r="AP474" s="28" t="str">
        <x:v>Girdi miktarları, alım fiyatı değişimi, fason bedeli ve parti sonucu simüle edilmiştir; işletme kaydı değildir.</x:v>
      </x:c>
    </x:row>
    <x:row r="475" ht="22" customHeight="1">
      <x:c r="A475" t="str">
        <x:v>SUC-0474</x:v>
      </x:c>
      <x:c r="B475" s="36" t="n">
        <x:v>46288</x:v>
      </x:c>
      <x:c r="C475" t="str">
        <x:v>Marmara</x:v>
      </x:c>
      <x:c r="D475" t="str">
        <x:v>MEB_STANDART</x:v>
      </x:c>
      <x:c r="E475" t="str">
        <x:v>Kurum içi</x:v>
      </x:c>
      <x:c r="F475" s="42" t="str">
        <x:v>SENTETİK/SİMÜLE — gerçek parti kaydı değildir</x:v>
      </x:c>
      <x:c r="G475" s="38" t="n">
        <x:v>46.996</x:v>
      </x:c>
      <x:c r="H475" s="38" t="n">
        <x:v>14.425</x:v>
      </x:c>
      <x:c r="I475" s="38" t="n">
        <x:v>2.827</x:v>
      </x:c>
      <x:c r="J475" s="38" t="n">
        <x:v>1.596</x:v>
      </x:c>
      <x:c r="K475" s="38" t="n">
        <x:v>0.709</x:v>
      </x:c>
      <x:c r="L475" s="38" t="n">
        <x:f>SUM(G475:K475)</x:f>
        <x:v>66.55300000000001</x:v>
      </x:c>
      <x:c r="M475" s="38" t="n">
        <x:v>81.032</x:v>
      </x:c>
      <x:c r="N475" s="38" t="n">
        <x:v>620.23</x:v>
      </x:c>
      <x:c r="O475" s="38" t="n">
        <x:v>435.38</x:v>
      </x:c>
      <x:c r="P475" s="38" t="n">
        <x:v>550</x:v>
      </x:c>
      <x:c r="Q475" s="38" t="n">
        <x:v>19.88</x:v>
      </x:c>
      <x:c r="R475" s="38" t="n">
        <x:v>43.7475</x:v>
      </x:c>
      <x:c r="S475" s="38" t="n">
        <x:v>99.89</x:v>
      </x:c>
      <x:c r="T475" s="40" t="n">
        <x:v>22.79</x:v>
      </x:c>
      <x:c r="U475" s="40" t="n">
        <x:v>1.62</x:v>
      </x:c>
      <x:c r="V475" s="38" t="n">
        <x:f>L475*(1-T475/100)*(1-U475/100)</x:f>
        <x:v>50.55312504494001</x:v>
      </x:c>
      <x:c r="W475" s="38" t="n">
        <x:f>G475*N475</x:f>
        <x:v>29148.329080000003</x:v>
      </x:c>
      <x:c r="X475" s="38" t="n">
        <x:f>H475*O475</x:f>
        <x:v>6280.3565</x:v>
      </x:c>
      <x:c r="Y475" s="38" t="n">
        <x:f>I475*P475</x:f>
        <x:v>1554.85</x:v>
      </x:c>
      <x:c r="Z475" s="38" t="n">
        <x:f>J475*Q475+K475*P475</x:f>
        <x:v>421.67848</x:v>
      </x:c>
      <x:c r="AA475" s="38" t="n">
        <x:f>M475*R475</x:f>
        <x:v>3544.94742</x:v>
      </x:c>
      <x:c r="AB475" s="38" t="n">
        <x:f>SUM(W475:AA475)</x:f>
        <x:v>40950.16148</x:v>
      </x:c>
      <x:c r="AC475" s="38" t="n">
        <x:v>4.31</x:v>
      </x:c>
      <x:c r="AD475" s="38" t="n">
        <x:v>174.33</x:v>
      </x:c>
      <x:c r="AE475" s="38" t="n">
        <x:v>16.15</x:v>
      </x:c>
      <x:c r="AF475" s="38" t="n">
        <x:v>4.8148</x:v>
      </x:c>
      <x:c r="AG475" s="38" t="n">
        <x:v>5.89</x:v>
      </x:c>
      <x:c r="AH475" s="38" t="n">
        <x:f>IF(E475="Fason",L475*S475,0)</x:f>
        <x:v>0</x:v>
      </x:c>
      <x:c r="AI475" s="38" t="n">
        <x:f>IF(E475="Kurum içi",AC475*AD475+AE475*AF475+AB475*12%,0)</x:f>
        <x:v>5743.140697600001</x:v>
      </x:c>
      <x:c r="AJ475" s="38" t="n">
        <x:f>V475*AG475</x:f>
        <x:v>297.75790651469663</x:v>
      </x:c>
      <x:c r="AK475" s="38" t="n">
        <x:f>AB475*2%</x:f>
        <x:v>819.0032296</x:v>
      </x:c>
      <x:c r="AL475" s="38" t="n">
        <x:f>AB475+AH475+AI475+AJ475+AK475</x:f>
        <x:v>47810.0633137147</x:v>
      </x:c>
      <x:c r="AM475" s="38" t="n">
        <x:f>AL475/V475</x:f>
        <x:v>945.7390274332829</x:v>
      </x:c>
      <x:c r="AN475" s="40" t="n">
        <x:f>(W475+X475)/AL475*100</x:f>
        <x:v>74.10298820883804</x:v>
      </x:c>
      <x:c r="AO475" s="28" t="str">
        <x:v>R01-R20; ilgili satırdaki bölgesel fiyat ve maliyet varsayımları</x:v>
      </x:c>
      <x:c r="AP475" s="28" t="str">
        <x:v>Girdi miktarları, alım fiyatı değişimi, fason bedeli ve parti sonucu simüle edilmiştir; işletme kaydı değildir.</x:v>
      </x:c>
    </x:row>
    <x:row r="476" ht="22" customHeight="1">
      <x:c r="A476" t="str">
        <x:v>SUC-0475</x:v>
      </x:c>
      <x:c r="B476" s="36" t="n">
        <x:v>46271</x:v>
      </x:c>
      <x:c r="C476" t="str">
        <x:v>Akdeniz</x:v>
      </x:c>
      <x:c r="D476" t="str">
        <x:v>MEB_STANDART</x:v>
      </x:c>
      <x:c r="E476" t="str">
        <x:v>Kurum içi</x:v>
      </x:c>
      <x:c r="F476" s="42" t="str">
        <x:v>SENTETİK/SİMÜLE — gerçek parti kaydı değildir</x:v>
      </x:c>
      <x:c r="G476" s="38" t="n">
        <x:v>282.416</x:v>
      </x:c>
      <x:c r="H476" s="38" t="n">
        <x:v>87.299</x:v>
      </x:c>
      <x:c r="I476" s="38" t="n">
        <x:v>17.145</x:v>
      </x:c>
      <x:c r="J476" s="38" t="n">
        <x:v>9.337</x:v>
      </x:c>
      <x:c r="K476" s="38" t="n">
        <x:v>3.818</x:v>
      </x:c>
      <x:c r="L476" s="38" t="n">
        <x:f>SUM(G476:K476)</x:f>
        <x:v>400.015</x:v>
      </x:c>
      <x:c r="M476" s="38" t="n">
        <x:v>530.812</x:v>
      </x:c>
      <x:c r="N476" s="38" t="n">
        <x:v>594.47</x:v>
      </x:c>
      <x:c r="O476" s="38" t="n">
        <x:v>436.77</x:v>
      </x:c>
      <x:c r="P476" s="38" t="n">
        <x:v>400</x:v>
      </x:c>
      <x:c r="Q476" s="38" t="n">
        <x:v>19.88</x:v>
      </x:c>
      <x:c r="R476" s="38" t="n">
        <x:v>43.7475</x:v>
      </x:c>
      <x:c r="S476" s="38" t="n">
        <x:v>96.14</x:v>
      </x:c>
      <x:c r="T476" s="40" t="n">
        <x:v>21.72</x:v>
      </x:c>
      <x:c r="U476" s="40" t="n">
        <x:v>1.66</x:v>
      </x:c>
      <x:c r="V476" s="38" t="n">
        <x:f>L476*(1-T476/100)*(1-U476/100)</x:f>
        <x:v>307.9337550828</x:v>
      </x:c>
      <x:c r="W476" s="38" t="n">
        <x:f>G476*N476</x:f>
        <x:v>167887.83952</x:v>
      </x:c>
      <x:c r="X476" s="38" t="n">
        <x:f>H476*O476</x:f>
        <x:v>38129.58423</x:v>
      </x:c>
      <x:c r="Y476" s="38" t="n">
        <x:f>I476*P476</x:f>
        <x:v>6858</x:v>
      </x:c>
      <x:c r="Z476" s="38" t="n">
        <x:f>J476*Q476+K476*P476</x:f>
        <x:v>1712.81956</x:v>
      </x:c>
      <x:c r="AA476" s="38" t="n">
        <x:f>M476*R476</x:f>
        <x:v>23221.69797</x:v>
      </x:c>
      <x:c r="AB476" s="38" t="n">
        <x:f>SUM(W476:AA476)</x:f>
        <x:v>237809.94128000003</x:v>
      </x:c>
      <x:c r="AC476" s="38" t="n">
        <x:v>23.49</x:v>
      </x:c>
      <x:c r="AD476" s="38" t="n">
        <x:v>174.33</x:v>
      </x:c>
      <x:c r="AE476" s="38" t="n">
        <x:v>146.74</x:v>
      </x:c>
      <x:c r="AF476" s="38" t="n">
        <x:v>4.8148</x:v>
      </x:c>
      <x:c r="AG476" s="38" t="n">
        <x:v>5.58</x:v>
      </x:c>
      <x:c r="AH476" s="38" t="n">
        <x:f>IF(E476="Fason",L476*S476,0)</x:f>
        <x:v>0</x:v>
      </x:c>
      <x:c r="AI476" s="38" t="n">
        <x:f>IF(E476="Kurum içi",AC476*AD476+AE476*AF476+AB476*12%,0)</x:f>
        <x:v>33338.728405600006</x:v>
      </x:c>
      <x:c r="AJ476" s="38" t="n">
        <x:f>V476*AG476</x:f>
        <x:v>1718.270353362024</x:v>
      </x:c>
      <x:c r="AK476" s="38" t="n">
        <x:f>AB476*2%</x:f>
        <x:v>4756.1988256</x:v>
      </x:c>
      <x:c r="AL476" s="38" t="n">
        <x:f>AB476+AH476+AI476+AJ476+AK476</x:f>
        <x:v>277623.13886456203</x:v>
      </x:c>
      <x:c r="AM476" s="38" t="n">
        <x:f>AL476/V476</x:f>
        <x:v>901.5677374827329</x:v>
      </x:c>
      <x:c r="AN476" s="40" t="n">
        <x:f>(W476+X476)/AL476*100</x:f>
        <x:v>74.20758391846627</x:v>
      </x:c>
      <x:c r="AO476" s="28" t="str">
        <x:v>R01-R20; ilgili satırdaki bölgesel fiyat ve maliyet varsayımları</x:v>
      </x:c>
      <x:c r="AP476" s="28" t="str">
        <x:v>Girdi miktarları, alım fiyatı değişimi, fason bedeli ve parti sonucu simüle edilmiştir; işletme kaydı değildir.</x:v>
      </x:c>
    </x:row>
    <x:row r="477" ht="22" customHeight="1">
      <x:c r="A477" t="str">
        <x:v>SUC-0476</x:v>
      </x:c>
      <x:c r="B477" s="36" t="n">
        <x:v>46304</x:v>
      </x:c>
      <x:c r="C477" t="str">
        <x:v>Marmara</x:v>
      </x:c>
      <x:c r="D477" t="str">
        <x:v>ERZURUM_CI</x:v>
      </x:c>
      <x:c r="E477" t="str">
        <x:v>Fason</x:v>
      </x:c>
      <x:c r="F477" s="42" t="str">
        <x:v>SENTETİK/SİMÜLE — gerçek parti kaydı değildir</x:v>
      </x:c>
      <x:c r="G477" s="38" t="n">
        <x:v>251.413</x:v>
      </x:c>
      <x:c r="H477" s="38" t="n">
        <x:v>45.839</x:v>
      </x:c>
      <x:c r="I477" s="38" t="n">
        <x:v>14.056</x:v>
      </x:c>
      <x:c r="J477" s="38" t="n">
        <x:v>5.244</x:v>
      </x:c>
      <x:c r="K477" s="38" t="n">
        <x:v>0.35</x:v>
      </x:c>
      <x:c r="L477" s="38" t="n">
        <x:f>SUM(G477:K477)</x:f>
        <x:v>316.90200000000004</x:v>
      </x:c>
      <x:c r="M477" s="38" t="n">
        <x:v>407.659</x:v>
      </x:c>
      <x:c r="N477" s="38" t="n">
        <x:v>595.96</x:v>
      </x:c>
      <x:c r="O477" s="38" t="n">
        <x:v>471.64</x:v>
      </x:c>
      <x:c r="P477" s="38" t="n">
        <x:v>550</x:v>
      </x:c>
      <x:c r="Q477" s="38" t="n">
        <x:v>19.88</x:v>
      </x:c>
      <x:c r="R477" s="38" t="n">
        <x:v>43.7475</x:v>
      </x:c>
      <x:c r="S477" s="38" t="n">
        <x:v>84.84</x:v>
      </x:c>
      <x:c r="T477" s="40" t="n">
        <x:v>33.64</x:v>
      </x:c>
      <x:c r="U477" s="40" t="n">
        <x:v>0.64</x:v>
      </x:c>
      <x:c r="V477" s="38" t="n">
        <x:f>L477*(1-T477/100)*(1-U477/100)</x:f>
        <x:v>208.95027172992002</x:v>
      </x:c>
      <x:c r="W477" s="38" t="n">
        <x:f>G477*N477</x:f>
        <x:v>149832.09148</x:v>
      </x:c>
      <x:c r="X477" s="38" t="n">
        <x:f>H477*O477</x:f>
        <x:v>21619.50596</x:v>
      </x:c>
      <x:c r="Y477" s="38" t="n">
        <x:f>I477*P477</x:f>
        <x:v>7730.799999999999</x:v>
      </x:c>
      <x:c r="Z477" s="38" t="n">
        <x:f>J477*Q477+K477*P477</x:f>
        <x:v>296.75072</x:v>
      </x:c>
      <x:c r="AA477" s="38" t="n">
        <x:f>M477*R477</x:f>
        <x:v>17834.0621025</x:v>
      </x:c>
      <x:c r="AB477" s="38" t="n">
        <x:f>SUM(W477:AA477)</x:f>
        <x:v>197313.2102625</x:v>
      </x:c>
      <x:c r="AC477" s="38" t="n">
        <x:v>12.79</x:v>
      </x:c>
      <x:c r="AD477" s="38" t="n">
        <x:v>174.33</x:v>
      </x:c>
      <x:c r="AE477" s="38" t="n">
        <x:v>149.22</x:v>
      </x:c>
      <x:c r="AF477" s="38" t="n">
        <x:v>4.8148</x:v>
      </x:c>
      <x:c r="AG477" s="38" t="n">
        <x:v>5.85</x:v>
      </x:c>
      <x:c r="AH477" s="38" t="n">
        <x:f>IF(E477="Fason",L477*S477,0)</x:f>
        <x:v>26885.965680000005</x:v>
      </x:c>
      <x:c r="AI477" s="38" t="n">
        <x:f>IF(E477="Kurum içi",AC477*AD477+AE477*AF477+AB477*12%,0)</x:f>
        <x:v>0</x:v>
      </x:c>
      <x:c r="AJ477" s="38" t="n">
        <x:f>V477*AG477</x:f>
        <x:v>1222.3590896200321</x:v>
      </x:c>
      <x:c r="AK477" s="38" t="n">
        <x:f>AB477*2%</x:f>
        <x:v>3946.2642052500005</x:v>
      </x:c>
      <x:c r="AL477" s="38" t="n">
        <x:f>AB477+AH477+AI477+AJ477+AK477</x:f>
        <x:v>229367.79923737003</x:v>
      </x:c>
      <x:c r="AM477" s="38" t="n">
        <x:f>AL477/V477</x:f>
        <x:v>1097.714768870178</x:v>
      </x:c>
      <x:c r="AN477" s="40" t="n">
        <x:f>(W477+X477)/AL477*100</x:f>
        <x:v>74.74963705021504</x:v>
      </x:c>
      <x:c r="AO477" s="28" t="str">
        <x:v>R01-R20; ilgili satırdaki bölgesel fiyat ve maliyet varsayımları</x:v>
      </x:c>
      <x:c r="AP477" s="28" t="str">
        <x:v>Girdi miktarları, alım fiyatı değişimi, fason bedeli ve parti sonucu simüle edilmiştir; işletme kaydı değildir.</x:v>
      </x:c>
    </x:row>
    <x:row r="478" ht="22" customHeight="1">
      <x:c r="A478" t="str">
        <x:v>SUC-0477</x:v>
      </x:c>
      <x:c r="B478" s="36" t="n">
        <x:v>46291</x:v>
      </x:c>
      <x:c r="C478" t="str">
        <x:v>Akdeniz</x:v>
      </x:c>
      <x:c r="D478" t="str">
        <x:v>MEB_STANDART</x:v>
      </x:c>
      <x:c r="E478" t="str">
        <x:v>Kurum içi</x:v>
      </x:c>
      <x:c r="F478" s="42" t="str">
        <x:v>SENTETİK/SİMÜLE — gerçek parti kaydı değildir</x:v>
      </x:c>
      <x:c r="G478" s="38" t="n">
        <x:v>118.02</x:v>
      </x:c>
      <x:c r="H478" s="38" t="n">
        <x:v>38.981</x:v>
      </x:c>
      <x:c r="I478" s="38" t="n">
        <x:v>8.13</x:v>
      </x:c>
      <x:c r="J478" s="38" t="n">
        <x:v>4.236</x:v>
      </x:c>
      <x:c r="K478" s="38" t="n">
        <x:v>1.725</x:v>
      </x:c>
      <x:c r="L478" s="38" t="n">
        <x:f>SUM(G478:K478)</x:f>
        <x:v>171.09199999999998</x:v>
      </x:c>
      <x:c r="M478" s="38" t="n">
        <x:v>215.238</x:v>
      </x:c>
      <x:c r="N478" s="38" t="n">
        <x:v>580.14</x:v>
      </x:c>
      <x:c r="O478" s="38" t="n">
        <x:v>457.29</x:v>
      </x:c>
      <x:c r="P478" s="38" t="n">
        <x:v>400</x:v>
      </x:c>
      <x:c r="Q478" s="38" t="n">
        <x:v>19.88</x:v>
      </x:c>
      <x:c r="R478" s="38" t="n">
        <x:v>43.7475</x:v>
      </x:c>
      <x:c r="S478" s="38" t="n">
        <x:v>108.07</x:v>
      </x:c>
      <x:c r="T478" s="40" t="n">
        <x:v>17.25</x:v>
      </x:c>
      <x:c r="U478" s="40" t="n">
        <x:v>0.66</x:v>
      </x:c>
      <x:c r="V478" s="38" t="n">
        <x:f>L478*(1-T478/100)*(1-U478/100)</x:f>
        <x:v>140.64421104199997</x:v>
      </x:c>
      <x:c r="W478" s="38" t="n">
        <x:f>G478*N478</x:f>
        <x:v>68468.1228</x:v>
      </x:c>
      <x:c r="X478" s="38" t="n">
        <x:f>H478*O478</x:f>
        <x:v>17825.62149</x:v>
      </x:c>
      <x:c r="Y478" s="38" t="n">
        <x:f>I478*P478</x:f>
        <x:v>3252.0000000000005</x:v>
      </x:c>
      <x:c r="Z478" s="38" t="n">
        <x:f>J478*Q478+K478*P478</x:f>
        <x:v>774.21168</x:v>
      </x:c>
      <x:c r="AA478" s="38" t="n">
        <x:f>M478*R478</x:f>
        <x:v>9416.124405</x:v>
      </x:c>
      <x:c r="AB478" s="38" t="n">
        <x:f>SUM(W478:AA478)</x:f>
        <x:v>99736.08037499999</x:v>
      </x:c>
      <x:c r="AC478" s="38" t="n">
        <x:v>7.54</x:v>
      </x:c>
      <x:c r="AD478" s="38" t="n">
        <x:v>174.33</x:v>
      </x:c>
      <x:c r="AE478" s="38" t="n">
        <x:v>50.82</x:v>
      </x:c>
      <x:c r="AF478" s="38" t="n">
        <x:v>4.8148</x:v>
      </x:c>
      <x:c r="AG478" s="38" t="n">
        <x:v>5.53</x:v>
      </x:c>
      <x:c r="AH478" s="38" t="n">
        <x:f>IF(E478="Fason",L478*S478,0)</x:f>
        <x:v>0</x:v>
      </x:c>
      <x:c r="AI478" s="38" t="n">
        <x:f>IF(E478="Kurum içi",AC478*AD478+AE478*AF478+AB478*12%,0)</x:f>
        <x:v>13527.465980999998</x:v>
      </x:c>
      <x:c r="AJ478" s="38" t="n">
        <x:f>V478*AG478</x:f>
        <x:v>777.7624870622599</x:v>
      </x:c>
      <x:c r="AK478" s="38" t="n">
        <x:f>AB478*2%</x:f>
        <x:v>1994.7216075</x:v>
      </x:c>
      <x:c r="AL478" s="38" t="n">
        <x:f>AB478+AH478+AI478+AJ478+AK478</x:f>
        <x:v>116036.03045056225</x:v>
      </x:c>
      <x:c r="AM478" s="38" t="n">
        <x:f>AL478/V478</x:f>
        <x:v>825.0323962207794</x:v>
      </x:c>
      <x:c r="AN478" s="40" t="n">
        <x:f>(W478+X478)/AL478*100</x:f>
        <x:v>74.36805960607718</x:v>
      </x:c>
      <x:c r="AO478" s="28" t="str">
        <x:v>R01-R20; ilgili satırdaki bölgesel fiyat ve maliyet varsayımları</x:v>
      </x:c>
      <x:c r="AP478" s="28" t="str">
        <x:v>Girdi miktarları, alım fiyatı değişimi, fason bedeli ve parti sonucu simüle edilmiştir; işletme kaydı değildir.</x:v>
      </x:c>
    </x:row>
    <x:row r="479" ht="22" customHeight="1">
      <x:c r="A479" t="str">
        <x:v>SUC-0478</x:v>
      </x:c>
      <x:c r="B479" s="36" t="n">
        <x:v>46286</x:v>
      </x:c>
      <x:c r="C479" t="str">
        <x:v>Ege</x:v>
      </x:c>
      <x:c r="D479" t="str">
        <x:v>MEB_STANDART</x:v>
      </x:c>
      <x:c r="E479" t="str">
        <x:v>Fason</x:v>
      </x:c>
      <x:c r="F479" s="42" t="str">
        <x:v>SENTETİK/SİMÜLE — gerçek parti kaydı değildir</x:v>
      </x:c>
      <x:c r="G479" s="38" t="n">
        <x:v>97.549</x:v>
      </x:c>
      <x:c r="H479" s="38" t="n">
        <x:v>31.558</x:v>
      </x:c>
      <x:c r="I479" s="38" t="n">
        <x:v>6.646</x:v>
      </x:c>
      <x:c r="J479" s="38" t="n">
        <x:v>3.328</x:v>
      </x:c>
      <x:c r="K479" s="38" t="n">
        <x:v>1.399</x:v>
      </x:c>
      <x:c r="L479" s="38" t="n">
        <x:f>SUM(G479:K479)</x:f>
        <x:v>140.48</x:v>
      </x:c>
      <x:c r="M479" s="38" t="n">
        <x:v>177.383</x:v>
      </x:c>
      <x:c r="N479" s="38" t="n">
        <x:v>597.9</x:v>
      </x:c>
      <x:c r="O479" s="38" t="n">
        <x:v>444.87</x:v>
      </x:c>
      <x:c r="P479" s="38" t="n">
        <x:v>400</x:v>
      </x:c>
      <x:c r="Q479" s="38" t="n">
        <x:v>19.88</x:v>
      </x:c>
      <x:c r="R479" s="38" t="n">
        <x:v>43.7475</x:v>
      </x:c>
      <x:c r="S479" s="38" t="n">
        <x:v>122.46</x:v>
      </x:c>
      <x:c r="T479" s="40" t="n">
        <x:v>15.89</x:v>
      </x:c>
      <x:c r="U479" s="40" t="n">
        <x:v>0.69</x:v>
      </x:c>
      <x:c r="V479" s="38" t="n">
        <x:f>L479*(1-T479/100)*(1-U479/100)</x:f>
        <x:v>117.34243967679998</x:v>
      </x:c>
      <x:c r="W479" s="38" t="n">
        <x:f>G479*N479</x:f>
        <x:v>58324.5471</x:v>
      </x:c>
      <x:c r="X479" s="38" t="n">
        <x:f>H479*O479</x:f>
        <x:v>14039.20746</x:v>
      </x:c>
      <x:c r="Y479" s="38" t="n">
        <x:f>I479*P479</x:f>
        <x:v>2658.4</x:v>
      </x:c>
      <x:c r="Z479" s="38" t="n">
        <x:f>J479*Q479+K479*P479</x:f>
        <x:v>625.76064</x:v>
      </x:c>
      <x:c r="AA479" s="38" t="n">
        <x:f>M479*R479</x:f>
        <x:v>7760.062792500001</x:v>
      </x:c>
      <x:c r="AB479" s="38" t="n">
        <x:f>SUM(W479:AA479)</x:f>
        <x:v>83407.97799249999</x:v>
      </x:c>
      <x:c r="AC479" s="38" t="n">
        <x:v>5.43</x:v>
      </x:c>
      <x:c r="AD479" s="38" t="n">
        <x:v>174.33</x:v>
      </x:c>
      <x:c r="AE479" s="38" t="n">
        <x:v>54.68</x:v>
      </x:c>
      <x:c r="AF479" s="38" t="n">
        <x:v>4.8148</x:v>
      </x:c>
      <x:c r="AG479" s="38" t="n">
        <x:v>5.48</x:v>
      </x:c>
      <x:c r="AH479" s="38" t="n">
        <x:f>IF(E479="Fason",L479*S479,0)</x:f>
        <x:v>17203.1808</x:v>
      </x:c>
      <x:c r="AI479" s="38" t="n">
        <x:f>IF(E479="Kurum içi",AC479*AD479+AE479*AF479+AB479*12%,0)</x:f>
        <x:v>0</x:v>
      </x:c>
      <x:c r="AJ479" s="38" t="n">
        <x:f>V479*AG479</x:f>
        <x:v>643.0365694288639</x:v>
      </x:c>
      <x:c r="AK479" s="38" t="n">
        <x:f>AB479*2%</x:f>
        <x:v>1668.1595598499998</x:v>
      </x:c>
      <x:c r="AL479" s="38" t="n">
        <x:f>AB479+AH479+AI479+AJ479+AK479</x:f>
        <x:v>102922.35492177885</x:v>
      </x:c>
      <x:c r="AM479" s="38" t="n">
        <x:f>AL479/V479</x:f>
        <x:v>877.1110879001764</x:v>
      </x:c>
      <x:c r="AN479" s="40" t="n">
        <x:f>(W479+X479)/AL479*100</x:f>
        <x:v>70.30907387903879</x:v>
      </x:c>
      <x:c r="AO479" s="28" t="str">
        <x:v>R01-R20; ilgili satırdaki bölgesel fiyat ve maliyet varsayımları</x:v>
      </x:c>
      <x:c r="AP479" s="28" t="str">
        <x:v>Girdi miktarları, alım fiyatı değişimi, fason bedeli ve parti sonucu simüle edilmiştir; işletme kaydı değildir.</x:v>
      </x:c>
    </x:row>
    <x:row r="480" ht="22" customHeight="1">
      <x:c r="A480" t="str">
        <x:v>SUC-0479</x:v>
      </x:c>
      <x:c r="B480" s="36" t="n">
        <x:v>46303</x:v>
      </x:c>
      <x:c r="C480" t="str">
        <x:v>Ege</x:v>
      </x:c>
      <x:c r="D480" t="str">
        <x:v>MEB_STANDART</x:v>
      </x:c>
      <x:c r="E480" t="str">
        <x:v>Fason</x:v>
      </x:c>
      <x:c r="F480" s="42" t="str">
        <x:v>SENTETİK/SİMÜLE — gerçek parti kaydı değildir</x:v>
      </x:c>
      <x:c r="G480" s="38" t="n">
        <x:v>187.203</x:v>
      </x:c>
      <x:c r="H480" s="38" t="n">
        <x:v>60.224</x:v>
      </x:c>
      <x:c r="I480" s="38" t="n">
        <x:v>12.345</x:v>
      </x:c>
      <x:c r="J480" s="38" t="n">
        <x:v>7.093</x:v>
      </x:c>
      <x:c r="K480" s="38" t="n">
        <x:v>2.44</x:v>
      </x:c>
      <x:c r="L480" s="38" t="n">
        <x:f>SUM(G480:K480)</x:f>
        <x:v>269.305</x:v>
      </x:c>
      <x:c r="M480" s="38" t="n">
        <x:v>320.353</x:v>
      </x:c>
      <x:c r="N480" s="38" t="n">
        <x:v>591.92</x:v>
      </x:c>
      <x:c r="O480" s="38" t="n">
        <x:v>440.31</x:v>
      </x:c>
      <x:c r="P480" s="38" t="n">
        <x:v>550</x:v>
      </x:c>
      <x:c r="Q480" s="38" t="n">
        <x:v>19.88</x:v>
      </x:c>
      <x:c r="R480" s="38" t="n">
        <x:v>43.7475</x:v>
      </x:c>
      <x:c r="S480" s="38" t="n">
        <x:v>70.59</x:v>
      </x:c>
      <x:c r="T480" s="40" t="n">
        <x:v>15.77</x:v>
      </x:c>
      <x:c r="U480" s="40" t="n">
        <x:v>1.63</x:v>
      </x:c>
      <x:c r="V480" s="38" t="n">
        <x:f>L480*(1-T480/100)*(1-U480/100)</x:f>
        <x:v>223.13818119555003</x:v>
      </x:c>
      <x:c r="W480" s="38" t="n">
        <x:f>G480*N480</x:f>
        <x:v>110809.19975999999</x:v>
      </x:c>
      <x:c r="X480" s="38" t="n">
        <x:f>H480*O480</x:f>
        <x:v>26517.22944</x:v>
      </x:c>
      <x:c r="Y480" s="38" t="n">
        <x:f>I480*P480</x:f>
        <x:v>6789.75</x:v>
      </x:c>
      <x:c r="Z480" s="38" t="n">
        <x:f>J480*Q480+K480*P480</x:f>
        <x:v>1483.00884</x:v>
      </x:c>
      <x:c r="AA480" s="38" t="n">
        <x:f>M480*R480</x:f>
        <x:v>14014.6428675</x:v>
      </x:c>
      <x:c r="AB480" s="38" t="n">
        <x:f>SUM(W480:AA480)</x:f>
        <x:v>159613.83090749997</x:v>
      </x:c>
      <x:c r="AC480" s="38" t="n">
        <x:v>15.11</x:v>
      </x:c>
      <x:c r="AD480" s="38" t="n">
        <x:v>174.33</x:v>
      </x:c>
      <x:c r="AE480" s="38" t="n">
        <x:v>73.97</x:v>
      </x:c>
      <x:c r="AF480" s="38" t="n">
        <x:v>4.8148</x:v>
      </x:c>
      <x:c r="AG480" s="38" t="n">
        <x:v>5.79</x:v>
      </x:c>
      <x:c r="AH480" s="38" t="n">
        <x:f>IF(E480="Fason",L480*S480,0)</x:f>
        <x:v>19010.239950000003</x:v>
      </x:c>
      <x:c r="AI480" s="38" t="n">
        <x:f>IF(E480="Kurum içi",AC480*AD480+AE480*AF480+AB480*12%,0)</x:f>
        <x:v>0</x:v>
      </x:c>
      <x:c r="AJ480" s="38" t="n">
        <x:f>V480*AG480</x:f>
        <x:v>1291.9700691222347</x:v>
      </x:c>
      <x:c r="AK480" s="38" t="n">
        <x:f>AB480*2%</x:f>
        <x:v>3192.2766181499996</x:v>
      </x:c>
      <x:c r="AL480" s="38" t="n">
        <x:f>AB480+AH480+AI480+AJ480+AK480</x:f>
        <x:v>183108.3175447722</x:v>
      </x:c>
      <x:c r="AM480" s="38" t="n">
        <x:f>AL480/V480</x:f>
        <x:v>820.6050464501316</x:v>
      </x:c>
      <x:c r="AN480" s="40" t="n">
        <x:f>(W480+X480)/AL480*100</x:f>
        <x:v>74.99737370828171</x:v>
      </x:c>
      <x:c r="AO480" s="28" t="str">
        <x:v>R01-R20; ilgili satırdaki bölgesel fiyat ve maliyet varsayımları</x:v>
      </x:c>
      <x:c r="AP480" s="28" t="str">
        <x:v>Girdi miktarları, alım fiyatı değişimi, fason bedeli ve parti sonucu simüle edilmiştir; işletme kaydı değildir.</x:v>
      </x:c>
    </x:row>
    <x:row r="481" ht="22" customHeight="1">
      <x:c r="A481" t="str">
        <x:v>SUC-0480</x:v>
      </x:c>
      <x:c r="B481" s="36" t="n">
        <x:v>46310</x:v>
      </x:c>
      <x:c r="C481" t="str">
        <x:v>Karadeniz</x:v>
      </x:c>
      <x:c r="D481" t="str">
        <x:v>MEB_STANDART</x:v>
      </x:c>
      <x:c r="E481" t="str">
        <x:v>Kurum içi</x:v>
      </x:c>
      <x:c r="F481" s="42" t="str">
        <x:v>SENTETİK/SİMÜLE — gerçek parti kaydı değildir</x:v>
      </x:c>
      <x:c r="G481" s="38" t="n">
        <x:v>306.411</x:v>
      </x:c>
      <x:c r="H481" s="38" t="n">
        <x:v>98.87</x:v>
      </x:c>
      <x:c r="I481" s="38" t="n">
        <x:v>19.826</x:v>
      </x:c>
      <x:c r="J481" s="38" t="n">
        <x:v>10.199</x:v>
      </x:c>
      <x:c r="K481" s="38" t="n">
        <x:v>4.747</x:v>
      </x:c>
      <x:c r="L481" s="38" t="n">
        <x:f>SUM(G481:K481)</x:f>
        <x:v>440.05300000000005</x:v>
      </x:c>
      <x:c r="M481" s="38" t="n">
        <x:v>519.297</x:v>
      </x:c>
      <x:c r="N481" s="38" t="n">
        <x:v>596.48</x:v>
      </x:c>
      <x:c r="O481" s="38" t="n">
        <x:v>426.05</x:v>
      </x:c>
      <x:c r="P481" s="38" t="n">
        <x:v>400</x:v>
      </x:c>
      <x:c r="Q481" s="38" t="n">
        <x:v>19.88</x:v>
      </x:c>
      <x:c r="R481" s="38" t="n">
        <x:v>43.7475</x:v>
      </x:c>
      <x:c r="S481" s="38" t="n">
        <x:v>83.7</x:v>
      </x:c>
      <x:c r="T481" s="40" t="n">
        <x:v>17</x:v>
      </x:c>
      <x:c r="U481" s="40" t="n">
        <x:v>1.26</x:v>
      </x:c>
      <x:c r="V481" s="38" t="n">
        <x:f>L481*(1-T481/100)*(1-U481/100)</x:f>
        <x:v>360.6419157260001</x:v>
      </x:c>
      <x:c r="W481" s="38" t="n">
        <x:f>G481*N481</x:f>
        <x:v>182768.03328</x:v>
      </x:c>
      <x:c r="X481" s="38" t="n">
        <x:f>H481*O481</x:f>
        <x:v>42123.563500000004</x:v>
      </x:c>
      <x:c r="Y481" s="38" t="n">
        <x:f>I481*P481</x:f>
        <x:v>7930.400000000001</x:v>
      </x:c>
      <x:c r="Z481" s="38" t="n">
        <x:f>J481*Q481+K481*P481</x:f>
        <x:v>2101.5561199999997</x:v>
      </x:c>
      <x:c r="AA481" s="38" t="n">
        <x:f>M481*R481</x:f>
        <x:v>22717.9455075</x:v>
      </x:c>
      <x:c r="AB481" s="38" t="n">
        <x:f>SUM(W481:AA481)</x:f>
        <x:v>257641.4984075</x:v>
      </x:c>
      <x:c r="AC481" s="38" t="n">
        <x:v>21.09</x:v>
      </x:c>
      <x:c r="AD481" s="38" t="n">
        <x:v>174.33</x:v>
      </x:c>
      <x:c r="AE481" s="38" t="n">
        <x:v>148.43</x:v>
      </x:c>
      <x:c r="AF481" s="38" t="n">
        <x:v>4.8148</x:v>
      </x:c>
      <x:c r="AG481" s="38" t="n">
        <x:v>5.74</x:v>
      </x:c>
      <x:c r="AH481" s="38" t="n">
        <x:f>IF(E481="Fason",L481*S481,0)</x:f>
        <x:v>0</x:v>
      </x:c>
      <x:c r="AI481" s="38" t="n">
        <x:f>IF(E481="Kurum içi",AC481*AD481+AE481*AF481+AB481*12%,0)</x:f>
        <x:v>35308.2602729</x:v>
      </x:c>
      <x:c r="AJ481" s="38" t="n">
        <x:f>V481*AG481</x:f>
        <x:v>2070.0845962672406</x:v>
      </x:c>
      <x:c r="AK481" s="38" t="n">
        <x:f>AB481*2%</x:f>
        <x:v>5152.82996815</x:v>
      </x:c>
      <x:c r="AL481" s="38" t="n">
        <x:f>AB481+AH481+AI481+AJ481+AK481</x:f>
        <x:v>300172.6732448173</x:v>
      </x:c>
      <x:c r="AM481" s="38" t="n">
        <x:f>AL481/V481</x:f>
        <x:v>832.3288562854556</x:v>
      </x:c>
      <x:c r="AN481" s="40" t="n">
        <x:f>(W481+X481)/AL481*100</x:f>
        <x:v>74.9207429007307</x:v>
      </x:c>
      <x:c r="AO481" s="28" t="str">
        <x:v>R01-R20; ilgili satırdaki bölgesel fiyat ve maliyet varsayımları</x:v>
      </x:c>
      <x:c r="AP481" s="28" t="str">
        <x:v>Girdi miktarları, alım fiyatı değişimi, fason bedeli ve parti sonucu simüle edilmiştir; işletme kaydı değildir.</x:v>
      </x:c>
    </x:row>
    <x:row r="482" ht="22" customHeight="1">
      <x:c r="A482" t="str">
        <x:v>SUC-0481</x:v>
      </x:c>
      <x:c r="B482" s="36" t="n">
        <x:v>46295</x:v>
      </x:c>
      <x:c r="C482" t="str">
        <x:v>Karadeniz</x:v>
      </x:c>
      <x:c r="D482" t="str">
        <x:v>ERZURUM_CI</x:v>
      </x:c>
      <x:c r="E482" t="str">
        <x:v>Kurum içi</x:v>
      </x:c>
      <x:c r="F482" s="42" t="str">
        <x:v>SENTETİK/SİMÜLE — gerçek parti kaydı değildir</x:v>
      </x:c>
      <x:c r="G482" s="38" t="n">
        <x:v>289.334</x:v>
      </x:c>
      <x:c r="H482" s="38" t="n">
        <x:v>49.298</x:v>
      </x:c>
      <x:c r="I482" s="38" t="n">
        <x:v>17.633</x:v>
      </x:c>
      <x:c r="J482" s="38" t="n">
        <x:v>6.359</x:v>
      </x:c>
      <x:c r="K482" s="38" t="n">
        <x:v>0.179</x:v>
      </x:c>
      <x:c r="L482" s="38" t="n">
        <x:f>SUM(G482:K482)</x:f>
        <x:v>362.80299999999994</x:v>
      </x:c>
      <x:c r="M482" s="38" t="n">
        <x:v>441.737</x:v>
      </x:c>
      <x:c r="N482" s="38" t="n">
        <x:v>594.47</x:v>
      </x:c>
      <x:c r="O482" s="38" t="n">
        <x:v>425.15</x:v>
      </x:c>
      <x:c r="P482" s="38" t="n">
        <x:v>669.9</x:v>
      </x:c>
      <x:c r="Q482" s="38" t="n">
        <x:v>19.88</x:v>
      </x:c>
      <x:c r="R482" s="38" t="n">
        <x:v>43.7475</x:v>
      </x:c>
      <x:c r="S482" s="38" t="n">
        <x:v>113.91</x:v>
      </x:c>
      <x:c r="T482" s="40" t="n">
        <x:v>31.63</x:v>
      </x:c>
      <x:c r="U482" s="40" t="n">
        <x:v>0.85</x:v>
      </x:c>
      <x:c r="V482" s="38" t="n">
        <x:f>L482*(1-T482/100)*(1-U482/100)</x:f>
        <x:v>245.93999960564997</x:v>
      </x:c>
      <x:c r="W482" s="38" t="n">
        <x:f>G482*N482</x:f>
        <x:v>172000.38298000002</x:v>
      </x:c>
      <x:c r="X482" s="38" t="n">
        <x:f>H482*O482</x:f>
        <x:v>20959.0447</x:v>
      </x:c>
      <x:c r="Y482" s="38" t="n">
        <x:f>I482*P482</x:f>
        <x:v>11812.346699999998</x:v>
      </x:c>
      <x:c r="Z482" s="38" t="n">
        <x:f>J482*Q482+K482*P482</x:f>
        <x:v>246.32901999999999</x:v>
      </x:c>
      <x:c r="AA482" s="38" t="n">
        <x:f>M482*R482</x:f>
        <x:v>19324.889407500003</x:v>
      </x:c>
      <x:c r="AB482" s="38" t="n">
        <x:f>SUM(W482:AA482)</x:f>
        <x:v>224342.99280750004</x:v>
      </x:c>
      <x:c r="AC482" s="38" t="n">
        <x:v>18.18</x:v>
      </x:c>
      <x:c r="AD482" s="38" t="n">
        <x:v>174.33</x:v>
      </x:c>
      <x:c r="AE482" s="38" t="n">
        <x:v>135.48</x:v>
      </x:c>
      <x:c r="AF482" s="38" t="n">
        <x:v>4.8148</x:v>
      </x:c>
      <x:c r="AG482" s="38" t="n">
        <x:v>5.55</x:v>
      </x:c>
      <x:c r="AH482" s="38" t="n">
        <x:f>IF(E482="Fason",L482*S482,0)</x:f>
        <x:v>0</x:v>
      </x:c>
      <x:c r="AI482" s="38" t="n">
        <x:f>IF(E482="Kurum içi",AC482*AD482+AE482*AF482+AB482*12%,0)</x:f>
        <x:v>30742.787640900002</x:v>
      </x:c>
      <x:c r="AJ482" s="38" t="n">
        <x:f>V482*AG482</x:f>
        <x:v>1364.9669978113573</x:v>
      </x:c>
      <x:c r="AK482" s="38" t="n">
        <x:f>AB482*2%</x:f>
        <x:v>4486.859856150001</x:v>
      </x:c>
      <x:c r="AL482" s="38" t="n">
        <x:f>AB482+AH482+AI482+AJ482+AK482</x:f>
        <x:v>260937.6073023614</x:v>
      </x:c>
      <x:c r="AM482" s="38" t="n">
        <x:f>AL482/V482</x:f>
        <x:v>1060.9807583994436</x:v>
      </x:c>
      <x:c r="AN482" s="40" t="n">
        <x:f>(W482+X482)/AL482*100</x:f>
        <x:v>73.94849277375657</x:v>
      </x:c>
      <x:c r="AO482" s="28" t="str">
        <x:v>R01-R20; ilgili satırdaki bölgesel fiyat ve maliyet varsayımları</x:v>
      </x:c>
      <x:c r="AP482" s="28" t="str">
        <x:v>Girdi miktarları, alım fiyatı değişimi, fason bedeli ve parti sonucu simüle edilmiştir; işletme kaydı değildir.</x:v>
      </x:c>
    </x:row>
    <x:row r="483" ht="22" customHeight="1">
      <x:c r="A483" t="str">
        <x:v>SUC-0482</x:v>
      </x:c>
      <x:c r="B483" s="36" t="n">
        <x:v>46306</x:v>
      </x:c>
      <x:c r="C483" t="str">
        <x:v>Marmara</x:v>
      </x:c>
      <x:c r="D483" t="str">
        <x:v>MEB_STANDART</x:v>
      </x:c>
      <x:c r="E483" t="str">
        <x:v>Kurum içi</x:v>
      </x:c>
      <x:c r="F483" s="42" t="str">
        <x:v>SENTETİK/SİMÜLE — gerçek parti kaydı değildir</x:v>
      </x:c>
      <x:c r="G483" s="38" t="n">
        <x:v>329.223</x:v>
      </x:c>
      <x:c r="H483" s="38" t="n">
        <x:v>106.774</x:v>
      </x:c>
      <x:c r="I483" s="38" t="n">
        <x:v>20.821</x:v>
      </x:c>
      <x:c r="J483" s="38" t="n">
        <x:v>12.284</x:v>
      </x:c>
      <x:c r="K483" s="38" t="n">
        <x:v>4.355</x:v>
      </x:c>
      <x:c r="L483" s="38" t="n">
        <x:f>SUM(G483:K483)</x:f>
        <x:v>473.45700000000005</x:v>
      </x:c>
      <x:c r="M483" s="38" t="n">
        <x:v>600.599</x:v>
      </x:c>
      <x:c r="N483" s="38" t="n">
        <x:v>605.57</x:v>
      </x:c>
      <x:c r="O483" s="38" t="n">
        <x:v>449.09</x:v>
      </x:c>
      <x:c r="P483" s="38" t="n">
        <x:v>550</x:v>
      </x:c>
      <x:c r="Q483" s="38" t="n">
        <x:v>19.88</x:v>
      </x:c>
      <x:c r="R483" s="38" t="n">
        <x:v>43.7475</x:v>
      </x:c>
      <x:c r="S483" s="38" t="n">
        <x:v>88.63</x:v>
      </x:c>
      <x:c r="T483" s="40" t="n">
        <x:v>26.67</x:v>
      </x:c>
      <x:c r="U483" s="40" t="n">
        <x:v>1.51</x:v>
      </x:c>
      <x:c r="V483" s="38" t="n">
        <x:f>L483*(1-T483/100)*(1-U483/100)</x:f>
        <x:v>341.9435092266901</x:v>
      </x:c>
      <x:c r="W483" s="38" t="n">
        <x:f>G483*N483</x:f>
        <x:v>199367.57211000004</x:v>
      </x:c>
      <x:c r="X483" s="38" t="n">
        <x:f>H483*O483</x:f>
        <x:v>47951.13566</x:v>
      </x:c>
      <x:c r="Y483" s="38" t="n">
        <x:f>I483*P483</x:f>
        <x:v>11451.550000000001</x:v>
      </x:c>
      <x:c r="Z483" s="38" t="n">
        <x:f>J483*Q483+K483*P483</x:f>
        <x:v>2639.4559200000003</x:v>
      </x:c>
      <x:c r="AA483" s="38" t="n">
        <x:f>M483*R483</x:f>
        <x:v>26274.7047525</x:v>
      </x:c>
      <x:c r="AB483" s="38" t="n">
        <x:f>SUM(W483:AA483)</x:f>
        <x:v>287684.41844250006</x:v>
      </x:c>
      <x:c r="AC483" s="38" t="n">
        <x:v>31.26</x:v>
      </x:c>
      <x:c r="AD483" s="38" t="n">
        <x:v>174.33</x:v>
      </x:c>
      <x:c r="AE483" s="38" t="n">
        <x:v>187.19</x:v>
      </x:c>
      <x:c r="AF483" s="38" t="n">
        <x:v>4.8148</x:v>
      </x:c>
      <x:c r="AG483" s="38" t="n">
        <x:v>5.16</x:v>
      </x:c>
      <x:c r="AH483" s="38" t="n">
        <x:f>IF(E483="Fason",L483*S483,0)</x:f>
        <x:v>0</x:v>
      </x:c>
      <x:c r="AI483" s="38" t="n">
        <x:f>IF(E483="Kurum içi",AC483*AD483+AE483*AF483+AB483*12%,0)</x:f>
        <x:v>40872.96842510001</x:v>
      </x:c>
      <x:c r="AJ483" s="38" t="n">
        <x:f>V483*AG483</x:f>
        <x:v>1764.4285076097208</x:v>
      </x:c>
      <x:c r="AK483" s="38" t="n">
        <x:f>AB483*2%</x:f>
        <x:v>5753.688368850001</x:v>
      </x:c>
      <x:c r="AL483" s="38" t="n">
        <x:f>AB483+AH483+AI483+AJ483+AK483</x:f>
        <x:v>336075.50374405977</x:v>
      </x:c>
      <x:c r="AM483" s="38" t="n">
        <x:f>AL483/V483</x:f>
        <x:v>982.839254659634</x:v>
      </x:c>
      <x:c r="AN483" s="40" t="n">
        <x:f>(W483+X483)/AL483*100</x:f>
        <x:v>73.59022154686615</x:v>
      </x:c>
      <x:c r="AO483" s="28" t="str">
        <x:v>R01-R20; ilgili satırdaki bölgesel fiyat ve maliyet varsayımları</x:v>
      </x:c>
      <x:c r="AP483" s="28" t="str">
        <x:v>Girdi miktarları, alım fiyatı değişimi, fason bedeli ve parti sonucu simüle edilmiştir; işletme kaydı değildir.</x:v>
      </x:c>
    </x:row>
    <x:row r="484" ht="22" customHeight="1">
      <x:c r="A484" t="str">
        <x:v>SUC-0483</x:v>
      </x:c>
      <x:c r="B484" s="36" t="n">
        <x:v>46269</x:v>
      </x:c>
      <x:c r="C484" t="str">
        <x:v>Doğu Anadolu</x:v>
      </x:c>
      <x:c r="D484" t="str">
        <x:v>ERZURUM_CI</x:v>
      </x:c>
      <x:c r="E484" t="str">
        <x:v>Kurum içi</x:v>
      </x:c>
      <x:c r="F484" s="42" t="str">
        <x:v>SENTETİK/SİMÜLE — gerçek parti kaydı değildir</x:v>
      </x:c>
      <x:c r="G484" s="38" t="n">
        <x:v>184.842</x:v>
      </x:c>
      <x:c r="H484" s="38" t="n">
        <x:v>32.443</x:v>
      </x:c>
      <x:c r="I484" s="38" t="n">
        <x:v>10.116</x:v>
      </x:c>
      <x:c r="J484" s="38" t="n">
        <x:v>3.484</x:v>
      </x:c>
      <x:c r="K484" s="38" t="n">
        <x:v>0.023</x:v>
      </x:c>
      <x:c r="L484" s="38" t="n">
        <x:f>SUM(G484:K484)</x:f>
        <x:v>230.90800000000002</x:v>
      </x:c>
      <x:c r="M484" s="38" t="n">
        <x:v>290.069</x:v>
      </x:c>
      <x:c r="N484" s="38" t="n">
        <x:v>596.06</x:v>
      </x:c>
      <x:c r="O484" s="38" t="n">
        <x:v>444.65</x:v>
      </x:c>
      <x:c r="P484" s="38" t="n">
        <x:v>400</x:v>
      </x:c>
      <x:c r="Q484" s="38" t="n">
        <x:v>19.88</x:v>
      </x:c>
      <x:c r="R484" s="38" t="n">
        <x:v>43.7475</x:v>
      </x:c>
      <x:c r="S484" s="38" t="n">
        <x:v>104.88</x:v>
      </x:c>
      <x:c r="T484" s="40" t="n">
        <x:v>16.9</x:v>
      </x:c>
      <x:c r="U484" s="40" t="n">
        <x:v>1.62</x:v>
      </x:c>
      <x:c r="V484" s="38" t="n">
        <x:f>L484*(1-T484/100)*(1-U484/100)</x:f>
        <x:v>188.7760183224</x:v>
      </x:c>
      <x:c r="W484" s="38" t="n">
        <x:f>G484*N484</x:f>
        <x:v>110176.92252</x:v>
      </x:c>
      <x:c r="X484" s="38" t="n">
        <x:f>H484*O484</x:f>
        <x:v>14425.779949999998</x:v>
      </x:c>
      <x:c r="Y484" s="38" t="n">
        <x:f>I484*P484</x:f>
        <x:v>4046.3999999999996</x:v>
      </x:c>
      <x:c r="Z484" s="38" t="n">
        <x:f>J484*Q484+K484*P484</x:f>
        <x:v>78.46191999999999</x:v>
      </x:c>
      <x:c r="AA484" s="38" t="n">
        <x:f>M484*R484</x:f>
        <x:v>12689.7935775</x:v>
      </x:c>
      <x:c r="AB484" s="38" t="n">
        <x:f>SUM(W484:AA484)</x:f>
        <x:v>141417.3579675</x:v>
      </x:c>
      <x:c r="AC484" s="38" t="n">
        <x:v>13.7</x:v>
      </x:c>
      <x:c r="AD484" s="38" t="n">
        <x:v>174.33</x:v>
      </x:c>
      <x:c r="AE484" s="38" t="n">
        <x:v>92.65</x:v>
      </x:c>
      <x:c r="AF484" s="38" t="n">
        <x:v>4.8148</x:v>
      </x:c>
      <x:c r="AG484" s="38" t="n">
        <x:v>5.33</x:v>
      </x:c>
      <x:c r="AH484" s="38" t="n">
        <x:f>IF(E484="Fason",L484*S484,0)</x:f>
        <x:v>0</x:v>
      </x:c>
      <x:c r="AI484" s="38" t="n">
        <x:f>IF(E484="Kurum içi",AC484*AD484+AE484*AF484+AB484*12%,0)</x:f>
        <x:v>19804.495176099997</x:v>
      </x:c>
      <x:c r="AJ484" s="38" t="n">
        <x:f>V484*AG484</x:f>
        <x:v>1006.176177658392</x:v>
      </x:c>
      <x:c r="AK484" s="38" t="n">
        <x:f>AB484*2%</x:f>
        <x:v>2828.34715935</x:v>
      </x:c>
      <x:c r="AL484" s="38" t="n">
        <x:f>AB484+AH484+AI484+AJ484+AK484</x:f>
        <x:v>165056.3764806084</x:v>
      </x:c>
      <x:c r="AM484" s="38" t="n">
        <x:f>AL484/V484</x:f>
        <x:v>874.3503435839918</x:v>
      </x:c>
      <x:c r="AN484" s="40" t="n">
        <x:f>(W484+X484)/AL484*100</x:f>
        <x:v>75.49099594140122</x:v>
      </x:c>
      <x:c r="AO484" s="28" t="str">
        <x:v>R01-R20; ilgili satırdaki bölgesel fiyat ve maliyet varsayımları</x:v>
      </x:c>
      <x:c r="AP484" s="28" t="str">
        <x:v>Girdi miktarları, alım fiyatı değişimi, fason bedeli ve parti sonucu simüle edilmiştir; işletme kaydı değildir.</x:v>
      </x:c>
    </x:row>
    <x:row r="485" ht="22" customHeight="1">
      <x:c r="A485" t="str">
        <x:v>SUC-0484</x:v>
      </x:c>
      <x:c r="B485" s="36" t="n">
        <x:v>46273</x:v>
      </x:c>
      <x:c r="C485" t="str">
        <x:v>Akdeniz</x:v>
      </x:c>
      <x:c r="D485" t="str">
        <x:v>MEB_STANDART</x:v>
      </x:c>
      <x:c r="E485" t="str">
        <x:v>Fason</x:v>
      </x:c>
      <x:c r="F485" s="42" t="str">
        <x:v>SENTETİK/SİMÜLE — gerçek parti kaydı değildir</x:v>
      </x:c>
      <x:c r="G485" s="38" t="n">
        <x:v>209.782</x:v>
      </x:c>
      <x:c r="H485" s="38" t="n">
        <x:v>67.105</x:v>
      </x:c>
      <x:c r="I485" s="38" t="n">
        <x:v>12.98</x:v>
      </x:c>
      <x:c r="J485" s="38" t="n">
        <x:v>7.469</x:v>
      </x:c>
      <x:c r="K485" s="38" t="n">
        <x:v>3.449</x:v>
      </x:c>
      <x:c r="L485" s="38" t="n">
        <x:f>SUM(G485:K485)</x:f>
        <x:v>300.785</x:v>
      </x:c>
      <x:c r="M485" s="38" t="n">
        <x:v>377.067</x:v>
      </x:c>
      <x:c r="N485" s="38" t="n">
        <x:v>600.64</x:v>
      </x:c>
      <x:c r="O485" s="38" t="n">
        <x:v>435.11</x:v>
      </x:c>
      <x:c r="P485" s="38" t="n">
        <x:v>400</x:v>
      </x:c>
      <x:c r="Q485" s="38" t="n">
        <x:v>19.88</x:v>
      </x:c>
      <x:c r="R485" s="38" t="n">
        <x:v>43.7475</x:v>
      </x:c>
      <x:c r="S485" s="38" t="n">
        <x:v>112</x:v>
      </x:c>
      <x:c r="T485" s="40" t="n">
        <x:v>16.93</x:v>
      </x:c>
      <x:c r="U485" s="40" t="n">
        <x:v>1.33</x:v>
      </x:c>
      <x:c r="V485" s="38" t="n">
        <x:f>L485*(1-T485/100)*(1-U485/100)</x:f>
        <x:v>246.53893357665004</x:v>
      </x:c>
      <x:c r="W485" s="38" t="n">
        <x:f>G485*N485</x:f>
        <x:v>126003.46048000001</x:v>
      </x:c>
      <x:c r="X485" s="38" t="n">
        <x:f>H485*O485</x:f>
        <x:v>29198.05655</x:v>
      </x:c>
      <x:c r="Y485" s="38" t="n">
        <x:f>I485*P485</x:f>
        <x:v>5192</x:v>
      </x:c>
      <x:c r="Z485" s="38" t="n">
        <x:f>J485*Q485+K485*P485</x:f>
        <x:v>1528.0837199999999</x:v>
      </x:c>
      <x:c r="AA485" s="38" t="n">
        <x:f>M485*R485</x:f>
        <x:v>16495.738582500002</x:v>
      </x:c>
      <x:c r="AB485" s="38" t="n">
        <x:f>SUM(W485:AA485)</x:f>
        <x:v>178417.3393325</x:v>
      </x:c>
      <x:c r="AC485" s="38" t="n">
        <x:v>19.82</x:v>
      </x:c>
      <x:c r="AD485" s="38" t="n">
        <x:v>174.33</x:v>
      </x:c>
      <x:c r="AE485" s="38" t="n">
        <x:v>122.11</x:v>
      </x:c>
      <x:c r="AF485" s="38" t="n">
        <x:v>4.8148</x:v>
      </x:c>
      <x:c r="AG485" s="38" t="n">
        <x:v>5.25</x:v>
      </x:c>
      <x:c r="AH485" s="38" t="n">
        <x:f>IF(E485="Fason",L485*S485,0)</x:f>
        <x:v>33687.920000000006</x:v>
      </x:c>
      <x:c r="AI485" s="38" t="n">
        <x:f>IF(E485="Kurum içi",AC485*AD485+AE485*AF485+AB485*12%,0)</x:f>
        <x:v>0</x:v>
      </x:c>
      <x:c r="AJ485" s="38" t="n">
        <x:f>V485*AG485</x:f>
        <x:v>1294.3294012774127</x:v>
      </x:c>
      <x:c r="AK485" s="38" t="n">
        <x:f>AB485*2%</x:f>
        <x:v>3568.34678665</x:v>
      </x:c>
      <x:c r="AL485" s="38" t="n">
        <x:f>AB485+AH485+AI485+AJ485+AK485</x:f>
        <x:v>216967.93552042745</x:v>
      </x:c>
      <x:c r="AM485" s="38" t="n">
        <x:f>AL485/V485</x:f>
        <x:v>880.0554637467479</x:v>
      </x:c>
      <x:c r="AN485" s="40" t="n">
        <x:f>(W485+X485)/AL485*100</x:f>
        <x:v>71.53200617304479</x:v>
      </x:c>
      <x:c r="AO485" s="28" t="str">
        <x:v>R01-R20; ilgili satırdaki bölgesel fiyat ve maliyet varsayımları</x:v>
      </x:c>
      <x:c r="AP485" s="28" t="str">
        <x:v>Girdi miktarları, alım fiyatı değişimi, fason bedeli ve parti sonucu simüle edilmiştir; işletme kaydı değildir.</x:v>
      </x:c>
    </x:row>
    <x:row r="486" ht="22" customHeight="1">
      <x:c r="A486" t="str">
        <x:v>SUC-0485</x:v>
      </x:c>
      <x:c r="B486" s="36" t="n">
        <x:v>46312</x:v>
      </x:c>
      <x:c r="C486" t="str">
        <x:v>Karadeniz</x:v>
      </x:c>
      <x:c r="D486" t="str">
        <x:v>MEB_STANDART</x:v>
      </x:c>
      <x:c r="E486" t="str">
        <x:v>Kurum içi</x:v>
      </x:c>
      <x:c r="F486" s="42" t="str">
        <x:v>SENTETİK/SİMÜLE — gerçek parti kaydı değildir</x:v>
      </x:c>
      <x:c r="G486" s="38" t="n">
        <x:v>126.226</x:v>
      </x:c>
      <x:c r="H486" s="38" t="n">
        <x:v>40.053</x:v>
      </x:c>
      <x:c r="I486" s="38" t="n">
        <x:v>8.581</x:v>
      </x:c>
      <x:c r="J486" s="38" t="n">
        <x:v>4.56</x:v>
      </x:c>
      <x:c r="K486" s="38" t="n">
        <x:v>1.914</x:v>
      </x:c>
      <x:c r="L486" s="38" t="n">
        <x:f>SUM(G486:K486)</x:f>
        <x:v>181.33399999999997</x:v>
      </x:c>
      <x:c r="M486" s="38" t="n">
        <x:v>222.369</x:v>
      </x:c>
      <x:c r="N486" s="38" t="n">
        <x:v>595.12</x:v>
      </x:c>
      <x:c r="O486" s="38" t="n">
        <x:v>471.7</x:v>
      </x:c>
      <x:c r="P486" s="38" t="n">
        <x:v>550</x:v>
      </x:c>
      <x:c r="Q486" s="38" t="n">
        <x:v>19.88</x:v>
      </x:c>
      <x:c r="R486" s="38" t="n">
        <x:v>43.7475</x:v>
      </x:c>
      <x:c r="S486" s="38" t="n">
        <x:v>81.61</x:v>
      </x:c>
      <x:c r="T486" s="40" t="n">
        <x:v>32.37</x:v>
      </x:c>
      <x:c r="U486" s="40" t="n">
        <x:v>0.8</x:v>
      </x:c>
      <x:c r="V486" s="38" t="n">
        <x:f>L486*(1-T486/100)*(1-U486/100)</x:f>
        <x:v>121.6550947264</x:v>
      </x:c>
      <x:c r="W486" s="38" t="n">
        <x:f>G486*N486</x:f>
        <x:v>75119.61712</x:v>
      </x:c>
      <x:c r="X486" s="38" t="n">
        <x:f>H486*O486</x:f>
        <x:v>18893.000099999997</x:v>
      </x:c>
      <x:c r="Y486" s="38" t="n">
        <x:f>I486*P486</x:f>
        <x:v>4719.55</x:v>
      </x:c>
      <x:c r="Z486" s="38" t="n">
        <x:f>J486*Q486+K486*P486</x:f>
        <x:v>1143.3528000000001</x:v>
      </x:c>
      <x:c r="AA486" s="38" t="n">
        <x:f>M486*R486</x:f>
        <x:v>9728.087827500001</x:v>
      </x:c>
      <x:c r="AB486" s="38" t="n">
        <x:f>SUM(W486:AA486)</x:f>
        <x:v>109603.60784749998</x:v>
      </x:c>
      <x:c r="AC486" s="38" t="n">
        <x:v>11.5</x:v>
      </x:c>
      <x:c r="AD486" s="38" t="n">
        <x:v>174.33</x:v>
      </x:c>
      <x:c r="AE486" s="38" t="n">
        <x:v>81.97</x:v>
      </x:c>
      <x:c r="AF486" s="38" t="n">
        <x:v>4.8148</x:v>
      </x:c>
      <x:c r="AG486" s="38" t="n">
        <x:v>5.36</x:v>
      </x:c>
      <x:c r="AH486" s="38" t="n">
        <x:f>IF(E486="Fason",L486*S486,0)</x:f>
        <x:v>0</x:v>
      </x:c>
      <x:c r="AI486" s="38" t="n">
        <x:f>IF(E486="Kurum içi",AC486*AD486+AE486*AF486+AB486*12%,0)</x:f>
        <x:v>15551.897097699997</x:v>
      </x:c>
      <x:c r="AJ486" s="38" t="n">
        <x:f>V486*AG486</x:f>
        <x:v>652.071307733504</x:v>
      </x:c>
      <x:c r="AK486" s="38" t="n">
        <x:f>AB486*2%</x:f>
        <x:v>2192.0721569499997</x:v>
      </x:c>
      <x:c r="AL486" s="38" t="n">
        <x:f>AB486+AH486+AI486+AJ486+AK486</x:f>
        <x:v>127999.64840988349</x:v>
      </x:c>
      <x:c r="AM486" s="38" t="n">
        <x:f>AL486/V486</x:f>
        <x:v>1052.15197684694</x:v>
      </x:c>
      <x:c r="AN486" s="40" t="n">
        <x:f>(W486+X486)/AL486*100</x:f>
        <x:v>73.44755894871724</x:v>
      </x:c>
      <x:c r="AO486" s="28" t="str">
        <x:v>R01-R20; ilgili satırdaki bölgesel fiyat ve maliyet varsayımları</x:v>
      </x:c>
      <x:c r="AP486" s="28" t="str">
        <x:v>Girdi miktarları, alım fiyatı değişimi, fason bedeli ve parti sonucu simüle edilmiştir; işletme kaydı değildir.</x:v>
      </x:c>
    </x:row>
    <x:row r="487" ht="22" customHeight="1">
      <x:c r="A487" t="str">
        <x:v>SUC-0486</x:v>
      </x:c>
      <x:c r="B487" s="36" t="n">
        <x:v>46296</x:v>
      </x:c>
      <x:c r="C487" t="str">
        <x:v>Doğu Anadolu</x:v>
      </x:c>
      <x:c r="D487" t="str">
        <x:v>MEB_STANDART</x:v>
      </x:c>
      <x:c r="E487" t="str">
        <x:v>Kurum içi</x:v>
      </x:c>
      <x:c r="F487" s="42" t="str">
        <x:v>SENTETİK/SİMÜLE — gerçek parti kaydı değildir</x:v>
      </x:c>
      <x:c r="G487" s="38" t="n">
        <x:v>159.429</x:v>
      </x:c>
      <x:c r="H487" s="38" t="n">
        <x:v>50.524</x:v>
      </x:c>
      <x:c r="I487" s="38" t="n">
        <x:v>9.908</x:v>
      </x:c>
      <x:c r="J487" s="38" t="n">
        <x:v>6.019</x:v>
      </x:c>
      <x:c r="K487" s="38" t="n">
        <x:v>2.103</x:v>
      </x:c>
      <x:c r="L487" s="38" t="n">
        <x:f>SUM(G487:K487)</x:f>
        <x:v>227.983</x:v>
      </x:c>
      <x:c r="M487" s="38" t="n">
        <x:v>307.011</x:v>
      </x:c>
      <x:c r="N487" s="38" t="n">
        <x:v>607.82</x:v>
      </x:c>
      <x:c r="O487" s="38" t="n">
        <x:v>461.84</x:v>
      </x:c>
      <x:c r="P487" s="38" t="n">
        <x:v>550</x:v>
      </x:c>
      <x:c r="Q487" s="38" t="n">
        <x:v>19.88</x:v>
      </x:c>
      <x:c r="R487" s="38" t="n">
        <x:v>43.7475</x:v>
      </x:c>
      <x:c r="S487" s="38" t="n">
        <x:v>114.48</x:v>
      </x:c>
      <x:c r="T487" s="40" t="n">
        <x:v>18.37</x:v>
      </x:c>
      <x:c r="U487" s="40" t="n">
        <x:v>1.53</x:v>
      </x:c>
      <x:c r="V487" s="38" t="n">
        <x:f>L487*(1-T487/100)*(1-U487/100)</x:f>
        <x:v>183.25515429963</x:v>
      </x:c>
      <x:c r="W487" s="38" t="n">
        <x:f>G487*N487</x:f>
        <x:v>96904.13478000001</x:v>
      </x:c>
      <x:c r="X487" s="38" t="n">
        <x:f>H487*O487</x:f>
        <x:v>23334.00416</x:v>
      </x:c>
      <x:c r="Y487" s="38" t="n">
        <x:f>I487*P487</x:f>
        <x:v>5449.4</x:v>
      </x:c>
      <x:c r="Z487" s="38" t="n">
        <x:f>J487*Q487+K487*P487</x:f>
        <x:v>1276.30772</x:v>
      </x:c>
      <x:c r="AA487" s="38" t="n">
        <x:f>M487*R487</x:f>
        <x:v>13430.963722500002</x:v>
      </x:c>
      <x:c r="AB487" s="38" t="n">
        <x:f>SUM(W487:AA487)</x:f>
        <x:v>140394.8103825</x:v>
      </x:c>
      <x:c r="AC487" s="38" t="n">
        <x:v>12.56</x:v>
      </x:c>
      <x:c r="AD487" s="38" t="n">
        <x:v>174.33</x:v>
      </x:c>
      <x:c r="AE487" s="38" t="n">
        <x:v>66.31</x:v>
      </x:c>
      <x:c r="AF487" s="38" t="n">
        <x:v>4.8148</x:v>
      </x:c>
      <x:c r="AG487" s="38" t="n">
        <x:v>5.28</x:v>
      </x:c>
      <x:c r="AH487" s="38" t="n">
        <x:f>IF(E487="Fason",L487*S487,0)</x:f>
        <x:v>0</x:v>
      </x:c>
      <x:c r="AI487" s="38" t="n">
        <x:f>IF(E487="Kurum içi",AC487*AD487+AE487*AF487+AB487*12%,0)</x:f>
        <x:v>19356.2314339</x:v>
      </x:c>
      <x:c r="AJ487" s="38" t="n">
        <x:f>V487*AG487</x:f>
        <x:v>967.5872147020464</x:v>
      </x:c>
      <x:c r="AK487" s="38" t="n">
        <x:f>AB487*2%</x:f>
        <x:v>2807.89620765</x:v>
      </x:c>
      <x:c r="AL487" s="38" t="n">
        <x:f>AB487+AH487+AI487+AJ487+AK487</x:f>
        <x:v>163526.52523875204</x:v>
      </x:c>
      <x:c r="AM487" s="38" t="n">
        <x:f>AL487/V487</x:f>
        <x:v>892.3433879048182</x:v>
      </x:c>
      <x:c r="AN487" s="40" t="n">
        <x:f>(W487+X487)/AL487*100</x:f>
        <x:v>73.5282173729613</x:v>
      </x:c>
      <x:c r="AO487" s="28" t="str">
        <x:v>R01-R20; ilgili satırdaki bölgesel fiyat ve maliyet varsayımları</x:v>
      </x:c>
      <x:c r="AP487" s="28" t="str">
        <x:v>Girdi miktarları, alım fiyatı değişimi, fason bedeli ve parti sonucu simüle edilmiştir; işletme kaydı değildir.</x:v>
      </x:c>
    </x:row>
    <x:row r="488" ht="22" customHeight="1">
      <x:c r="A488" t="str">
        <x:v>SUC-0487</x:v>
      </x:c>
      <x:c r="B488" s="36" t="n">
        <x:v>46299</x:v>
      </x:c>
      <x:c r="C488" t="str">
        <x:v>İç Anadolu</x:v>
      </x:c>
      <x:c r="D488" t="str">
        <x:v>MEB_STANDART</x:v>
      </x:c>
      <x:c r="E488" t="str">
        <x:v>Kurum içi</x:v>
      </x:c>
      <x:c r="F488" s="42" t="str">
        <x:v>SENTETİK/SİMÜLE — gerçek parti kaydı değildir</x:v>
      </x:c>
      <x:c r="G488" s="38" t="n">
        <x:v>84.774</x:v>
      </x:c>
      <x:c r="H488" s="38" t="n">
        <x:v>26.806</x:v>
      </x:c>
      <x:c r="I488" s="38" t="n">
        <x:v>5.205</x:v>
      </x:c>
      <x:c r="J488" s="38" t="n">
        <x:v>3.12</x:v>
      </x:c>
      <x:c r="K488" s="38" t="n">
        <x:v>1.339</x:v>
      </x:c>
      <x:c r="L488" s="38" t="n">
        <x:f>SUM(G488:K488)</x:f>
        <x:v>121.244</x:v>
      </x:c>
      <x:c r="M488" s="38" t="n">
        <x:v>144.99</x:v>
      </x:c>
      <x:c r="N488" s="38" t="n">
        <x:v>590.08</x:v>
      </x:c>
      <x:c r="O488" s="38" t="n">
        <x:v>445.01</x:v>
      </x:c>
      <x:c r="P488" s="38" t="n">
        <x:v>400</x:v>
      </x:c>
      <x:c r="Q488" s="38" t="n">
        <x:v>19.88</x:v>
      </x:c>
      <x:c r="R488" s="38" t="n">
        <x:v>43.7475</x:v>
      </x:c>
      <x:c r="S488" s="38" t="n">
        <x:v>88.96</x:v>
      </x:c>
      <x:c r="T488" s="40" t="n">
        <x:v>24.21</x:v>
      </x:c>
      <x:c r="U488" s="40" t="n">
        <x:v>1.32</x:v>
      </x:c>
      <x:c r="V488" s="38" t="n">
        <x:f>L488*(1-T488/100)*(1-U488/100)</x:f>
        <x:v>90.67786867568</x:v>
      </x:c>
      <x:c r="W488" s="38" t="n">
        <x:f>G488*N488</x:f>
        <x:v>50023.441920000005</x:v>
      </x:c>
      <x:c r="X488" s="38" t="n">
        <x:f>H488*O488</x:f>
        <x:v>11928.93806</x:v>
      </x:c>
      <x:c r="Y488" s="38" t="n">
        <x:f>I488*P488</x:f>
        <x:v>2082</x:v>
      </x:c>
      <x:c r="Z488" s="38" t="n">
        <x:f>J488*Q488+K488*P488</x:f>
        <x:v>597.6256000000001</x:v>
      </x:c>
      <x:c r="AA488" s="38" t="n">
        <x:f>M488*R488</x:f>
        <x:v>6342.950025000001</x:v>
      </x:c>
      <x:c r="AB488" s="38" t="n">
        <x:f>SUM(W488:AA488)</x:f>
        <x:v>70974.95560500001</x:v>
      </x:c>
      <x:c r="AC488" s="38" t="n">
        <x:v>6.98</x:v>
      </x:c>
      <x:c r="AD488" s="38" t="n">
        <x:v>174.33</x:v>
      </x:c>
      <x:c r="AE488" s="38" t="n">
        <x:v>46.87</x:v>
      </x:c>
      <x:c r="AF488" s="38" t="n">
        <x:v>4.8148</x:v>
      </x:c>
      <x:c r="AG488" s="38" t="n">
        <x:v>5.9</x:v>
      </x:c>
      <x:c r="AH488" s="38" t="n">
        <x:f>IF(E488="Fason",L488*S488,0)</x:f>
        <x:v>0</x:v>
      </x:c>
      <x:c r="AI488" s="38" t="n">
        <x:f>IF(E488="Kurum içi",AC488*AD488+AE488*AF488+AB488*12%,0)</x:f>
        <x:v>9959.487748600002</x:v>
      </x:c>
      <x:c r="AJ488" s="38" t="n">
        <x:f>V488*AG488</x:f>
        <x:v>534.9994251865121</x:v>
      </x:c>
      <x:c r="AK488" s="38" t="n">
        <x:f>AB488*2%</x:f>
        <x:v>1419.4991121000003</x:v>
      </x:c>
      <x:c r="AL488" s="38" t="n">
        <x:f>AB488+AH488+AI488+AJ488+AK488</x:f>
        <x:v>82888.94189088653</x:v>
      </x:c>
      <x:c r="AM488" s="38" t="n">
        <x:f>AL488/V488</x:f>
        <x:v>914.1033319535611</x:v>
      </x:c>
      <x:c r="AN488" s="40" t="n">
        <x:f>(W488+X488)/AL488*100</x:f>
        <x:v>74.74142939543488</x:v>
      </x:c>
      <x:c r="AO488" s="28" t="str">
        <x:v>R01-R20; ilgili satırdaki bölgesel fiyat ve maliyet varsayımları</x:v>
      </x:c>
      <x:c r="AP488" s="28" t="str">
        <x:v>Girdi miktarları, alım fiyatı değişimi, fason bedeli ve parti sonucu simüle edilmiştir; işletme kaydı değildir.</x:v>
      </x:c>
    </x:row>
    <x:row r="489" ht="22" customHeight="1">
      <x:c r="A489" t="str">
        <x:v>SUC-0488</x:v>
      </x:c>
      <x:c r="B489" s="36" t="n">
        <x:v>46297</x:v>
      </x:c>
      <x:c r="C489" t="str">
        <x:v>Karadeniz</x:v>
      </x:c>
      <x:c r="D489" t="str">
        <x:v>MEB_STANDART</x:v>
      </x:c>
      <x:c r="E489" t="str">
        <x:v>Fason</x:v>
      </x:c>
      <x:c r="F489" s="42" t="str">
        <x:v>SENTETİK/SİMÜLE — gerçek parti kaydı değildir</x:v>
      </x:c>
      <x:c r="G489" s="38" t="n">
        <x:v>241.727</x:v>
      </x:c>
      <x:c r="H489" s="38" t="n">
        <x:v>76.571</x:v>
      </x:c>
      <x:c r="I489" s="38" t="n">
        <x:v>15.745</x:v>
      </x:c>
      <x:c r="J489" s="38" t="n">
        <x:v>9.056</x:v>
      </x:c>
      <x:c r="K489" s="38" t="n">
        <x:v>3.492</x:v>
      </x:c>
      <x:c r="L489" s="38" t="n">
        <x:f>SUM(G489:K489)</x:f>
        <x:v>346.591</x:v>
      </x:c>
      <x:c r="M489" s="38" t="n">
        <x:v>452.614</x:v>
      </x:c>
      <x:c r="N489" s="38" t="n">
        <x:v>603.88</x:v>
      </x:c>
      <x:c r="O489" s="38" t="n">
        <x:v>476.08</x:v>
      </x:c>
      <x:c r="P489" s="38" t="n">
        <x:v>550</x:v>
      </x:c>
      <x:c r="Q489" s="38" t="n">
        <x:v>19.88</x:v>
      </x:c>
      <x:c r="R489" s="38" t="n">
        <x:v>43.7475</x:v>
      </x:c>
      <x:c r="S489" s="38" t="n">
        <x:v>118.9</x:v>
      </x:c>
      <x:c r="T489" s="40" t="n">
        <x:v>26.19</x:v>
      </x:c>
      <x:c r="U489" s="40" t="n">
        <x:v>0.56</x:v>
      </x:c>
      <x:c r="V489" s="38" t="n">
        <x:f>L489*(1-T489/100)*(1-U489/100)</x:f>
        <x:v>254.38623172424</x:v>
      </x:c>
      <x:c r="W489" s="38" t="n">
        <x:f>G489*N489</x:f>
        <x:v>145974.10076</x:v>
      </x:c>
      <x:c r="X489" s="38" t="n">
        <x:f>H489*O489</x:f>
        <x:v>36453.92168</x:v>
      </x:c>
      <x:c r="Y489" s="38" t="n">
        <x:f>I489*P489</x:f>
        <x:v>8659.75</x:v>
      </x:c>
      <x:c r="Z489" s="38" t="n">
        <x:f>J489*Q489+K489*P489</x:f>
        <x:v>2100.63328</x:v>
      </x:c>
      <x:c r="AA489" s="38" t="n">
        <x:f>M489*R489</x:f>
        <x:v>19800.730965</x:v>
      </x:c>
      <x:c r="AB489" s="38" t="n">
        <x:f>SUM(W489:AA489)</x:f>
        <x:v>212989.136685</x:v>
      </x:c>
      <x:c r="AC489" s="38" t="n">
        <x:v>15.28</x:v>
      </x:c>
      <x:c r="AD489" s="38" t="n">
        <x:v>174.33</x:v>
      </x:c>
      <x:c r="AE489" s="38" t="n">
        <x:v>95.29</x:v>
      </x:c>
      <x:c r="AF489" s="38" t="n">
        <x:v>4.8148</x:v>
      </x:c>
      <x:c r="AG489" s="38" t="n">
        <x:v>5.74</x:v>
      </x:c>
      <x:c r="AH489" s="38" t="n">
        <x:f>IF(E489="Fason",L489*S489,0)</x:f>
        <x:v>41209.6699</x:v>
      </x:c>
      <x:c r="AI489" s="38" t="n">
        <x:f>IF(E489="Kurum içi",AC489*AD489+AE489*AF489+AB489*12%,0)</x:f>
        <x:v>0</x:v>
      </x:c>
      <x:c r="AJ489" s="38" t="n">
        <x:f>V489*AG489</x:f>
        <x:v>1460.1769700971377</x:v>
      </x:c>
      <x:c r="AK489" s="38" t="n">
        <x:f>AB489*2%</x:f>
        <x:v>4259.7827337</x:v>
      </x:c>
      <x:c r="AL489" s="38" t="n">
        <x:f>AB489+AH489+AI489+AJ489+AK489</x:f>
        <x:v>259918.76628879717</x:v>
      </x:c>
      <x:c r="AM489" s="38" t="n">
        <x:f>AL489/V489</x:f>
        <x:v>1021.7485613394147</x:v>
      </x:c>
      <x:c r="AN489" s="40" t="n">
        <x:f>(W489+X489)/AL489*100</x:f>
        <x:v>70.1865529160381</x:v>
      </x:c>
      <x:c r="AO489" s="28" t="str">
        <x:v>R01-R20; ilgili satırdaki bölgesel fiyat ve maliyet varsayımları</x:v>
      </x:c>
      <x:c r="AP489" s="28" t="str">
        <x:v>Girdi miktarları, alım fiyatı değişimi, fason bedeli ve parti sonucu simüle edilmiştir; işletme kaydı değildir.</x:v>
      </x:c>
    </x:row>
    <x:row r="490" ht="22" customHeight="1">
      <x:c r="A490" t="str">
        <x:v>SUC-0489</x:v>
      </x:c>
      <x:c r="B490" s="36" t="n">
        <x:v>46284</x:v>
      </x:c>
      <x:c r="C490" t="str">
        <x:v>Ege</x:v>
      </x:c>
      <x:c r="D490" t="str">
        <x:v>ERZURUM_CI</x:v>
      </x:c>
      <x:c r="E490" t="str">
        <x:v>Fason</x:v>
      </x:c>
      <x:c r="F490" s="42" t="str">
        <x:v>SENTETİK/SİMÜLE — gerçek parti kaydı değildir</x:v>
      </x:c>
      <x:c r="G490" s="38" t="n">
        <x:v>265.609</x:v>
      </x:c>
      <x:c r="H490" s="38" t="n">
        <x:v>48.317</x:v>
      </x:c>
      <x:c r="I490" s="38" t="n">
        <x:v>16.155</x:v>
      </x:c>
      <x:c r="J490" s="38" t="n">
        <x:v>4.614</x:v>
      </x:c>
      <x:c r="K490" s="38" t="n">
        <x:v>0.296</x:v>
      </x:c>
      <x:c r="L490" s="38" t="n">
        <x:f>SUM(G490:K490)</x:f>
        <x:v>334.991</x:v>
      </x:c>
      <x:c r="M490" s="38" t="n">
        <x:v>398.838</x:v>
      </x:c>
      <x:c r="N490" s="38" t="n">
        <x:v>584.73</x:v>
      </x:c>
      <x:c r="O490" s="38" t="n">
        <x:v>421.42</x:v>
      </x:c>
      <x:c r="P490" s="38" t="n">
        <x:v>550</x:v>
      </x:c>
      <x:c r="Q490" s="38" t="n">
        <x:v>19.88</x:v>
      </x:c>
      <x:c r="R490" s="38" t="n">
        <x:v>43.7475</x:v>
      </x:c>
      <x:c r="S490" s="38" t="n">
        <x:v>83.04</x:v>
      </x:c>
      <x:c r="T490" s="40" t="n">
        <x:v>19.76</x:v>
      </x:c>
      <x:c r="U490" s="40" t="n">
        <x:v>1.72</x:v>
      </x:c>
      <x:c r="V490" s="38" t="n">
        <x:f>L490*(1-T490/100)*(1-U490/100)</x:f>
        <x:v>264.17347381152</x:v>
      </x:c>
      <x:c r="W490" s="38" t="n">
        <x:f>G490*N490</x:f>
        <x:v>155309.55057</x:v>
      </x:c>
      <x:c r="X490" s="38" t="n">
        <x:f>H490*O490</x:f>
        <x:v>20361.75014</x:v>
      </x:c>
      <x:c r="Y490" s="38" t="n">
        <x:f>I490*P490</x:f>
        <x:v>8885.25</x:v>
      </x:c>
      <x:c r="Z490" s="38" t="n">
        <x:f>J490*Q490+K490*P490</x:f>
        <x:v>254.52631999999997</x:v>
      </x:c>
      <x:c r="AA490" s="38" t="n">
        <x:f>M490*R490</x:f>
        <x:v>17448.165405000003</x:v>
      </x:c>
      <x:c r="AB490" s="38" t="n">
        <x:f>SUM(W490:AA490)</x:f>
        <x:v>202259.242435</x:v>
      </x:c>
      <x:c r="AC490" s="38" t="n">
        <x:v>11.82</x:v>
      </x:c>
      <x:c r="AD490" s="38" t="n">
        <x:v>174.33</x:v>
      </x:c>
      <x:c r="AE490" s="38" t="n">
        <x:v>140.38</x:v>
      </x:c>
      <x:c r="AF490" s="38" t="n">
        <x:v>4.8148</x:v>
      </x:c>
      <x:c r="AG490" s="38" t="n">
        <x:v>5.8</x:v>
      </x:c>
      <x:c r="AH490" s="38" t="n">
        <x:f>IF(E490="Fason",L490*S490,0)</x:f>
        <x:v>27817.65264</x:v>
      </x:c>
      <x:c r="AI490" s="38" t="n">
        <x:f>IF(E490="Kurum içi",AC490*AD490+AE490*AF490+AB490*12%,0)</x:f>
        <x:v>0</x:v>
      </x:c>
      <x:c r="AJ490" s="38" t="n">
        <x:f>V490*AG490</x:f>
        <x:v>1532.206148106816</x:v>
      </x:c>
      <x:c r="AK490" s="38" t="n">
        <x:f>AB490*2%</x:f>
        <x:v>4045.1848486999997</x:v>
      </x:c>
      <x:c r="AL490" s="38" t="n">
        <x:f>AB490+AH490+AI490+AJ490+AK490</x:f>
        <x:v>235654.28607180683</x:v>
      </x:c>
      <x:c r="AM490" s="38" t="n">
        <x:f>AL490/V490</x:f>
        <x:v>892.043711549704</x:v>
      </x:c>
      <x:c r="AN490" s="40" t="n">
        <x:f>(W490+X490)/AL490*100</x:f>
        <x:v>74.54619376473836</x:v>
      </x:c>
      <x:c r="AO490" s="28" t="str">
        <x:v>R01-R20; ilgili satırdaki bölgesel fiyat ve maliyet varsayımları</x:v>
      </x:c>
      <x:c r="AP490" s="28" t="str">
        <x:v>Girdi miktarları, alım fiyatı değişimi, fason bedeli ve parti sonucu simüle edilmiştir; işletme kaydı değildir.</x:v>
      </x:c>
    </x:row>
    <x:row r="491" ht="22" customHeight="1">
      <x:c r="A491" t="str">
        <x:v>SUC-0490</x:v>
      </x:c>
      <x:c r="B491" s="36" t="n">
        <x:v>46289</x:v>
      </x:c>
      <x:c r="C491" t="str">
        <x:v>Güneydoğu Anadolu</x:v>
      </x:c>
      <x:c r="D491" t="str">
        <x:v>MEB_STANDART</x:v>
      </x:c>
      <x:c r="E491" t="str">
        <x:v>Fason</x:v>
      </x:c>
      <x:c r="F491" s="42" t="str">
        <x:v>SENTETİK/SİMÜLE — gerçek parti kaydı değildir</x:v>
      </x:c>
      <x:c r="G491" s="38" t="n">
        <x:v>228.347</x:v>
      </x:c>
      <x:c r="H491" s="38" t="n">
        <x:v>72.138</x:v>
      </x:c>
      <x:c r="I491" s="38" t="n">
        <x:v>14.304</x:v>
      </x:c>
      <x:c r="J491" s="38" t="n">
        <x:v>8.187</x:v>
      </x:c>
      <x:c r="K491" s="38" t="n">
        <x:v>2.977</x:v>
      </x:c>
      <x:c r="L491" s="38" t="n">
        <x:f>SUM(G491:K491)</x:f>
        <x:v>325.953</x:v>
      </x:c>
      <x:c r="M491" s="38" t="n">
        <x:v>396.593</x:v>
      </x:c>
      <x:c r="N491" s="38" t="n">
        <x:v>587.78</x:v>
      </x:c>
      <x:c r="O491" s="38" t="n">
        <x:v>482.29</x:v>
      </x:c>
      <x:c r="P491" s="38" t="n">
        <x:v>400</x:v>
      </x:c>
      <x:c r="Q491" s="38" t="n">
        <x:v>19.88</x:v>
      </x:c>
      <x:c r="R491" s="38" t="n">
        <x:v>43.7475</x:v>
      </x:c>
      <x:c r="S491" s="38" t="n">
        <x:v>113.92</x:v>
      </x:c>
      <x:c r="T491" s="40" t="n">
        <x:v>17.43</x:v>
      </x:c>
      <x:c r="U491" s="40" t="n">
        <x:v>1.31</x:v>
      </x:c>
      <x:c r="V491" s="38" t="n">
        <x:f>L491*(1-T491/100)*(1-U491/100)</x:f>
        <x:v>265.61366606349</x:v>
      </x:c>
      <x:c r="W491" s="38" t="n">
        <x:f>G491*N491</x:f>
        <x:v>134217.79966</x:v>
      </x:c>
      <x:c r="X491" s="38" t="n">
        <x:f>H491*O491</x:f>
        <x:v>34791.43602</x:v>
      </x:c>
      <x:c r="Y491" s="38" t="n">
        <x:f>I491*P491</x:f>
        <x:v>5721.6</x:v>
      </x:c>
      <x:c r="Z491" s="38" t="n">
        <x:f>J491*Q491+K491*P491</x:f>
        <x:v>1353.55756</x:v>
      </x:c>
      <x:c r="AA491" s="38" t="n">
        <x:f>M491*R491</x:f>
        <x:v>17349.9522675</x:v>
      </x:c>
      <x:c r="AB491" s="38" t="n">
        <x:f>SUM(W491:AA491)</x:f>
        <x:v>193434.34550749997</x:v>
      </x:c>
      <x:c r="AC491" s="38" t="n">
        <x:v>12.81</x:v>
      </x:c>
      <x:c r="AD491" s="38" t="n">
        <x:v>174.33</x:v>
      </x:c>
      <x:c r="AE491" s="38" t="n">
        <x:v>82.82</x:v>
      </x:c>
      <x:c r="AF491" s="38" t="n">
        <x:v>4.8148</x:v>
      </x:c>
      <x:c r="AG491" s="38" t="n">
        <x:v>5.7</x:v>
      </x:c>
      <x:c r="AH491" s="38" t="n">
        <x:f>IF(E491="Fason",L491*S491,0)</x:f>
        <x:v>37132.56576</x:v>
      </x:c>
      <x:c r="AI491" s="38" t="n">
        <x:f>IF(E491="Kurum içi",AC491*AD491+AE491*AF491+AB491*12%,0)</x:f>
        <x:v>0</x:v>
      </x:c>
      <x:c r="AJ491" s="38" t="n">
        <x:f>V491*AG491</x:f>
        <x:v>1513.997896561893</x:v>
      </x:c>
      <x:c r="AK491" s="38" t="n">
        <x:f>AB491*2%</x:f>
        <x:v>3868.686910149999</x:v>
      </x:c>
      <x:c r="AL491" s="38" t="n">
        <x:f>AB491+AH491+AI491+AJ491+AK491</x:f>
        <x:v>235949.59607421185</x:v>
      </x:c>
      <x:c r="AM491" s="38" t="n">
        <x:f>AL491/V491</x:f>
        <x:v>888.318735895963</x:v>
      </x:c>
      <x:c r="AN491" s="40" t="n">
        <x:f>(W491+X491)/AL491*100</x:f>
        <x:v>71.62938122888013</x:v>
      </x:c>
      <x:c r="AO491" s="28" t="str">
        <x:v>R01-R20; ilgili satırdaki bölgesel fiyat ve maliyet varsayımları</x:v>
      </x:c>
      <x:c r="AP491" s="28" t="str">
        <x:v>Girdi miktarları, alım fiyatı değişimi, fason bedeli ve parti sonucu simüle edilmiştir; işletme kaydı değildir.</x:v>
      </x:c>
    </x:row>
    <x:row r="492" ht="22" customHeight="1">
      <x:c r="A492" t="str">
        <x:v>SUC-0491</x:v>
      </x:c>
      <x:c r="B492" s="36" t="n">
        <x:v>46287</x:v>
      </x:c>
      <x:c r="C492" t="str">
        <x:v>İç Anadolu</x:v>
      </x:c>
      <x:c r="D492" t="str">
        <x:v>MEB_STANDART</x:v>
      </x:c>
      <x:c r="E492" t="str">
        <x:v>Fason</x:v>
      </x:c>
      <x:c r="F492" s="42" t="str">
        <x:v>SENTETİK/SİMÜLE — gerçek parti kaydı değildir</x:v>
      </x:c>
      <x:c r="G492" s="38" t="n">
        <x:v>336.111</x:v>
      </x:c>
      <x:c r="H492" s="38" t="n">
        <x:v>100.809</x:v>
      </x:c>
      <x:c r="I492" s="38" t="n">
        <x:v>21.575</x:v>
      </x:c>
      <x:c r="J492" s="38" t="n">
        <x:v>12.566</x:v>
      </x:c>
      <x:c r="K492" s="38" t="n">
        <x:v>4.544</x:v>
      </x:c>
      <x:c r="L492" s="38" t="n">
        <x:f>SUM(G492:K492)</x:f>
        <x:v>475.6049999999999</x:v>
      </x:c>
      <x:c r="M492" s="38" t="n">
        <x:v>589.285</x:v>
      </x:c>
      <x:c r="N492" s="38" t="n">
        <x:v>596.49</x:v>
      </x:c>
      <x:c r="O492" s="38" t="n">
        <x:v>424.52</x:v>
      </x:c>
      <x:c r="P492" s="38" t="n">
        <x:v>550</x:v>
      </x:c>
      <x:c r="Q492" s="38" t="n">
        <x:v>19.88</x:v>
      </x:c>
      <x:c r="R492" s="38" t="n">
        <x:v>43.7475</x:v>
      </x:c>
      <x:c r="S492" s="38" t="n">
        <x:v>99</x:v>
      </x:c>
      <x:c r="T492" s="40" t="n">
        <x:v>22.53</x:v>
      </x:c>
      <x:c r="U492" s="40" t="n">
        <x:v>1.65</x:v>
      </x:c>
      <x:c r="V492" s="38" t="n">
        <x:f>L492*(1-T492/100)*(1-U492/100)</x:f>
        <x:v>362.3717488072499</x:v>
      </x:c>
      <x:c r="W492" s="38" t="n">
        <x:f>G492*N492</x:f>
        <x:v>200486.85039</x:v>
      </x:c>
      <x:c r="X492" s="38" t="n">
        <x:f>H492*O492</x:f>
        <x:v>42795.43668</x:v>
      </x:c>
      <x:c r="Y492" s="38" t="n">
        <x:f>I492*P492</x:f>
        <x:v>11866.25</x:v>
      </x:c>
      <x:c r="Z492" s="38" t="n">
        <x:f>J492*Q492+K492*P492</x:f>
        <x:v>2749.01208</x:v>
      </x:c>
      <x:c r="AA492" s="38" t="n">
        <x:f>M492*R492</x:f>
        <x:v>25779.7455375</x:v>
      </x:c>
      <x:c r="AB492" s="38" t="n">
        <x:f>SUM(W492:AA492)</x:f>
        <x:v>283677.2946875</x:v>
      </x:c>
      <x:c r="AC492" s="38" t="n">
        <x:v>27.41</x:v>
      </x:c>
      <x:c r="AD492" s="38" t="n">
        <x:v>174.33</x:v>
      </x:c>
      <x:c r="AE492" s="38" t="n">
        <x:v>158.14</x:v>
      </x:c>
      <x:c r="AF492" s="38" t="n">
        <x:v>4.8148</x:v>
      </x:c>
      <x:c r="AG492" s="38" t="n">
        <x:v>5.64</x:v>
      </x:c>
      <x:c r="AH492" s="38" t="n">
        <x:f>IF(E492="Fason",L492*S492,0)</x:f>
        <x:v>47084.89499999999</x:v>
      </x:c>
      <x:c r="AI492" s="38" t="n">
        <x:f>IF(E492="Kurum içi",AC492*AD492+AE492*AF492+AB492*12%,0)</x:f>
        <x:v>0</x:v>
      </x:c>
      <x:c r="AJ492" s="38" t="n">
        <x:f>V492*AG492</x:f>
        <x:v>2043.7766632728894</x:v>
      </x:c>
      <x:c r="AK492" s="38" t="n">
        <x:f>AB492*2%</x:f>
        <x:v>5673.54589375</x:v>
      </x:c>
      <x:c r="AL492" s="38" t="n">
        <x:f>AB492+AH492+AI492+AJ492+AK492</x:f>
        <x:v>338479.51224452286</x:v>
      </x:c>
      <x:c r="AM492" s="38" t="n">
        <x:f>AL492/V492</x:f>
        <x:v>934.0670550577727</x:v>
      </x:c>
      <x:c r="AN492" s="40" t="n">
        <x:f>(W492+X492)/AL492*100</x:f>
        <x:v>71.87504066545958</x:v>
      </x:c>
      <x:c r="AO492" s="28" t="str">
        <x:v>R01-R20; ilgili satırdaki bölgesel fiyat ve maliyet varsayımları</x:v>
      </x:c>
      <x:c r="AP492" s="28" t="str">
        <x:v>Girdi miktarları, alım fiyatı değişimi, fason bedeli ve parti sonucu simüle edilmiştir; işletme kaydı değildir.</x:v>
      </x:c>
    </x:row>
    <x:row r="493" ht="22" customHeight="1">
      <x:c r="A493" t="str">
        <x:v>SUC-0492</x:v>
      </x:c>
      <x:c r="B493" s="36" t="n">
        <x:v>46310</x:v>
      </x:c>
      <x:c r="C493" t="str">
        <x:v>Akdeniz</x:v>
      </x:c>
      <x:c r="D493" t="str">
        <x:v>ERZURUM_CI</x:v>
      </x:c>
      <x:c r="E493" t="str">
        <x:v>Kurum içi</x:v>
      </x:c>
      <x:c r="F493" s="42" t="str">
        <x:v>SENTETİK/SİMÜLE — gerçek parti kaydı değildir</x:v>
      </x:c>
      <x:c r="G493" s="38" t="n">
        <x:v>334.718</x:v>
      </x:c>
      <x:c r="H493" s="38" t="n">
        <x:v>59.916</x:v>
      </x:c>
      <x:c r="I493" s="38" t="n">
        <x:v>18.932</x:v>
      </x:c>
      <x:c r="J493" s="38" t="n">
        <x:v>6.078</x:v>
      </x:c>
      <x:c r="K493" s="38" t="n">
        <x:v>0.798</x:v>
      </x:c>
      <x:c r="L493" s="38" t="n">
        <x:f>SUM(G493:K493)</x:f>
        <x:v>420.442</x:v>
      </x:c>
      <x:c r="M493" s="38" t="n">
        <x:v>490.528</x:v>
      </x:c>
      <x:c r="N493" s="38" t="n">
        <x:v>606.75</x:v>
      </x:c>
      <x:c r="O493" s="38" t="n">
        <x:v>450.47</x:v>
      </x:c>
      <x:c r="P493" s="38" t="n">
        <x:v>400</x:v>
      </x:c>
      <x:c r="Q493" s="38" t="n">
        <x:v>19.88</x:v>
      </x:c>
      <x:c r="R493" s="38" t="n">
        <x:v>43.7475</x:v>
      </x:c>
      <x:c r="S493" s="38" t="n">
        <x:v>71.8</x:v>
      </x:c>
      <x:c r="T493" s="40" t="n">
        <x:v>19.55</x:v>
      </x:c>
      <x:c r="U493" s="40" t="n">
        <x:v>0.93</x:v>
      </x:c>
      <x:c r="V493" s="38" t="n">
        <x:f>L493*(1-T493/100)*(1-U493/100)</x:f>
        <x:v>335.0999050223</x:v>
      </x:c>
      <x:c r="W493" s="38" t="n">
        <x:f>G493*N493</x:f>
        <x:v>203090.1465</x:v>
      </x:c>
      <x:c r="X493" s="38" t="n">
        <x:f>H493*O493</x:f>
        <x:v>26990.360520000002</x:v>
      </x:c>
      <x:c r="Y493" s="38" t="n">
        <x:f>I493*P493</x:f>
        <x:v>7572.799999999999</x:v>
      </x:c>
      <x:c r="Z493" s="38" t="n">
        <x:f>J493*Q493+K493*P493</x:f>
        <x:v>440.03064000000006</x:v>
      </x:c>
      <x:c r="AA493" s="38" t="n">
        <x:f>M493*R493</x:f>
        <x:v>21459.37368</x:v>
      </x:c>
      <x:c r="AB493" s="38" t="n">
        <x:f>SUM(W493:AA493)</x:f>
        <x:v>259552.71134</x:v>
      </x:c>
      <x:c r="AC493" s="38" t="n">
        <x:v>18.42</x:v>
      </x:c>
      <x:c r="AD493" s="38" t="n">
        <x:v>174.33</x:v>
      </x:c>
      <x:c r="AE493" s="38" t="n">
        <x:v>199.82</x:v>
      </x:c>
      <x:c r="AF493" s="38" t="n">
        <x:v>4.8148</x:v>
      </x:c>
      <x:c r="AG493" s="38" t="n">
        <x:v>5.57</x:v>
      </x:c>
      <x:c r="AH493" s="38" t="n">
        <x:f>IF(E493="Fason",L493*S493,0)</x:f>
        <x:v>0</x:v>
      </x:c>
      <x:c r="AI493" s="38" t="n">
        <x:f>IF(E493="Kurum içi",AC493*AD493+AE493*AF493+AB493*12%,0)</x:f>
        <x:v>35319.5772968</x:v>
      </x:c>
      <x:c r="AJ493" s="38" t="n">
        <x:f>V493*AG493</x:f>
        <x:v>1866.506470974211</x:v>
      </x:c>
      <x:c r="AK493" s="38" t="n">
        <x:f>AB493*2%</x:f>
        <x:v>5191.0542268</x:v>
      </x:c>
      <x:c r="AL493" s="38" t="n">
        <x:f>AB493+AH493+AI493+AJ493+AK493</x:f>
        <x:v>301929.8493345742</x:v>
      </x:c>
      <x:c r="AM493" s="38" t="n">
        <x:f>AL493/V493</x:f>
        <x:v>901.0144282627641</x:v>
      </x:c>
      <x:c r="AN493" s="40" t="n">
        <x:f>(W493+X493)/AL493*100</x:f>
        <x:v>76.20329938463402</x:v>
      </x:c>
      <x:c r="AO493" s="28" t="str">
        <x:v>R01-R20; ilgili satırdaki bölgesel fiyat ve maliyet varsayımları</x:v>
      </x:c>
      <x:c r="AP493" s="28" t="str">
        <x:v>Girdi miktarları, alım fiyatı değişimi, fason bedeli ve parti sonucu simüle edilmiştir; işletme kaydı değildir.</x:v>
      </x:c>
    </x:row>
    <x:row r="494" ht="22" customHeight="1">
      <x:c r="A494" t="str">
        <x:v>SUC-0493</x:v>
      </x:c>
      <x:c r="B494" s="36" t="n">
        <x:v>46300</x:v>
      </x:c>
      <x:c r="C494" t="str">
        <x:v>İç Anadolu</x:v>
      </x:c>
      <x:c r="D494" t="str">
        <x:v>ERZURUM_CI</x:v>
      </x:c>
      <x:c r="E494" t="str">
        <x:v>Kurum içi</x:v>
      </x:c>
      <x:c r="F494" s="42" t="str">
        <x:v>SENTETİK/SİMÜLE — gerçek parti kaydı değildir</x:v>
      </x:c>
      <x:c r="G494" s="38" t="n">
        <x:v>310.948</x:v>
      </x:c>
      <x:c r="H494" s="38" t="n">
        <x:v>55.39</x:v>
      </x:c>
      <x:c r="I494" s="38" t="n">
        <x:v>18.313</x:v>
      </x:c>
      <x:c r="J494" s="38" t="n">
        <x:v>6.476</x:v>
      </x:c>
      <x:c r="K494" s="38" t="n">
        <x:v>0.719</x:v>
      </x:c>
      <x:c r="L494" s="38" t="n">
        <x:f>SUM(G494:K494)</x:f>
        <x:v>391.84599999999995</x:v>
      </x:c>
      <x:c r="M494" s="38" t="n">
        <x:v>511.515</x:v>
      </x:c>
      <x:c r="N494" s="38" t="n">
        <x:v>578.46</x:v>
      </x:c>
      <x:c r="O494" s="38" t="n">
        <x:v>464.32</x:v>
      </x:c>
      <x:c r="P494" s="38" t="n">
        <x:v>550</x:v>
      </x:c>
      <x:c r="Q494" s="38" t="n">
        <x:v>19.88</x:v>
      </x:c>
      <x:c r="R494" s="38" t="n">
        <x:v>43.7475</x:v>
      </x:c>
      <x:c r="S494" s="38" t="n">
        <x:v>109.31</x:v>
      </x:c>
      <x:c r="T494" s="40" t="n">
        <x:v>17.13</x:v>
      </x:c>
      <x:c r="U494" s="40" t="n">
        <x:v>0.61</x:v>
      </x:c>
      <x:c r="V494" s="38" t="n">
        <x:f>L494*(1-T494/100)*(1-U494/100)</x:f>
        <x:v>322.74197124077995</x:v>
      </x:c>
      <x:c r="W494" s="38" t="n">
        <x:f>G494*N494</x:f>
        <x:v>179870.98008</x:v>
      </x:c>
      <x:c r="X494" s="38" t="n">
        <x:f>H494*O494</x:f>
        <x:v>25718.6848</x:v>
      </x:c>
      <x:c r="Y494" s="38" t="n">
        <x:f>I494*P494</x:f>
        <x:v>10072.15</x:v>
      </x:c>
      <x:c r="Z494" s="38" t="n">
        <x:f>J494*Q494+K494*P494</x:f>
        <x:v>524.19288</x:v>
      </x:c>
      <x:c r="AA494" s="38" t="n">
        <x:f>M494*R494</x:f>
        <x:v>22377.5024625</x:v>
      </x:c>
      <x:c r="AB494" s="38" t="n">
        <x:f>SUM(W494:AA494)</x:f>
        <x:v>238563.5102225</x:v>
      </x:c>
      <x:c r="AC494" s="38" t="n">
        <x:v>17.76</x:v>
      </x:c>
      <x:c r="AD494" s="38" t="n">
        <x:v>174.33</x:v>
      </x:c>
      <x:c r="AE494" s="38" t="n">
        <x:v>134.1</x:v>
      </x:c>
      <x:c r="AF494" s="38" t="n">
        <x:v>4.8148</x:v>
      </x:c>
      <x:c r="AG494" s="38" t="n">
        <x:v>5.56</x:v>
      </x:c>
      <x:c r="AH494" s="38" t="n">
        <x:f>IF(E494="Fason",L494*S494,0)</x:f>
        <x:v>0</x:v>
      </x:c>
      <x:c r="AI494" s="38" t="n">
        <x:f>IF(E494="Kurum içi",AC494*AD494+AE494*AF494+AB494*12%,0)</x:f>
        <x:v>32369.3867067</x:v>
      </x:c>
      <x:c r="AJ494" s="38" t="n">
        <x:f>V494*AG494</x:f>
        <x:v>1794.4453600987363</x:v>
      </x:c>
      <x:c r="AK494" s="38" t="n">
        <x:f>AB494*2%</x:f>
        <x:v>4771.27020445</x:v>
      </x:c>
      <x:c r="AL494" s="38" t="n">
        <x:f>AB494+AH494+AI494+AJ494+AK494</x:f>
        <x:v>277498.6124937487</x:v>
      </x:c>
      <x:c r="AM494" s="38" t="n">
        <x:f>AL494/V494</x:f>
        <x:v>859.8156955753435</x:v>
      </x:c>
      <x:c r="AN494" s="40" t="n">
        <x:f>(W494+X494)/AL494*100</x:f>
        <x:v>74.08673615787227</x:v>
      </x:c>
      <x:c r="AO494" s="28" t="str">
        <x:v>R01-R20; ilgili satırdaki bölgesel fiyat ve maliyet varsayımları</x:v>
      </x:c>
      <x:c r="AP494" s="28" t="str">
        <x:v>Girdi miktarları, alım fiyatı değişimi, fason bedeli ve parti sonucu simüle edilmiştir; işletme kaydı değildir.</x:v>
      </x:c>
    </x:row>
    <x:row r="495" ht="22" customHeight="1">
      <x:c r="A495" t="str">
        <x:v>SUC-0494</x:v>
      </x:c>
      <x:c r="B495" s="36" t="n">
        <x:v>46288</x:v>
      </x:c>
      <x:c r="C495" t="str">
        <x:v>Akdeniz</x:v>
      </x:c>
      <x:c r="D495" t="str">
        <x:v>ERZURUM_CI</x:v>
      </x:c>
      <x:c r="E495" t="str">
        <x:v>Kurum içi</x:v>
      </x:c>
      <x:c r="F495" s="42" t="str">
        <x:v>SENTETİK/SİMÜLE — gerçek parti kaydı değildir</x:v>
      </x:c>
      <x:c r="G495" s="38" t="n">
        <x:v>310.79</x:v>
      </x:c>
      <x:c r="H495" s="38" t="n">
        <x:v>56.007</x:v>
      </x:c>
      <x:c r="I495" s="38" t="n">
        <x:v>19.124</x:v>
      </x:c>
      <x:c r="J495" s="38" t="n">
        <x:v>6.531</x:v>
      </x:c>
      <x:c r="K495" s="38" t="n">
        <x:v>0.327</x:v>
      </x:c>
      <x:c r="L495" s="38" t="n">
        <x:f>SUM(G495:K495)</x:f>
        <x:v>392.77900000000005</x:v>
      </x:c>
      <x:c r="M495" s="38" t="n">
        <x:v>497.965</x:v>
      </x:c>
      <x:c r="N495" s="38" t="n">
        <x:v>586.31</x:v>
      </x:c>
      <x:c r="O495" s="38" t="n">
        <x:v>469.19</x:v>
      </x:c>
      <x:c r="P495" s="38" t="n">
        <x:v>550</x:v>
      </x:c>
      <x:c r="Q495" s="38" t="n">
        <x:v>19.88</x:v>
      </x:c>
      <x:c r="R495" s="38" t="n">
        <x:v>43.7475</x:v>
      </x:c>
      <x:c r="S495" s="38" t="n">
        <x:v>111.84</x:v>
      </x:c>
      <x:c r="T495" s="40" t="n">
        <x:v>21.53</x:v>
      </x:c>
      <x:c r="U495" s="40" t="n">
        <x:v>0.53</x:v>
      </x:c>
      <x:c r="V495" s="38" t="n">
        <x:f>L495*(1-T495/100)*(1-U495/100)</x:f>
        <x:v>306.58014878911</x:v>
      </x:c>
      <x:c r="W495" s="38" t="n">
        <x:f>G495*N495</x:f>
        <x:v>182219.2849</x:v>
      </x:c>
      <x:c r="X495" s="38" t="n">
        <x:f>H495*O495</x:f>
        <x:v>26277.924329999998</x:v>
      </x:c>
      <x:c r="Y495" s="38" t="n">
        <x:f>I495*P495</x:f>
        <x:v>10518.199999999999</x:v>
      </x:c>
      <x:c r="Z495" s="38" t="n">
        <x:f>J495*Q495+K495*P495</x:f>
        <x:v>309.68628</x:v>
      </x:c>
      <x:c r="AA495" s="38" t="n">
        <x:f>M495*R495</x:f>
        <x:v>21784.7238375</x:v>
      </x:c>
      <x:c r="AB495" s="38" t="n">
        <x:f>SUM(W495:AA495)</x:f>
        <x:v>241109.81934750002</x:v>
      </x:c>
      <x:c r="AC495" s="38" t="n">
        <x:v>18.37</x:v>
      </x:c>
      <x:c r="AD495" s="38" t="n">
        <x:v>174.33</x:v>
      </x:c>
      <x:c r="AE495" s="38" t="n">
        <x:v>150.9</x:v>
      </x:c>
      <x:c r="AF495" s="38" t="n">
        <x:v>4.8148</x:v>
      </x:c>
      <x:c r="AG495" s="38" t="n">
        <x:v>5.17</x:v>
      </x:c>
      <x:c r="AH495" s="38" t="n">
        <x:f>IF(E495="Fason",L495*S495,0)</x:f>
        <x:v>0</x:v>
      </x:c>
      <x:c r="AI495" s="38" t="n">
        <x:f>IF(E495="Kurum içi",AC495*AD495+AE495*AF495+AB495*12%,0)</x:f>
        <x:v>32862.173741700004</x:v>
      </x:c>
      <x:c r="AJ495" s="38" t="n">
        <x:f>V495*AG495</x:f>
        <x:v>1585.0193692396988</x:v>
      </x:c>
      <x:c r="AK495" s="38" t="n">
        <x:f>AB495*2%</x:f>
        <x:v>4822.1963869500005</x:v>
      </x:c>
      <x:c r="AL495" s="38" t="n">
        <x:f>AB495+AH495+AI495+AJ495+AK495</x:f>
        <x:v>280379.20884538966</x:v>
      </x:c>
      <x:c r="AM495" s="38" t="n">
        <x:f>AL495/V495</x:f>
        <x:v>914.5380415294161</x:v>
      </x:c>
      <x:c r="AN495" s="40" t="n">
        <x:f>(W495+X495)/AL495*100</x:f>
        <x:v>74.36257848383197</x:v>
      </x:c>
      <x:c r="AO495" s="28" t="str">
        <x:v>R01-R20; ilgili satırdaki bölgesel fiyat ve maliyet varsayımları</x:v>
      </x:c>
      <x:c r="AP495" s="28" t="str">
        <x:v>Girdi miktarları, alım fiyatı değişimi, fason bedeli ve parti sonucu simüle edilmiştir; işletme kaydı değildir.</x:v>
      </x:c>
    </x:row>
    <x:row r="496" ht="22" customHeight="1">
      <x:c r="A496" t="str">
        <x:v>SUC-0495</x:v>
      </x:c>
      <x:c r="B496" s="36" t="n">
        <x:v>46314</x:v>
      </x:c>
      <x:c r="C496" t="str">
        <x:v>Akdeniz</x:v>
      </x:c>
      <x:c r="D496" t="str">
        <x:v>MEB_STANDART</x:v>
      </x:c>
      <x:c r="E496" t="str">
        <x:v>Fason</x:v>
      </x:c>
      <x:c r="F496" s="42" t="str">
        <x:v>SENTETİK/SİMÜLE — gerçek parti kaydı değildir</x:v>
      </x:c>
      <x:c r="G496" s="38" t="n">
        <x:v>93.269</x:v>
      </x:c>
      <x:c r="H496" s="38" t="n">
        <x:v>29.901</x:v>
      </x:c>
      <x:c r="I496" s="38" t="n">
        <x:v>6.266</x:v>
      </x:c>
      <x:c r="J496" s="38" t="n">
        <x:v>3.07</x:v>
      </x:c>
      <x:c r="K496" s="38" t="n">
        <x:v>1.506</x:v>
      </x:c>
      <x:c r="L496" s="38" t="n">
        <x:f>SUM(G496:K496)</x:f>
        <x:v>134.012</x:v>
      </x:c>
      <x:c r="M496" s="38" t="n">
        <x:v>177.718</x:v>
      </x:c>
      <x:c r="N496" s="38" t="n">
        <x:v>591.57</x:v>
      </x:c>
      <x:c r="O496" s="38" t="n">
        <x:v>446.77</x:v>
      </x:c>
      <x:c r="P496" s="38" t="n">
        <x:v>550</x:v>
      </x:c>
      <x:c r="Q496" s="38" t="n">
        <x:v>19.88</x:v>
      </x:c>
      <x:c r="R496" s="38" t="n">
        <x:v>43.7475</x:v>
      </x:c>
      <x:c r="S496" s="38" t="n">
        <x:v>101.34</x:v>
      </x:c>
      <x:c r="T496" s="40" t="n">
        <x:v>22.36</x:v>
      </x:c>
      <x:c r="U496" s="40" t="n">
        <x:v>1.12</x:v>
      </x:c>
      <x:c r="V496" s="38" t="n">
        <x:f>L496*(1-T496/100)*(1-U496/100)</x:f>
        <x:v>102.88159133184</x:v>
      </x:c>
      <x:c r="W496" s="38" t="n">
        <x:f>G496*N496</x:f>
        <x:v>55175.14233000001</x:v>
      </x:c>
      <x:c r="X496" s="38" t="n">
        <x:f>H496*O496</x:f>
        <x:v>13358.86977</x:v>
      </x:c>
      <x:c r="Y496" s="38" t="n">
        <x:f>I496*P496</x:f>
        <x:v>3446.3</x:v>
      </x:c>
      <x:c r="Z496" s="38" t="n">
        <x:f>J496*Q496+K496*P496</x:f>
        <x:v>889.3316</x:v>
      </x:c>
      <x:c r="AA496" s="38" t="n">
        <x:f>M496*R496</x:f>
        <x:v>7774.718205</x:v>
      </x:c>
      <x:c r="AB496" s="38" t="n">
        <x:f>SUM(W496:AA496)</x:f>
        <x:v>80644.36190500001</x:v>
      </x:c>
      <x:c r="AC496" s="38" t="n">
        <x:v>5.8</x:v>
      </x:c>
      <x:c r="AD496" s="38" t="n">
        <x:v>174.33</x:v>
      </x:c>
      <x:c r="AE496" s="38" t="n">
        <x:v>60.52</x:v>
      </x:c>
      <x:c r="AF496" s="38" t="n">
        <x:v>4.8148</x:v>
      </x:c>
      <x:c r="AG496" s="38" t="n">
        <x:v>5.19</x:v>
      </x:c>
      <x:c r="AH496" s="38" t="n">
        <x:f>IF(E496="Fason",L496*S496,0)</x:f>
        <x:v>13580.77608</x:v>
      </x:c>
      <x:c r="AI496" s="38" t="n">
        <x:f>IF(E496="Kurum içi",AC496*AD496+AE496*AF496+AB496*12%,0)</x:f>
        <x:v>0</x:v>
      </x:c>
      <x:c r="AJ496" s="38" t="n">
        <x:f>V496*AG496</x:f>
        <x:v>533.9554590122497</x:v>
      </x:c>
      <x:c r="AK496" s="38" t="n">
        <x:f>AB496*2%</x:f>
        <x:v>1612.8872381000003</x:v>
      </x:c>
      <x:c r="AL496" s="38" t="n">
        <x:f>AB496+AH496+AI496+AJ496+AK496</x:f>
        <x:v>96371.98068211225</x:v>
      </x:c>
      <x:c r="AM496" s="38" t="n">
        <x:f>AL496/V496</x:f>
        <x:v>936.7271582266716</x:v>
      </x:c>
      <x:c r="AN496" s="40" t="n">
        <x:f>(W496+X496)/AL496*100</x:f>
        <x:v>71.11404332973382</x:v>
      </x:c>
      <x:c r="AO496" s="28" t="str">
        <x:v>R01-R20; ilgili satırdaki bölgesel fiyat ve maliyet varsayımları</x:v>
      </x:c>
      <x:c r="AP496" s="28" t="str">
        <x:v>Girdi miktarları, alım fiyatı değişimi, fason bedeli ve parti sonucu simüle edilmiştir; işletme kaydı değildir.</x:v>
      </x:c>
    </x:row>
    <x:row r="497" ht="22" customHeight="1">
      <x:c r="A497" t="str">
        <x:v>SUC-0496</x:v>
      </x:c>
      <x:c r="B497" s="36" t="n">
        <x:v>46288</x:v>
      </x:c>
      <x:c r="C497" t="str">
        <x:v>Akdeniz</x:v>
      </x:c>
      <x:c r="D497" t="str">
        <x:v>ERZURUM_CI</x:v>
      </x:c>
      <x:c r="E497" t="str">
        <x:v>Kurum içi</x:v>
      </x:c>
      <x:c r="F497" s="42" t="str">
        <x:v>SENTETİK/SİMÜLE — gerçek parti kaydı değildir</x:v>
      </x:c>
      <x:c r="G497" s="38" t="n">
        <x:v>326.048</x:v>
      </x:c>
      <x:c r="H497" s="38" t="n">
        <x:v>61.234</x:v>
      </x:c>
      <x:c r="I497" s="38" t="n">
        <x:v>18.618</x:v>
      </x:c>
      <x:c r="J497" s="38" t="n">
        <x:v>6.986</x:v>
      </x:c>
      <x:c r="K497" s="38" t="n">
        <x:v>0.501</x:v>
      </x:c>
      <x:c r="L497" s="38" t="n">
        <x:f>SUM(G497:K497)</x:f>
        <x:v>413.38699999999994</x:v>
      </x:c>
      <x:c r="M497" s="38" t="n">
        <x:v>557.316</x:v>
      </x:c>
      <x:c r="N497" s="38" t="n">
        <x:v>578.44</x:v>
      </x:c>
      <x:c r="O497" s="38" t="n">
        <x:v>459.41</x:v>
      </x:c>
      <x:c r="P497" s="38" t="n">
        <x:v>669.9</x:v>
      </x:c>
      <x:c r="Q497" s="38" t="n">
        <x:v>19.88</x:v>
      </x:c>
      <x:c r="R497" s="38" t="n">
        <x:v>43.7475</x:v>
      </x:c>
      <x:c r="S497" s="38" t="n">
        <x:v>76.85</x:v>
      </x:c>
      <x:c r="T497" s="40" t="n">
        <x:v>22.22</x:v>
      </x:c>
      <x:c r="U497" s="40" t="n">
        <x:v>0.38</x:v>
      </x:c>
      <x:c r="V497" s="38" t="n">
        <x:f>L497*(1-T497/100)*(1-U497/100)</x:f>
        <x:v>320.31058544731997</x:v>
      </x:c>
      <x:c r="W497" s="38" t="n">
        <x:f>G497*N497</x:f>
        <x:v>188599.20512000003</x:v>
      </x:c>
      <x:c r="X497" s="38" t="n">
        <x:f>H497*O497</x:f>
        <x:v>28131.511940000004</x:v>
      </x:c>
      <x:c r="Y497" s="38" t="n">
        <x:f>I497*P497</x:f>
        <x:v>12472.198199999999</x:v>
      </x:c>
      <x:c r="Z497" s="38" t="n">
        <x:f>J497*Q497+K497*P497</x:f>
        <x:v>474.50158</x:v>
      </x:c>
      <x:c r="AA497" s="38" t="n">
        <x:f>M497*R497</x:f>
        <x:v>24381.181710000004</x:v>
      </x:c>
      <x:c r="AB497" s="38" t="n">
        <x:f>SUM(W497:AA497)</x:f>
        <x:v>254058.59855000005</x:v>
      </x:c>
      <x:c r="AC497" s="38" t="n">
        <x:v>22.18</x:v>
      </x:c>
      <x:c r="AD497" s="38" t="n">
        <x:v>174.33</x:v>
      </x:c>
      <x:c r="AE497" s="38" t="n">
        <x:v>142.97</x:v>
      </x:c>
      <x:c r="AF497" s="38" t="n">
        <x:v>4.8148</x:v>
      </x:c>
      <x:c r="AG497" s="38" t="n">
        <x:v>5.44</x:v>
      </x:c>
      <x:c r="AH497" s="38" t="n">
        <x:f>IF(E497="Fason",L497*S497,0)</x:f>
        <x:v>0</x:v>
      </x:c>
      <x:c r="AI497" s="38" t="n">
        <x:f>IF(E497="Kurum içi",AC497*AD497+AE497*AF497+AB497*12%,0)</x:f>
        <x:v>35042.04318200001</x:v>
      </x:c>
      <x:c r="AJ497" s="38" t="n">
        <x:f>V497*AG497</x:f>
        <x:v>1742.4895848334208</x:v>
      </x:c>
      <x:c r="AK497" s="38" t="n">
        <x:f>AB497*2%</x:f>
        <x:v>5081.171971000002</x:v>
      </x:c>
      <x:c r="AL497" s="38" t="n">
        <x:f>AB497+AH497+AI497+AJ497+AK497</x:f>
        <x:v>295924.30328783346</x:v>
      </x:c>
      <x:c r="AM497" s="38" t="n">
        <x:f>AL497/V497</x:f>
        <x:v>923.8667616137925</x:v>
      </x:c>
      <x:c r="AN497" s="40" t="n">
        <x:f>(W497+X497)/AL497*100</x:f>
        <x:v>73.23856629956983</x:v>
      </x:c>
      <x:c r="AO497" s="28" t="str">
        <x:v>R01-R20; ilgili satırdaki bölgesel fiyat ve maliyet varsayımları</x:v>
      </x:c>
      <x:c r="AP497" s="28" t="str">
        <x:v>Girdi miktarları, alım fiyatı değişimi, fason bedeli ve parti sonucu simüle edilmiştir; işletme kaydı değildir.</x:v>
      </x:c>
    </x:row>
    <x:row r="498" ht="22" customHeight="1">
      <x:c r="A498" t="str">
        <x:v>SUC-0497</x:v>
      </x:c>
      <x:c r="B498" s="36" t="n">
        <x:v>46295</x:v>
      </x:c>
      <x:c r="C498" t="str">
        <x:v>Karadeniz</x:v>
      </x:c>
      <x:c r="D498" t="str">
        <x:v>MEB_STANDART</x:v>
      </x:c>
      <x:c r="E498" t="str">
        <x:v>Kurum içi</x:v>
      </x:c>
      <x:c r="F498" s="42" t="str">
        <x:v>SENTETİK/SİMÜLE — gerçek parti kaydı değildir</x:v>
      </x:c>
      <x:c r="G498" s="38" t="n">
        <x:v>311.563</x:v>
      </x:c>
      <x:c r="H498" s="38" t="n">
        <x:v>100.09</x:v>
      </x:c>
      <x:c r="I498" s="38" t="n">
        <x:v>19.216</x:v>
      </x:c>
      <x:c r="J498" s="38" t="n">
        <x:v>11.551</x:v>
      </x:c>
      <x:c r="K498" s="38" t="n">
        <x:v>3.797</x:v>
      </x:c>
      <x:c r="L498" s="38" t="n">
        <x:f>SUM(G498:K498)</x:f>
        <x:v>446.21700000000004</x:v>
      </x:c>
      <x:c r="M498" s="38" t="n">
        <x:v>551.588</x:v>
      </x:c>
      <x:c r="N498" s="38" t="n">
        <x:v>608.15</x:v>
      </x:c>
      <x:c r="O498" s="38" t="n">
        <x:v>441.33</x:v>
      </x:c>
      <x:c r="P498" s="38" t="n">
        <x:v>669.9</x:v>
      </x:c>
      <x:c r="Q498" s="38" t="n">
        <x:v>19.88</x:v>
      </x:c>
      <x:c r="R498" s="38" t="n">
        <x:v>43.7475</x:v>
      </x:c>
      <x:c r="S498" s="38" t="n">
        <x:v>81.79</x:v>
      </x:c>
      <x:c r="T498" s="40" t="n">
        <x:v>17.74</x:v>
      </x:c>
      <x:c r="U498" s="40" t="n">
        <x:v>0.83</x:v>
      </x:c>
      <x:c r="V498" s="38" t="n">
        <x:f>L498*(1-T498/100)*(1-U498/100)</x:f>
        <x:v>364.0115219351401</x:v>
      </x:c>
      <x:c r="W498" s="38" t="n">
        <x:f>G498*N498</x:f>
        <x:v>189477.03845</x:v>
      </x:c>
      <x:c r="X498" s="38" t="n">
        <x:f>H498*O498</x:f>
        <x:v>44172.7197</x:v>
      </x:c>
      <x:c r="Y498" s="38" t="n">
        <x:f>I498*P498</x:f>
        <x:v>12872.7984</x:v>
      </x:c>
      <x:c r="Z498" s="38" t="n">
        <x:f>J498*Q498+K498*P498</x:f>
        <x:v>2773.2441799999997</x:v>
      </x:c>
      <x:c r="AA498" s="38" t="n">
        <x:f>M498*R498</x:f>
        <x:v>24130.59603</x:v>
      </x:c>
      <x:c r="AB498" s="38" t="n">
        <x:f>SUM(W498:AA498)</x:f>
        <x:v>273426.39676000003</x:v>
      </x:c>
      <x:c r="AC498" s="38" t="n">
        <x:v>24.78</x:v>
      </x:c>
      <x:c r="AD498" s="38" t="n">
        <x:v>174.33</x:v>
      </x:c>
      <x:c r="AE498" s="38" t="n">
        <x:v>130.51</x:v>
      </x:c>
      <x:c r="AF498" s="38" t="n">
        <x:v>4.8148</x:v>
      </x:c>
      <x:c r="AG498" s="38" t="n">
        <x:v>5.76</x:v>
      </x:c>
      <x:c r="AH498" s="38" t="n">
        <x:f>IF(E498="Fason",L498*S498,0)</x:f>
        <x:v>0</x:v>
      </x:c>
      <x:c r="AI498" s="38" t="n">
        <x:f>IF(E498="Kurum içi",AC498*AD498+AE498*AF498+AB498*12%,0)</x:f>
        <x:v>37759.444559200005</x:v>
      </x:c>
      <x:c r="AJ498" s="38" t="n">
        <x:f>V498*AG498</x:f>
        <x:v>2096.706366346407</x:v>
      </x:c>
      <x:c r="AK498" s="38" t="n">
        <x:f>AB498*2%</x:f>
        <x:v>5468.527935200001</x:v>
      </x:c>
      <x:c r="AL498" s="38" t="n">
        <x:f>AB498+AH498+AI498+AJ498+AK498</x:f>
        <x:v>318751.0756207465</x:v>
      </x:c>
      <x:c r="AM498" s="38" t="n">
        <x:f>AL498/V498</x:f>
        <x:v>875.6620502730731</x:v>
      </x:c>
      <x:c r="AN498" s="40" t="n">
        <x:f>(W498+X498)/AL498*100</x:f>
        <x:v>73.30163755368753</x:v>
      </x:c>
      <x:c r="AO498" s="28" t="str">
        <x:v>R01-R20; ilgili satırdaki bölgesel fiyat ve maliyet varsayımları</x:v>
      </x:c>
      <x:c r="AP498" s="28" t="str">
        <x:v>Girdi miktarları, alım fiyatı değişimi, fason bedeli ve parti sonucu simüle edilmiştir; işletme kaydı değildir.</x:v>
      </x:c>
    </x:row>
    <x:row r="499" ht="22" customHeight="1">
      <x:c r="A499" t="str">
        <x:v>SUC-0498</x:v>
      </x:c>
      <x:c r="B499" s="36" t="n">
        <x:v>46301</x:v>
      </x:c>
      <x:c r="C499" t="str">
        <x:v>Ege</x:v>
      </x:c>
      <x:c r="D499" t="str">
        <x:v>MEB_STANDART</x:v>
      </x:c>
      <x:c r="E499" t="str">
        <x:v>Fason</x:v>
      </x:c>
      <x:c r="F499" s="42" t="str">
        <x:v>SENTETİK/SİMÜLE — gerçek parti kaydı değildir</x:v>
      </x:c>
      <x:c r="G499" s="38" t="n">
        <x:v>56.102</x:v>
      </x:c>
      <x:c r="H499" s="38" t="n">
        <x:v>17.306</x:v>
      </x:c>
      <x:c r="I499" s="38" t="n">
        <x:v>3.421</x:v>
      </x:c>
      <x:c r="J499" s="38" t="n">
        <x:v>2.097</x:v>
      </x:c>
      <x:c r="K499" s="38" t="n">
        <x:v>0.867</x:v>
      </x:c>
      <x:c r="L499" s="38" t="n">
        <x:f>SUM(G499:K499)</x:f>
        <x:v>79.793</x:v>
      </x:c>
      <x:c r="M499" s="38" t="n">
        <x:v>104.984</x:v>
      </x:c>
      <x:c r="N499" s="38" t="n">
        <x:v>595.59</x:v>
      </x:c>
      <x:c r="O499" s="38" t="n">
        <x:v>431.15</x:v>
      </x:c>
      <x:c r="P499" s="38" t="n">
        <x:v>550</x:v>
      </x:c>
      <x:c r="Q499" s="38" t="n">
        <x:v>19.88</x:v>
      </x:c>
      <x:c r="R499" s="38" t="n">
        <x:v>43.7475</x:v>
      </x:c>
      <x:c r="S499" s="38" t="n">
        <x:v>80.26</x:v>
      </x:c>
      <x:c r="T499" s="40" t="n">
        <x:v>26.44</x:v>
      </x:c>
      <x:c r="U499" s="40" t="n">
        <x:v>1.48</x:v>
      </x:c>
      <x:c r="V499" s="38" t="n">
        <x:f>L499*(1-T499/100)*(1-U499/100)</x:f>
        <x:v>57.82703398416</x:v>
      </x:c>
      <x:c r="W499" s="38" t="n">
        <x:f>G499*N499</x:f>
        <x:v>33413.790179999996</x:v>
      </x:c>
      <x:c r="X499" s="38" t="n">
        <x:f>H499*O499</x:f>
        <x:v>7461.4819</x:v>
      </x:c>
      <x:c r="Y499" s="38" t="n">
        <x:f>I499*P499</x:f>
        <x:v>1881.55</x:v>
      </x:c>
      <x:c r="Z499" s="38" t="n">
        <x:f>J499*Q499+K499*P499</x:f>
        <x:v>518.53836</x:v>
      </x:c>
      <x:c r="AA499" s="38" t="n">
        <x:f>M499*R499</x:f>
        <x:v>4592.78754</x:v>
      </x:c>
      <x:c r="AB499" s="38" t="n">
        <x:f>SUM(W499:AA499)</x:f>
        <x:v>47868.147979999994</x:v>
      </x:c>
      <x:c r="AC499" s="38" t="n">
        <x:v>3.22</x:v>
      </x:c>
      <x:c r="AD499" s="38" t="n">
        <x:v>174.33</x:v>
      </x:c>
      <x:c r="AE499" s="38" t="n">
        <x:v>34.9</x:v>
      </x:c>
      <x:c r="AF499" s="38" t="n">
        <x:v>4.8148</x:v>
      </x:c>
      <x:c r="AG499" s="38" t="n">
        <x:v>5.53</x:v>
      </x:c>
      <x:c r="AH499" s="38" t="n">
        <x:f>IF(E499="Fason",L499*S499,0)</x:f>
        <x:v>6404.186180000001</x:v>
      </x:c>
      <x:c r="AI499" s="38" t="n">
        <x:f>IF(E499="Kurum içi",AC499*AD499+AE499*AF499+AB499*12%,0)</x:f>
        <x:v>0</x:v>
      </x:c>
      <x:c r="AJ499" s="38" t="n">
        <x:f>V499*AG499</x:f>
        <x:v>319.7834979324048</x:v>
      </x:c>
      <x:c r="AK499" s="38" t="n">
        <x:f>AB499*2%</x:f>
        <x:v>957.3629596</x:v>
      </x:c>
      <x:c r="AL499" s="38" t="n">
        <x:f>AB499+AH499+AI499+AJ499+AK499</x:f>
        <x:v>55549.480617532405</x:v>
      </x:c>
      <x:c r="AM499" s="38" t="n">
        <x:f>AL499/V499</x:f>
        <x:v>960.6143837975251</x:v>
      </x:c>
      <x:c r="AN499" s="40" t="n">
        <x:f>(W499+X499)/AL499*100</x:f>
        <x:v>73.58353602157538</x:v>
      </x:c>
      <x:c r="AO499" s="28" t="str">
        <x:v>R01-R20; ilgili satırdaki bölgesel fiyat ve maliyet varsayımları</x:v>
      </x:c>
      <x:c r="AP499" s="28" t="str">
        <x:v>Girdi miktarları, alım fiyatı değişimi, fason bedeli ve parti sonucu simüle edilmiştir; işletme kaydı değildir.</x:v>
      </x:c>
    </x:row>
    <x:row r="500" ht="22" customHeight="1">
      <x:c r="A500" t="str">
        <x:v>SUC-0499</x:v>
      </x:c>
      <x:c r="B500" s="36" t="n">
        <x:v>46271</x:v>
      </x:c>
      <x:c r="C500" t="str">
        <x:v>İç Anadolu</x:v>
      </x:c>
      <x:c r="D500" t="str">
        <x:v>MEB_STANDART</x:v>
      </x:c>
      <x:c r="E500" t="str">
        <x:v>Kurum içi</x:v>
      </x:c>
      <x:c r="F500" s="42" t="str">
        <x:v>SENTETİK/SİMÜLE — gerçek parti kaydı değildir</x:v>
      </x:c>
      <x:c r="G500" s="38" t="n">
        <x:v>179.978</x:v>
      </x:c>
      <x:c r="H500" s="38" t="n">
        <x:v>58.024</x:v>
      </x:c>
      <x:c r="I500" s="38" t="n">
        <x:v>11.667</x:v>
      </x:c>
      <x:c r="J500" s="38" t="n">
        <x:v>6.18</x:v>
      </x:c>
      <x:c r="K500" s="38" t="n">
        <x:v>2.468</x:v>
      </x:c>
      <x:c r="L500" s="38" t="n">
        <x:f>SUM(G500:K500)</x:f>
        <x:v>258.317</x:v>
      </x:c>
      <x:c r="M500" s="38" t="n">
        <x:v>330.364</x:v>
      </x:c>
      <x:c r="N500" s="38" t="n">
        <x:v>578.7</x:v>
      </x:c>
      <x:c r="O500" s="38" t="n">
        <x:v>464.59</x:v>
      </x:c>
      <x:c r="P500" s="38" t="n">
        <x:v>550</x:v>
      </x:c>
      <x:c r="Q500" s="38" t="n">
        <x:v>19.88</x:v>
      </x:c>
      <x:c r="R500" s="38" t="n">
        <x:v>43.7475</x:v>
      </x:c>
      <x:c r="S500" s="38" t="n">
        <x:v>118.96</x:v>
      </x:c>
      <x:c r="T500" s="40" t="n">
        <x:v>24.86</x:v>
      </x:c>
      <x:c r="U500" s="40" t="n">
        <x:v>0.88</x:v>
      </x:c>
      <x:c r="V500" s="38" t="n">
        <x:f>L500*(1-T500/100)*(1-U500/100)</x:f>
        <x:v>192.39131913456004</x:v>
      </x:c>
      <x:c r="W500" s="38" t="n">
        <x:f>G500*N500</x:f>
        <x:v>104153.26860000001</x:v>
      </x:c>
      <x:c r="X500" s="38" t="n">
        <x:f>H500*O500</x:f>
        <x:v>26957.37016</x:v>
      </x:c>
      <x:c r="Y500" s="38" t="n">
        <x:f>I500*P500</x:f>
        <x:v>6416.849999999999</x:v>
      </x:c>
      <x:c r="Z500" s="38" t="n">
        <x:f>J500*Q500+K500*P500</x:f>
        <x:v>1480.2584000000002</x:v>
      </x:c>
      <x:c r="AA500" s="38" t="n">
        <x:f>M500*R500</x:f>
        <x:v>14452.59909</x:v>
      </x:c>
      <x:c r="AB500" s="38" t="n">
        <x:f>SUM(W500:AA500)</x:f>
        <x:v>153460.34625</x:v>
      </x:c>
      <x:c r="AC500" s="38" t="n">
        <x:v>14.31</x:v>
      </x:c>
      <x:c r="AD500" s="38" t="n">
        <x:v>174.33</x:v>
      </x:c>
      <x:c r="AE500" s="38" t="n">
        <x:v>60.42</x:v>
      </x:c>
      <x:c r="AF500" s="38" t="n">
        <x:v>4.8148</x:v>
      </x:c>
      <x:c r="AG500" s="38" t="n">
        <x:v>5.5</x:v>
      </x:c>
      <x:c r="AH500" s="38" t="n">
        <x:f>IF(E500="Fason",L500*S500,0)</x:f>
        <x:v>0</x:v>
      </x:c>
      <x:c r="AI500" s="38" t="n">
        <x:f>IF(E500="Kurum içi",AC500*AD500+AE500*AF500+AB500*12%,0)</x:f>
        <x:v>21200.814066</x:v>
      </x:c>
      <x:c r="AJ500" s="38" t="n">
        <x:f>V500*AG500</x:f>
        <x:v>1058.1522552400802</x:v>
      </x:c>
      <x:c r="AK500" s="38" t="n">
        <x:f>AB500*2%</x:f>
        <x:v>3069.206925</x:v>
      </x:c>
      <x:c r="AL500" s="38" t="n">
        <x:f>AB500+AH500+AI500+AJ500+AK500</x:f>
        <x:v>178788.51949624007</x:v>
      </x:c>
      <x:c r="AM500" s="38" t="n">
        <x:f>AL500/V500</x:f>
        <x:v>929.2961881050046</x:v>
      </x:c>
      <x:c r="AN500" s="40" t="n">
        <x:f>(W500+X500)/AL500*100</x:f>
        <x:v>73.33280633981494</x:v>
      </x:c>
      <x:c r="AO500" s="28" t="str">
        <x:v>R01-R20; ilgili satırdaki bölgesel fiyat ve maliyet varsayımları</x:v>
      </x:c>
      <x:c r="AP500" s="28" t="str">
        <x:v>Girdi miktarları, alım fiyatı değişimi, fason bedeli ve parti sonucu simüle edilmiştir; işletme kaydı değildir.</x:v>
      </x:c>
    </x:row>
    <x:row r="501" ht="22" customHeight="1">
      <x:c r="A501" t="str">
        <x:v>SUC-0500</x:v>
      </x:c>
      <x:c r="B501" s="36" t="n">
        <x:v>46312</x:v>
      </x:c>
      <x:c r="C501" t="str">
        <x:v>Ege</x:v>
      </x:c>
      <x:c r="D501" t="str">
        <x:v>MEB_STANDART</x:v>
      </x:c>
      <x:c r="E501" t="str">
        <x:v>Kurum içi</x:v>
      </x:c>
      <x:c r="F501" s="42" t="str">
        <x:v>SENTETİK/SİMÜLE — gerçek parti kaydı değildir</x:v>
      </x:c>
      <x:c r="G501" s="38" t="n">
        <x:v>270.703</x:v>
      </x:c>
      <x:c r="H501" s="38" t="n">
        <x:v>88.092</x:v>
      </x:c>
      <x:c r="I501" s="38" t="n">
        <x:v>17.477</x:v>
      </x:c>
      <x:c r="J501" s="38" t="n">
        <x:v>10.09</x:v>
      </x:c>
      <x:c r="K501" s="38" t="n">
        <x:v>3.378</x:v>
      </x:c>
      <x:c r="L501" s="38" t="n">
        <x:f>SUM(G501:K501)</x:f>
        <x:v>389.7399999999999</x:v>
      </x:c>
      <x:c r="M501" s="38" t="n">
        <x:v>482.123</x:v>
      </x:c>
      <x:c r="N501" s="38" t="n">
        <x:v>608.87</x:v>
      </x:c>
      <x:c r="O501" s="38" t="n">
        <x:v>462.19</x:v>
      </x:c>
      <x:c r="P501" s="38" t="n">
        <x:v>669.9</x:v>
      </x:c>
      <x:c r="Q501" s="38" t="n">
        <x:v>19.88</x:v>
      </x:c>
      <x:c r="R501" s="38" t="n">
        <x:v>43.7475</x:v>
      </x:c>
      <x:c r="S501" s="38" t="n">
        <x:v>115.05</x:v>
      </x:c>
      <x:c r="T501" s="40" t="n">
        <x:v>16.1</x:v>
      </x:c>
      <x:c r="U501" s="40" t="n">
        <x:v>1.3</x:v>
      </x:c>
      <x:c r="V501" s="38" t="n">
        <x:f>L501*(1-T501/100)*(1-U501/100)</x:f>
        <x:v>322.74096581999993</x:v>
      </x:c>
      <x:c r="W501" s="38" t="n">
        <x:f>G501*N501</x:f>
        <x:v>164822.93561</x:v>
      </x:c>
      <x:c r="X501" s="38" t="n">
        <x:f>H501*O501</x:f>
        <x:v>40715.24148</x:v>
      </x:c>
      <x:c r="Y501" s="38" t="n">
        <x:f>I501*P501</x:f>
        <x:v>11707.8423</x:v>
      </x:c>
      <x:c r="Z501" s="38" t="n">
        <x:f>J501*Q501+K501*P501</x:f>
        <x:v>2463.5114</x:v>
      </x:c>
      <x:c r="AA501" s="38" t="n">
        <x:f>M501*R501</x:f>
        <x:v>21091.675942500002</x:v>
      </x:c>
      <x:c r="AB501" s="38" t="n">
        <x:f>SUM(W501:AA501)</x:f>
        <x:v>240801.20673249997</x:v>
      </x:c>
      <x:c r="AC501" s="38" t="n">
        <x:v>18.99</x:v>
      </x:c>
      <x:c r="AD501" s="38" t="n">
        <x:v>174.33</x:v>
      </x:c>
      <x:c r="AE501" s="38" t="n">
        <x:v>130.43</x:v>
      </x:c>
      <x:c r="AF501" s="38" t="n">
        <x:v>4.8148</x:v>
      </x:c>
      <x:c r="AG501" s="38" t="n">
        <x:v>5.47</x:v>
      </x:c>
      <x:c r="AH501" s="38" t="n">
        <x:f>IF(E501="Fason",L501*S501,0)</x:f>
        <x:v>0</x:v>
      </x:c>
      <x:c r="AI501" s="38" t="n">
        <x:f>IF(E501="Kurum içi",AC501*AD501+AE501*AF501+AB501*12%,0)</x:f>
        <x:v>32834.6658719</x:v>
      </x:c>
      <x:c r="AJ501" s="38" t="n">
        <x:f>V501*AG501</x:f>
        <x:v>1765.3930830353995</x:v>
      </x:c>
      <x:c r="AK501" s="38" t="n">
        <x:f>AB501*2%</x:f>
        <x:v>4816.02413465</x:v>
      </x:c>
      <x:c r="AL501" s="38" t="n">
        <x:f>AB501+AH501+AI501+AJ501+AK501</x:f>
        <x:v>280217.2898220854</x:v>
      </x:c>
      <x:c r="AM501" s="38" t="n">
        <x:f>AL501/V501</x:f>
        <x:v>868.2420873040612</x:v>
      </x:c>
      <x:c r="AN501" s="40" t="n">
        <x:f>(W501+X501)/AL501*100</x:f>
        <x:v>73.3495699785333</x:v>
      </x:c>
      <x:c r="AO501" s="28" t="str">
        <x:v>R01-R20; ilgili satırdaki bölgesel fiyat ve maliyet varsayımları</x:v>
      </x:c>
      <x:c r="AP501" s="28" t="str">
        <x:v>Girdi miktarları, alım fiyatı değişimi, fason bedeli ve parti sonucu simüle edilmiştir; işletme kaydı değildir.</x:v>
      </x:c>
    </x:row>
    <x:row r="502" ht="22" customHeight="1">
      <x:c r="A502" t="str">
        <x:v>SUC-0501</x:v>
      </x:c>
      <x:c r="B502" s="36" t="n">
        <x:v>46288</x:v>
      </x:c>
      <x:c r="C502" t="str">
        <x:v>Akdeniz</x:v>
      </x:c>
      <x:c r="D502" t="str">
        <x:v>ERZURUM_CI</x:v>
      </x:c>
      <x:c r="E502" t="str">
        <x:v>Fason</x:v>
      </x:c>
      <x:c r="F502" s="42" t="str">
        <x:v>SENTETİK/SİMÜLE — gerçek parti kaydı değildir</x:v>
      </x:c>
      <x:c r="G502" s="38" t="n">
        <x:v>69.695</x:v>
      </x:c>
      <x:c r="H502" s="38" t="n">
        <x:v>12.154</x:v>
      </x:c>
      <x:c r="I502" s="38" t="n">
        <x:v>3.996</x:v>
      </x:c>
      <x:c r="J502" s="38" t="n">
        <x:v>1.408</x:v>
      </x:c>
      <x:c r="K502" s="38" t="n">
        <x:v>0.151</x:v>
      </x:c>
      <x:c r="L502" s="38" t="n">
        <x:f>SUM(G502:K502)</x:f>
        <x:v>87.40399999999998</x:v>
      </x:c>
      <x:c r="M502" s="38" t="n">
        <x:v>110.143</x:v>
      </x:c>
      <x:c r="N502" s="38" t="n">
        <x:v>595.63</x:v>
      </x:c>
      <x:c r="O502" s="38" t="n">
        <x:v>464.86</x:v>
      </x:c>
      <x:c r="P502" s="38" t="n">
        <x:v>669.9</x:v>
      </x:c>
      <x:c r="Q502" s="38" t="n">
        <x:v>19.88</x:v>
      </x:c>
      <x:c r="R502" s="38" t="n">
        <x:v>43.7475</x:v>
      </x:c>
      <x:c r="S502" s="38" t="n">
        <x:v>108.25</x:v>
      </x:c>
      <x:c r="T502" s="40" t="n">
        <x:v>25.15</x:v>
      </x:c>
      <x:c r="U502" s="40" t="n">
        <x:v>1.13</x:v>
      </x:c>
      <x:c r="V502" s="38" t="n">
        <x:f>L502*(1-T502/100)*(1-U502/100)</x:f>
        <x:v>64.68262659779998</x:v>
      </x:c>
      <x:c r="W502" s="38" t="n">
        <x:f>G502*N502</x:f>
        <x:v>41512.43285</x:v>
      </x:c>
      <x:c r="X502" s="38" t="n">
        <x:f>H502*O502</x:f>
        <x:v>5649.90844</x:v>
      </x:c>
      <x:c r="Y502" s="38" t="n">
        <x:f>I502*P502</x:f>
        <x:v>2676.9204</x:v>
      </x:c>
      <x:c r="Z502" s="38" t="n">
        <x:f>J502*Q502+K502*P502</x:f>
        <x:v>129.14594</x:v>
      </x:c>
      <x:c r="AA502" s="38" t="n">
        <x:f>M502*R502</x:f>
        <x:v>4818.480892500001</x:v>
      </x:c>
      <x:c r="AB502" s="38" t="n">
        <x:f>SUM(W502:AA502)</x:f>
        <x:v>54786.888522500005</x:v>
      </x:c>
      <x:c r="AC502" s="38" t="n">
        <x:v>5.62</x:v>
      </x:c>
      <x:c r="AD502" s="38" t="n">
        <x:v>174.33</x:v>
      </x:c>
      <x:c r="AE502" s="38" t="n">
        <x:v>37.87</x:v>
      </x:c>
      <x:c r="AF502" s="38" t="n">
        <x:v>4.8148</x:v>
      </x:c>
      <x:c r="AG502" s="38" t="n">
        <x:v>5.76</x:v>
      </x:c>
      <x:c r="AH502" s="38" t="n">
        <x:f>IF(E502="Fason",L502*S502,0)</x:f>
        <x:v>9461.482999999998</x:v>
      </x:c>
      <x:c r="AI502" s="38" t="n">
        <x:f>IF(E502="Kurum içi",AC502*AD502+AE502*AF502+AB502*12%,0)</x:f>
        <x:v>0</x:v>
      </x:c>
      <x:c r="AJ502" s="38" t="n">
        <x:f>V502*AG502</x:f>
        <x:v>372.5719292033279</x:v>
      </x:c>
      <x:c r="AK502" s="38" t="n">
        <x:f>AB502*2%</x:f>
        <x:v>1095.7377704500002</x:v>
      </x:c>
      <x:c r="AL502" s="38" t="n">
        <x:f>AB502+AH502+AI502+AJ502+AK502</x:f>
        <x:v>65716.68122215333</x:v>
      </x:c>
      <x:c r="AM502" s="38" t="n">
        <x:f>AL502/V502</x:f>
        <x:v>1015.9865898888609</x:v>
      </x:c>
      <x:c r="AN502" s="40" t="n">
        <x:f>(W502+X502)/AL502*100</x:f>
        <x:v>71.76616410461915</x:v>
      </x:c>
      <x:c r="AO502" s="28" t="str">
        <x:v>R01-R20; ilgili satırdaki bölgesel fiyat ve maliyet varsayımları</x:v>
      </x:c>
      <x:c r="AP502" s="28" t="str">
        <x:v>Girdi miktarları, alım fiyatı değişimi, fason bedeli ve parti sonucu simüle edilmiştir; işletme kaydı değildir.</x:v>
      </x:c>
    </x:row>
    <x:row r="503" ht="22" customHeight="1">
      <x:c r="A503" t="str">
        <x:v>SUC-0502</x:v>
      </x:c>
      <x:c r="B503" s="36" t="n">
        <x:v>46278</x:v>
      </x:c>
      <x:c r="C503" t="str">
        <x:v>Karadeniz</x:v>
      </x:c>
      <x:c r="D503" t="str">
        <x:v>MEB_STANDART</x:v>
      </x:c>
      <x:c r="E503" t="str">
        <x:v>Kurum içi</x:v>
      </x:c>
      <x:c r="F503" s="42" t="str">
        <x:v>SENTETİK/SİMÜLE — gerçek parti kaydı değildir</x:v>
      </x:c>
      <x:c r="G503" s="38" t="n">
        <x:v>149.849</x:v>
      </x:c>
      <x:c r="H503" s="38" t="n">
        <x:v>45.607</x:v>
      </x:c>
      <x:c r="I503" s="38" t="n">
        <x:v>9.436</x:v>
      </x:c>
      <x:c r="J503" s="38" t="n">
        <x:v>5.728</x:v>
      </x:c>
      <x:c r="K503" s="38" t="n">
        <x:v>1.882</x:v>
      </x:c>
      <x:c r="L503" s="38" t="n">
        <x:f>SUM(G503:K503)</x:f>
        <x:v>212.502</x:v>
      </x:c>
      <x:c r="M503" s="38" t="n">
        <x:v>266.763</x:v>
      </x:c>
      <x:c r="N503" s="38" t="n">
        <x:v>595.23</x:v>
      </x:c>
      <x:c r="O503" s="38" t="n">
        <x:v>481.76</x:v>
      </x:c>
      <x:c r="P503" s="38" t="n">
        <x:v>400</x:v>
      </x:c>
      <x:c r="Q503" s="38" t="n">
        <x:v>19.88</x:v>
      </x:c>
      <x:c r="R503" s="38" t="n">
        <x:v>43.7475</x:v>
      </x:c>
      <x:c r="S503" s="38" t="n">
        <x:v>102.92</x:v>
      </x:c>
      <x:c r="T503" s="40" t="n">
        <x:v>27.19</x:v>
      </x:c>
      <x:c r="U503" s="40" t="n">
        <x:v>0.57</x:v>
      </x:c>
      <x:c r="V503" s="38" t="n">
        <x:f>L503*(1-T503/100)*(1-U503/100)</x:f>
        <x:v>153.84078677466</x:v>
      </x:c>
      <x:c r="W503" s="38" t="n">
        <x:f>G503*N503</x:f>
        <x:v>89194.62027</x:v>
      </x:c>
      <x:c r="X503" s="38" t="n">
        <x:f>H503*O503</x:f>
        <x:v>21971.62832</x:v>
      </x:c>
      <x:c r="Y503" s="38" t="n">
        <x:f>I503*P503</x:f>
        <x:v>3774.4</x:v>
      </x:c>
      <x:c r="Z503" s="38" t="n">
        <x:f>J503*Q503+K503*P503</x:f>
        <x:v>866.67264</x:v>
      </x:c>
      <x:c r="AA503" s="38" t="n">
        <x:f>M503*R503</x:f>
        <x:v>11670.2143425</x:v>
      </x:c>
      <x:c r="AB503" s="38" t="n">
        <x:f>SUM(W503:AA503)</x:f>
        <x:v>127477.5355725</x:v>
      </x:c>
      <x:c r="AC503" s="38" t="n">
        <x:v>12.14</x:v>
      </x:c>
      <x:c r="AD503" s="38" t="n">
        <x:v>174.33</x:v>
      </x:c>
      <x:c r="AE503" s="38" t="n">
        <x:v>99.93</x:v>
      </x:c>
      <x:c r="AF503" s="38" t="n">
        <x:v>4.8148</x:v>
      </x:c>
      <x:c r="AG503" s="38" t="n">
        <x:v>5.36</x:v>
      </x:c>
      <x:c r="AH503" s="38" t="n">
        <x:f>IF(E503="Fason",L503*S503,0)</x:f>
        <x:v>0</x:v>
      </x:c>
      <x:c r="AI503" s="38" t="n">
        <x:f>IF(E503="Kurum içi",AC503*AD503+AE503*AF503+AB503*12%,0)</x:f>
        <x:v>17894.8134327</x:v>
      </x:c>
      <x:c r="AJ503" s="38" t="n">
        <x:f>V503*AG503</x:f>
        <x:v>824.5866171121776</x:v>
      </x:c>
      <x:c r="AK503" s="38" t="n">
        <x:f>AB503*2%</x:f>
        <x:v>2549.55071145</x:v>
      </x:c>
      <x:c r="AL503" s="38" t="n">
        <x:f>AB503+AH503+AI503+AJ503+AK503</x:f>
        <x:v>148746.48633376218</x:v>
      </x:c>
      <x:c r="AM503" s="38" t="n">
        <x:f>AL503/V503</x:f>
        <x:v>966.8858919165582</x:v>
      </x:c>
      <x:c r="AN503" s="40" t="n">
        <x:f>(W503+X503)/AL503*100</x:f>
        <x:v>74.73537784318587</x:v>
      </x:c>
      <x:c r="AO503" s="28" t="str">
        <x:v>R01-R20; ilgili satırdaki bölgesel fiyat ve maliyet varsayımları</x:v>
      </x:c>
      <x:c r="AP503" s="28" t="str">
        <x:v>Girdi miktarları, alım fiyatı değişimi, fason bedeli ve parti sonucu simüle edilmiştir; işletme kaydı değildir.</x:v>
      </x:c>
    </x:row>
    <x:row r="504" ht="22" customHeight="1">
      <x:c r="A504" t="str">
        <x:v>SUC-0503</x:v>
      </x:c>
      <x:c r="B504" s="36" t="n">
        <x:v>46277</x:v>
      </x:c>
      <x:c r="C504" t="str">
        <x:v>Doğu Anadolu</x:v>
      </x:c>
      <x:c r="D504" t="str">
        <x:v>MEB_STANDART</x:v>
      </x:c>
      <x:c r="E504" t="str">
        <x:v>Kurum içi</x:v>
      </x:c>
      <x:c r="F504" s="42" t="str">
        <x:v>SENTETİK/SİMÜLE — gerçek parti kaydı değildir</x:v>
      </x:c>
      <x:c r="G504" s="38" t="n">
        <x:v>169.159</x:v>
      </x:c>
      <x:c r="H504" s="38" t="n">
        <x:v>54.877</x:v>
      </x:c>
      <x:c r="I504" s="38" t="n">
        <x:v>10.567</x:v>
      </x:c>
      <x:c r="J504" s="38" t="n">
        <x:v>5.632</x:v>
      </x:c>
      <x:c r="K504" s="38" t="n">
        <x:v>2.538</x:v>
      </x:c>
      <x:c r="L504" s="38" t="n">
        <x:f>SUM(G504:K504)</x:f>
        <x:v>242.77300000000002</x:v>
      </x:c>
      <x:c r="M504" s="38" t="n">
        <x:v>323.29</x:v>
      </x:c>
      <x:c r="N504" s="38" t="n">
        <x:v>589.65</x:v>
      </x:c>
      <x:c r="O504" s="38" t="n">
        <x:v>409.99</x:v>
      </x:c>
      <x:c r="P504" s="38" t="n">
        <x:v>400</x:v>
      </x:c>
      <x:c r="Q504" s="38" t="n">
        <x:v>19.88</x:v>
      </x:c>
      <x:c r="R504" s="38" t="n">
        <x:v>43.7475</x:v>
      </x:c>
      <x:c r="S504" s="38" t="n">
        <x:v>84.95</x:v>
      </x:c>
      <x:c r="T504" s="40" t="n">
        <x:v>17.6</x:v>
      </x:c>
      <x:c r="U504" s="40" t="n">
        <x:v>0.33</x:v>
      </x:c>
      <x:c r="V504" s="38" t="n">
        <x:f>L504*(1-T504/100)*(1-U504/100)</x:f>
        <x:v>199.38480365840002</x:v>
      </x:c>
      <x:c r="W504" s="38" t="n">
        <x:f>G504*N504</x:f>
        <x:v>99744.60435</x:v>
      </x:c>
      <x:c r="X504" s="38" t="n">
        <x:f>H504*O504</x:f>
        <x:v>22499.021230000002</x:v>
      </x:c>
      <x:c r="Y504" s="38" t="n">
        <x:f>I504*P504</x:f>
        <x:v>4226.8</x:v>
      </x:c>
      <x:c r="Z504" s="38" t="n">
        <x:f>J504*Q504+K504*P504</x:f>
        <x:v>1127.1641599999998</x:v>
      </x:c>
      <x:c r="AA504" s="38" t="n">
        <x:f>M504*R504</x:f>
        <x:v>14143.129275000001</x:v>
      </x:c>
      <x:c r="AB504" s="38" t="n">
        <x:f>SUM(W504:AA504)</x:f>
        <x:v>141740.719015</x:v>
      </x:c>
      <x:c r="AC504" s="38" t="n">
        <x:v>12.42</x:v>
      </x:c>
      <x:c r="AD504" s="38" t="n">
        <x:v>174.33</x:v>
      </x:c>
      <x:c r="AE504" s="38" t="n">
        <x:v>69.83</x:v>
      </x:c>
      <x:c r="AF504" s="38" t="n">
        <x:v>4.8148</x:v>
      </x:c>
      <x:c r="AG504" s="38" t="n">
        <x:v>5.9</x:v>
      </x:c>
      <x:c r="AH504" s="38" t="n">
        <x:f>IF(E504="Fason",L504*S504,0)</x:f>
        <x:v>0</x:v>
      </x:c>
      <x:c r="AI504" s="38" t="n">
        <x:f>IF(E504="Kurum içi",AC504*AD504+AE504*AF504+AB504*12%,0)</x:f>
        <x:v>19510.2823658</x:v>
      </x:c>
      <x:c r="AJ504" s="38" t="n">
        <x:f>V504*AG504</x:f>
        <x:v>1176.3703415845603</x:v>
      </x:c>
      <x:c r="AK504" s="38" t="n">
        <x:f>AB504*2%</x:f>
        <x:v>2834.8143803000003</x:v>
      </x:c>
      <x:c r="AL504" s="38" t="n">
        <x:f>AB504+AH504+AI504+AJ504+AK504</x:f>
        <x:v>165262.18610268456</x:v>
      </x:c>
      <x:c r="AM504" s="38" t="n">
        <x:f>AL504/V504</x:f>
        <x:v>828.8604902198229</x:v>
      </x:c>
      <x:c r="AN504" s="40" t="n">
        <x:f>(W504+X504)/AL504*100</x:f>
        <x:v>73.96950776389023</x:v>
      </x:c>
      <x:c r="AO504" s="28" t="str">
        <x:v>R01-R20; ilgili satırdaki bölgesel fiyat ve maliyet varsayımları</x:v>
      </x:c>
      <x:c r="AP504" s="28" t="str">
        <x:v>Girdi miktarları, alım fiyatı değişimi, fason bedeli ve parti sonucu simüle edilmiştir; işletme kaydı değildir.</x:v>
      </x:c>
    </x:row>
    <x:row r="505" ht="22" customHeight="1">
      <x:c r="A505" t="str">
        <x:v>SUC-0504</x:v>
      </x:c>
      <x:c r="B505" s="36" t="n">
        <x:v>46295</x:v>
      </x:c>
      <x:c r="C505" t="str">
        <x:v>Marmara</x:v>
      </x:c>
      <x:c r="D505" t="str">
        <x:v>ERZURUM_CI</x:v>
      </x:c>
      <x:c r="E505" t="str">
        <x:v>Fason</x:v>
      </x:c>
      <x:c r="F505" s="42" t="str">
        <x:v>SENTETİK/SİMÜLE — gerçek parti kaydı değildir</x:v>
      </x:c>
      <x:c r="G505" s="38" t="n">
        <x:v>186.729</x:v>
      </x:c>
      <x:c r="H505" s="38" t="n">
        <x:v>33.748</x:v>
      </x:c>
      <x:c r="I505" s="38" t="n">
        <x:v>10.653</x:v>
      </x:c>
      <x:c r="J505" s="38" t="n">
        <x:v>3.759</x:v>
      </x:c>
      <x:c r="K505" s="38" t="n">
        <x:v>0.024</x:v>
      </x:c>
      <x:c r="L505" s="38" t="n">
        <x:f>SUM(G505:K505)</x:f>
        <x:v>234.91299999999998</x:v>
      </x:c>
      <x:c r="M505" s="38" t="n">
        <x:v>276.155</x:v>
      </x:c>
      <x:c r="N505" s="38" t="n">
        <x:v>604.09</x:v>
      </x:c>
      <x:c r="O505" s="38" t="n">
        <x:v>444.26</x:v>
      </x:c>
      <x:c r="P505" s="38" t="n">
        <x:v>400</x:v>
      </x:c>
      <x:c r="Q505" s="38" t="n">
        <x:v>19.88</x:v>
      </x:c>
      <x:c r="R505" s="38" t="n">
        <x:v>43.7475</x:v>
      </x:c>
      <x:c r="S505" s="38" t="n">
        <x:v>101.04</x:v>
      </x:c>
      <x:c r="T505" s="40" t="n">
        <x:v>25.82</x:v>
      </x:c>
      <x:c r="U505" s="40" t="n">
        <x:v>1.54</x:v>
      </x:c>
      <x:c r="V505" s="38" t="n">
        <x:f>L505*(1-T505/100)*(1-U505/100)</x:f>
        <x:v>171.57488306364</x:v>
      </x:c>
      <x:c r="W505" s="38" t="n">
        <x:f>G505*N505</x:f>
        <x:v>112801.12161000002</x:v>
      </x:c>
      <x:c r="X505" s="38" t="n">
        <x:f>H505*O505</x:f>
        <x:v>14992.88648</x:v>
      </x:c>
      <x:c r="Y505" s="38" t="n">
        <x:f>I505*P505</x:f>
        <x:v>4261.2</x:v>
      </x:c>
      <x:c r="Z505" s="38" t="n">
        <x:f>J505*Q505+K505*P505</x:f>
        <x:v>84.32891999999998</x:v>
      </x:c>
      <x:c r="AA505" s="38" t="n">
        <x:f>M505*R505</x:f>
        <x:v>12081.0908625</x:v>
      </x:c>
      <x:c r="AB505" s="38" t="n">
        <x:f>SUM(W505:AA505)</x:f>
        <x:v>144220.62787250002</x:v>
      </x:c>
      <x:c r="AC505" s="38" t="n">
        <x:v>14.57</x:v>
      </x:c>
      <x:c r="AD505" s="38" t="n">
        <x:v>174.33</x:v>
      </x:c>
      <x:c r="AE505" s="38" t="n">
        <x:v>108.33</x:v>
      </x:c>
      <x:c r="AF505" s="38" t="n">
        <x:v>4.8148</x:v>
      </x:c>
      <x:c r="AG505" s="38" t="n">
        <x:v>5.88</x:v>
      </x:c>
      <x:c r="AH505" s="38" t="n">
        <x:f>IF(E505="Fason",L505*S505,0)</x:f>
        <x:v>23735.609519999998</x:v>
      </x:c>
      <x:c r="AI505" s="38" t="n">
        <x:f>IF(E505="Kurum içi",AC505*AD505+AE505*AF505+AB505*12%,0)</x:f>
        <x:v>0</x:v>
      </x:c>
      <x:c r="AJ505" s="38" t="n">
        <x:f>V505*AG505</x:f>
        <x:v>1008.8603124142031</x:v>
      </x:c>
      <x:c r="AK505" s="38" t="n">
        <x:f>AB505*2%</x:f>
        <x:v>2884.4125574500003</x:v>
      </x:c>
      <x:c r="AL505" s="38" t="n">
        <x:f>AB505+AH505+AI505+AJ505+AK505</x:f>
        <x:v>171849.51026236423</x:v>
      </x:c>
      <x:c r="AM505" s="38" t="n">
        <x:f>AL505/V505</x:f>
        <x:v>1001.6006258831159</x:v>
      </x:c>
      <x:c r="AN505" s="40" t="n">
        <x:f>(W505+X505)/AL505*100</x:f>
        <x:v>74.36390589353192</x:v>
      </x:c>
      <x:c r="AO505" s="28" t="str">
        <x:v>R01-R20; ilgili satırdaki bölgesel fiyat ve maliyet varsayımları</x:v>
      </x:c>
      <x:c r="AP505" s="28" t="str">
        <x:v>Girdi miktarları, alım fiyatı değişimi, fason bedeli ve parti sonucu simüle edilmiştir; işletme kaydı değildir.</x:v>
      </x:c>
    </x:row>
    <x:row r="506" ht="22" customHeight="1">
      <x:c r="A506" t="str">
        <x:v>SUC-0505</x:v>
      </x:c>
      <x:c r="B506" s="36" t="n">
        <x:v>46306</x:v>
      </x:c>
      <x:c r="C506" t="str">
        <x:v>İç Anadolu</x:v>
      </x:c>
      <x:c r="D506" t="str">
        <x:v>MEB_STANDART</x:v>
      </x:c>
      <x:c r="E506" t="str">
        <x:v>Kurum içi</x:v>
      </x:c>
      <x:c r="F506" s="42" t="str">
        <x:v>SENTETİK/SİMÜLE — gerçek parti kaydı değildir</x:v>
      </x:c>
      <x:c r="G506" s="38" t="n">
        <x:v>98.068</x:v>
      </x:c>
      <x:c r="H506" s="38" t="n">
        <x:v>30.098</x:v>
      </x:c>
      <x:c r="I506" s="38" t="n">
        <x:v>6</x:v>
      </x:c>
      <x:c r="J506" s="38" t="n">
        <x:v>3.688</x:v>
      </x:c>
      <x:c r="K506" s="38" t="n">
        <x:v>1.297</x:v>
      </x:c>
      <x:c r="L506" s="38" t="n">
        <x:f>SUM(G506:K506)</x:f>
        <x:v>139.15099999999998</x:v>
      </x:c>
      <x:c r="M506" s="38" t="n">
        <x:v>161.782</x:v>
      </x:c>
      <x:c r="N506" s="38" t="n">
        <x:v>590.82</x:v>
      </x:c>
      <x:c r="O506" s="38" t="n">
        <x:v>437.71</x:v>
      </x:c>
      <x:c r="P506" s="38" t="n">
        <x:v>550</x:v>
      </x:c>
      <x:c r="Q506" s="38" t="n">
        <x:v>19.88</x:v>
      </x:c>
      <x:c r="R506" s="38" t="n">
        <x:v>43.7475</x:v>
      </x:c>
      <x:c r="S506" s="38" t="n">
        <x:v>83.96</x:v>
      </x:c>
      <x:c r="T506" s="40" t="n">
        <x:v>28.58</x:v>
      </x:c>
      <x:c r="U506" s="40" t="n">
        <x:v>1.37</x:v>
      </x:c>
      <x:c r="V506" s="38" t="n">
        <x:f>L506*(1-T506/100)*(1-U506/100)</x:f>
        <x:v>98.02011567445997</x:v>
      </x:c>
      <x:c r="W506" s="38" t="n">
        <x:f>G506*N506</x:f>
        <x:v>57940.535760000006</x:v>
      </x:c>
      <x:c r="X506" s="38" t="n">
        <x:f>H506*O506</x:f>
        <x:v>13174.19558</x:v>
      </x:c>
      <x:c r="Y506" s="38" t="n">
        <x:f>I506*P506</x:f>
        <x:v>3300</x:v>
      </x:c>
      <x:c r="Z506" s="38" t="n">
        <x:f>J506*Q506+K506*P506</x:f>
        <x:v>786.6674399999999</x:v>
      </x:c>
      <x:c r="AA506" s="38" t="n">
        <x:f>M506*R506</x:f>
        <x:v>7077.558045000001</x:v>
      </x:c>
      <x:c r="AB506" s="38" t="n">
        <x:f>SUM(W506:AA506)</x:f>
        <x:v>82278.956825</x:v>
      </x:c>
      <x:c r="AC506" s="38" t="n">
        <x:v>9.61</x:v>
      </x:c>
      <x:c r="AD506" s="38" t="n">
        <x:v>174.33</x:v>
      </x:c>
      <x:c r="AE506" s="38" t="n">
        <x:v>54.09</x:v>
      </x:c>
      <x:c r="AF506" s="38" t="n">
        <x:v>4.8148</x:v>
      </x:c>
      <x:c r="AG506" s="38" t="n">
        <x:v>5.32</x:v>
      </x:c>
      <x:c r="AH506" s="38" t="n">
        <x:f>IF(E506="Fason",L506*S506,0)</x:f>
        <x:v>0</x:v>
      </x:c>
      <x:c r="AI506" s="38" t="n">
        <x:f>IF(E506="Kurum içi",AC506*AD506+AE506*AF506+AB506*12%,0)</x:f>
        <x:v>11809.218651</x:v>
      </x:c>
      <x:c r="AJ506" s="38" t="n">
        <x:f>V506*AG506</x:f>
        <x:v>521.467015388127</x:v>
      </x:c>
      <x:c r="AK506" s="38" t="n">
        <x:f>AB506*2%</x:f>
        <x:v>1645.5791365</x:v>
      </x:c>
      <x:c r="AL506" s="38" t="n">
        <x:f>AB506+AH506+AI506+AJ506+AK506</x:f>
        <x:v>96255.22162788814</x:v>
      </x:c>
      <x:c r="AM506" s="38" t="n">
        <x:f>AL506/V506</x:f>
        <x:v>981.9945729054909</x:v>
      </x:c>
      <x:c r="AN506" s="40" t="n">
        <x:f>(W506+X506)/AL506*100</x:f>
        <x:v>73.8814270408327</x:v>
      </x:c>
      <x:c r="AO506" s="28" t="str">
        <x:v>R01-R20; ilgili satırdaki bölgesel fiyat ve maliyet varsayımları</x:v>
      </x:c>
      <x:c r="AP506" s="28" t="str">
        <x:v>Girdi miktarları, alım fiyatı değişimi, fason bedeli ve parti sonucu simüle edilmiştir; işletme kaydı değildir.</x:v>
      </x:c>
    </x:row>
    <x:row r="507" ht="22" customHeight="1">
      <x:c r="A507" t="str">
        <x:v>SUC-0506</x:v>
      </x:c>
      <x:c r="B507" s="36" t="n">
        <x:v>46317</x:v>
      </x:c>
      <x:c r="C507" t="str">
        <x:v>Güneydoğu Anadolu</x:v>
      </x:c>
      <x:c r="D507" t="str">
        <x:v>MEB_STANDART</x:v>
      </x:c>
      <x:c r="E507" t="str">
        <x:v>Fason</x:v>
      </x:c>
      <x:c r="F507" s="42" t="str">
        <x:v>SENTETİK/SİMÜLE — gerçek parti kaydı değildir</x:v>
      </x:c>
      <x:c r="G507" s="38" t="n">
        <x:v>311.891</x:v>
      </x:c>
      <x:c r="H507" s="38" t="n">
        <x:v>99.562</x:v>
      </x:c>
      <x:c r="I507" s="38" t="n">
        <x:v>21.078</x:v>
      </x:c>
      <x:c r="J507" s="38" t="n">
        <x:v>10.374</x:v>
      </x:c>
      <x:c r="K507" s="38" t="n">
        <x:v>4.468</x:v>
      </x:c>
      <x:c r="L507" s="38" t="n">
        <x:f>SUM(G507:K507)</x:f>
        <x:v>447.37300000000005</x:v>
      </x:c>
      <x:c r="M507" s="38" t="n">
        <x:v>591.114</x:v>
      </x:c>
      <x:c r="N507" s="38" t="n">
        <x:v>595.7</x:v>
      </x:c>
      <x:c r="O507" s="38" t="n">
        <x:v>414.3</x:v>
      </x:c>
      <x:c r="P507" s="38" t="n">
        <x:v>400</x:v>
      </x:c>
      <x:c r="Q507" s="38" t="n">
        <x:v>19.88</x:v>
      </x:c>
      <x:c r="R507" s="38" t="n">
        <x:v>43.7475</x:v>
      </x:c>
      <x:c r="S507" s="38" t="n">
        <x:v>69.43</x:v>
      </x:c>
      <x:c r="T507" s="40" t="n">
        <x:v>21.18</x:v>
      </x:c>
      <x:c r="U507" s="40" t="n">
        <x:v>0.74</x:v>
      </x:c>
      <x:c r="V507" s="38" t="n">
        <x:f>L507*(1-T507/100)*(1-U507/100)</x:f>
        <x:v>350.0100150503601</x:v>
      </x:c>
      <x:c r="W507" s="38" t="n">
        <x:f>G507*N507</x:f>
        <x:v>185793.46870000003</x:v>
      </x:c>
      <x:c r="X507" s="38" t="n">
        <x:f>H507*O507</x:f>
        <x:v>41248.5366</x:v>
      </x:c>
      <x:c r="Y507" s="38" t="n">
        <x:f>I507*P507</x:f>
        <x:v>8431.199999999999</x:v>
      </x:c>
      <x:c r="Z507" s="38" t="n">
        <x:f>J507*Q507+K507*P507</x:f>
        <x:v>1993.43512</x:v>
      </x:c>
      <x:c r="AA507" s="38" t="n">
        <x:f>M507*R507</x:f>
        <x:v>25859.759715000004</x:v>
      </x:c>
      <x:c r="AB507" s="38" t="n">
        <x:f>SUM(W507:AA507)</x:f>
        <x:v>263326.40013500006</x:v>
      </x:c>
      <x:c r="AC507" s="38" t="n">
        <x:v>27.06</x:v>
      </x:c>
      <x:c r="AD507" s="38" t="n">
        <x:v>174.33</x:v>
      </x:c>
      <x:c r="AE507" s="38" t="n">
        <x:v>129.07</x:v>
      </x:c>
      <x:c r="AF507" s="38" t="n">
        <x:v>4.8148</x:v>
      </x:c>
      <x:c r="AG507" s="38" t="n">
        <x:v>5.79</x:v>
      </x:c>
      <x:c r="AH507" s="38" t="n">
        <x:f>IF(E507="Fason",L507*S507,0)</x:f>
        <x:v>31061.107390000005</x:v>
      </x:c>
      <x:c r="AI507" s="38" t="n">
        <x:f>IF(E507="Kurum içi",AC507*AD507+AE507*AF507+AB507*12%,0)</x:f>
        <x:v>0</x:v>
      </x:c>
      <x:c r="AJ507" s="38" t="n">
        <x:f>V507*AG507</x:f>
        <x:v>2026.557987141585</x:v>
      </x:c>
      <x:c r="AK507" s="38" t="n">
        <x:f>AB507*2%</x:f>
        <x:v>5266.528002700002</x:v>
      </x:c>
      <x:c r="AL507" s="38" t="n">
        <x:f>AB507+AH507+AI507+AJ507+AK507</x:f>
        <x:v>301680.5935148417</x:v>
      </x:c>
      <x:c r="AM507" s="38" t="n">
        <x:f>AL507/V507</x:f>
        <x:v>861.919889553547</x:v>
      </x:c>
      <x:c r="AN507" s="40" t="n">
        <x:f>(W507+X507)/AL507*100</x:f>
        <x:v>75.2590687570463</x:v>
      </x:c>
      <x:c r="AO507" s="28" t="str">
        <x:v>R01-R20; ilgili satırdaki bölgesel fiyat ve maliyet varsayımları</x:v>
      </x:c>
      <x:c r="AP507" s="28" t="str">
        <x:v>Girdi miktarları, alım fiyatı değişimi, fason bedeli ve parti sonucu simüle edilmiştir; işletme kaydı değildir.</x:v>
      </x:c>
    </x:row>
    <x:row r="508" ht="22" customHeight="1">
      <x:c r="A508" t="str">
        <x:v>SUC-0507</x:v>
      </x:c>
      <x:c r="B508" s="36" t="n">
        <x:v>46284</x:v>
      </x:c>
      <x:c r="C508" t="str">
        <x:v>Karadeniz</x:v>
      </x:c>
      <x:c r="D508" t="str">
        <x:v>MEB_STANDART</x:v>
      </x:c>
      <x:c r="E508" t="str">
        <x:v>Kurum içi</x:v>
      </x:c>
      <x:c r="F508" s="42" t="str">
        <x:v>SENTETİK/SİMÜLE — gerçek parti kaydı değildir</x:v>
      </x:c>
      <x:c r="G508" s="38" t="n">
        <x:v>103.362</x:v>
      </x:c>
      <x:c r="H508" s="38" t="n">
        <x:v>33.161</x:v>
      </x:c>
      <x:c r="I508" s="38" t="n">
        <x:v>6.711</x:v>
      </x:c>
      <x:c r="J508" s="38" t="n">
        <x:v>3.838</x:v>
      </x:c>
      <x:c r="K508" s="38" t="n">
        <x:v>1.345</x:v>
      </x:c>
      <x:c r="L508" s="38" t="n">
        <x:f>SUM(G508:K508)</x:f>
        <x:v>148.417</x:v>
      </x:c>
      <x:c r="M508" s="38" t="n">
        <x:v>199.004</x:v>
      </x:c>
      <x:c r="N508" s="38" t="n">
        <x:v>605.92</x:v>
      </x:c>
      <x:c r="O508" s="38" t="n">
        <x:v>418.88</x:v>
      </x:c>
      <x:c r="P508" s="38" t="n">
        <x:v>550</x:v>
      </x:c>
      <x:c r="Q508" s="38" t="n">
        <x:v>19.88</x:v>
      </x:c>
      <x:c r="R508" s="38" t="n">
        <x:v>43.7475</x:v>
      </x:c>
      <x:c r="S508" s="38" t="n">
        <x:v>75.15</x:v>
      </x:c>
      <x:c r="T508" s="40" t="n">
        <x:v>26.83</x:v>
      </x:c>
      <x:c r="U508" s="40" t="n">
        <x:v>1.66</x:v>
      </x:c>
      <x:c r="V508" s="38" t="n">
        <x:f>L508*(1-T508/100)*(1-U508/100)</x:f>
        <x:v>106.79401336626</x:v>
      </x:c>
      <x:c r="W508" s="38" t="n">
        <x:f>G508*N508</x:f>
        <x:v>62629.103039999995</x:v>
      </x:c>
      <x:c r="X508" s="38" t="n">
        <x:f>H508*O508</x:f>
        <x:v>13890.47968</x:v>
      </x:c>
      <x:c r="Y508" s="38" t="n">
        <x:f>I508*P508</x:f>
        <x:v>3691.05</x:v>
      </x:c>
      <x:c r="Z508" s="38" t="n">
        <x:f>J508*Q508+K508*P508</x:f>
        <x:v>816.04944</x:v>
      </x:c>
      <x:c r="AA508" s="38" t="n">
        <x:f>M508*R508</x:f>
        <x:v>8705.92749</x:v>
      </x:c>
      <x:c r="AB508" s="38" t="n">
        <x:f>SUM(W508:AA508)</x:f>
        <x:v>89732.60965</x:v>
      </x:c>
      <x:c r="AC508" s="38" t="n">
        <x:v>10.32</x:v>
      </x:c>
      <x:c r="AD508" s="38" t="n">
        <x:v>174.33</x:v>
      </x:c>
      <x:c r="AE508" s="38" t="n">
        <x:v>51.24</x:v>
      </x:c>
      <x:c r="AF508" s="38" t="n">
        <x:v>4.8148</x:v>
      </x:c>
      <x:c r="AG508" s="38" t="n">
        <x:v>5.24</x:v>
      </x:c>
      <x:c r="AH508" s="38" t="n">
        <x:f>IF(E508="Fason",L508*S508,0)</x:f>
        <x:v>0</x:v>
      </x:c>
      <x:c r="AI508" s="38" t="n">
        <x:f>IF(E508="Kurum içi",AC508*AD508+AE508*AF508+AB508*12%,0)</x:f>
        <x:v>12813.70911</x:v>
      </x:c>
      <x:c r="AJ508" s="38" t="n">
        <x:f>V508*AG508</x:f>
        <x:v>559.6006300392024</x:v>
      </x:c>
      <x:c r="AK508" s="38" t="n">
        <x:f>AB508*2%</x:f>
        <x:v>1794.652193</x:v>
      </x:c>
      <x:c r="AL508" s="38" t="n">
        <x:f>AB508+AH508+AI508+AJ508+AK508</x:f>
        <x:v>104900.5715830392</x:v>
      </x:c>
      <x:c r="AM508" s="38" t="n">
        <x:f>AL508/V508</x:f>
        <x:v>982.2701505118356</x:v>
      </x:c>
      <x:c r="AN508" s="40" t="n">
        <x:f>(W508+X508)/AL508*100</x:f>
        <x:v>72.94486728266028</x:v>
      </x:c>
      <x:c r="AO508" s="28" t="str">
        <x:v>R01-R20; ilgili satırdaki bölgesel fiyat ve maliyet varsayımları</x:v>
      </x:c>
      <x:c r="AP508" s="28" t="str">
        <x:v>Girdi miktarları, alım fiyatı değişimi, fason bedeli ve parti sonucu simüle edilmiştir; işletme kaydı değildir.</x:v>
      </x:c>
    </x:row>
    <x:row r="509" ht="22" customHeight="1">
      <x:c r="A509" t="str">
        <x:v>SUC-0508</x:v>
      </x:c>
      <x:c r="B509" s="36" t="n">
        <x:v>46306</x:v>
      </x:c>
      <x:c r="C509" t="str">
        <x:v>Ege</x:v>
      </x:c>
      <x:c r="D509" t="str">
        <x:v>MEB_STANDART</x:v>
      </x:c>
      <x:c r="E509" t="str">
        <x:v>Fason</x:v>
      </x:c>
      <x:c r="F509" s="42" t="str">
        <x:v>SENTETİK/SİMÜLE — gerçek parti kaydı değildir</x:v>
      </x:c>
      <x:c r="G509" s="38" t="n">
        <x:v>221.1</x:v>
      </x:c>
      <x:c r="H509" s="38" t="n">
        <x:v>66.98</x:v>
      </x:c>
      <x:c r="I509" s="38" t="n">
        <x:v>13.712</x:v>
      </x:c>
      <x:c r="J509" s="38" t="n">
        <x:v>7.378</x:v>
      </x:c>
      <x:c r="K509" s="38" t="n">
        <x:v>3</x:v>
      </x:c>
      <x:c r="L509" s="38" t="n">
        <x:f>SUM(G509:K509)</x:f>
        <x:v>312.16999999999996</x:v>
      </x:c>
      <x:c r="M509" s="38" t="n">
        <x:v>388.092</x:v>
      </x:c>
      <x:c r="N509" s="38" t="n">
        <x:v>600.89</x:v>
      </x:c>
      <x:c r="O509" s="38" t="n">
        <x:v>477.96</x:v>
      </x:c>
      <x:c r="P509" s="38" t="n">
        <x:v>550</x:v>
      </x:c>
      <x:c r="Q509" s="38" t="n">
        <x:v>19.88</x:v>
      </x:c>
      <x:c r="R509" s="38" t="n">
        <x:v>43.7475</x:v>
      </x:c>
      <x:c r="S509" s="38" t="n">
        <x:v>119.79</x:v>
      </x:c>
      <x:c r="T509" s="40" t="n">
        <x:v>18.83</x:v>
      </x:c>
      <x:c r="U509" s="40" t="n">
        <x:v>0.65</x:v>
      </x:c>
      <x:c r="V509" s="38" t="n">
        <x:f>L509*(1-T509/100)*(1-U509/100)</x:f>
        <x:v>251.74136447149996</x:v>
      </x:c>
      <x:c r="W509" s="38" t="n">
        <x:f>G509*N509</x:f>
        <x:v>132856.77899999998</x:v>
      </x:c>
      <x:c r="X509" s="38" t="n">
        <x:f>H509*O509</x:f>
        <x:v>32013.7608</x:v>
      </x:c>
      <x:c r="Y509" s="38" t="n">
        <x:f>I509*P509</x:f>
        <x:v>7541.599999999999</x:v>
      </x:c>
      <x:c r="Z509" s="38" t="n">
        <x:f>J509*Q509+K509*P509</x:f>
        <x:v>1796.67464</x:v>
      </x:c>
      <x:c r="AA509" s="38" t="n">
        <x:f>M509*R509</x:f>
        <x:v>16978.05477</x:v>
      </x:c>
      <x:c r="AB509" s="38" t="n">
        <x:f>SUM(W509:AA509)</x:f>
        <x:v>191186.86920999998</x:v>
      </x:c>
      <x:c r="AC509" s="38" t="n">
        <x:v>14.27</x:v>
      </x:c>
      <x:c r="AD509" s="38" t="n">
        <x:v>174.33</x:v>
      </x:c>
      <x:c r="AE509" s="38" t="n">
        <x:v>84.01</x:v>
      </x:c>
      <x:c r="AF509" s="38" t="n">
        <x:v>4.8148</x:v>
      </x:c>
      <x:c r="AG509" s="38" t="n">
        <x:v>5.38</x:v>
      </x:c>
      <x:c r="AH509" s="38" t="n">
        <x:f>IF(E509="Fason",L509*S509,0)</x:f>
        <x:v>37394.8443</x:v>
      </x:c>
      <x:c r="AI509" s="38" t="n">
        <x:f>IF(E509="Kurum içi",AC509*AD509+AE509*AF509+AB509*12%,0)</x:f>
        <x:v>0</x:v>
      </x:c>
      <x:c r="AJ509" s="38" t="n">
        <x:f>V509*AG509</x:f>
        <x:v>1354.3685408566698</x:v>
      </x:c>
      <x:c r="AK509" s="38" t="n">
        <x:f>AB509*2%</x:f>
        <x:v>3823.7373841999997</x:v>
      </x:c>
      <x:c r="AL509" s="38" t="n">
        <x:f>AB509+AH509+AI509+AJ509+AK509</x:f>
        <x:v>233759.81943505665</x:v>
      </x:c>
      <x:c r="AM509" s="38" t="n">
        <x:f>AL509/V509</x:f>
        <x:v>928.5713530861591</x:v>
      </x:c>
      <x:c r="AN509" s="40" t="n">
        <x:f>(W509+X509)/AL509*100</x:f>
        <x:v>70.52988841215479</x:v>
      </x:c>
      <x:c r="AO509" s="28" t="str">
        <x:v>R01-R20; ilgili satırdaki bölgesel fiyat ve maliyet varsayımları</x:v>
      </x:c>
      <x:c r="AP509" s="28" t="str">
        <x:v>Girdi miktarları, alım fiyatı değişimi, fason bedeli ve parti sonucu simüle edilmiştir; işletme kaydı değildir.</x:v>
      </x:c>
    </x:row>
    <x:row r="510" ht="22" customHeight="1">
      <x:c r="A510" t="str">
        <x:v>SUC-0509</x:v>
      </x:c>
      <x:c r="B510" s="36" t="n">
        <x:v>46271</x:v>
      </x:c>
      <x:c r="C510" t="str">
        <x:v>Doğu Anadolu</x:v>
      </x:c>
      <x:c r="D510" t="str">
        <x:v>ERZURUM_CI</x:v>
      </x:c>
      <x:c r="E510" t="str">
        <x:v>Fason</x:v>
      </x:c>
      <x:c r="F510" s="42" t="str">
        <x:v>SENTETİK/SİMÜLE — gerçek parti kaydı değildir</x:v>
      </x:c>
      <x:c r="G510" s="38" t="n">
        <x:v>223.562</x:v>
      </x:c>
      <x:c r="H510" s="38" t="n">
        <x:v>38.435</x:v>
      </x:c>
      <x:c r="I510" s="38" t="n">
        <x:v>13.675</x:v>
      </x:c>
      <x:c r="J510" s="38" t="n">
        <x:v>4.456</x:v>
      </x:c>
      <x:c r="K510" s="38" t="n">
        <x:v>0.142</x:v>
      </x:c>
      <x:c r="L510" s="38" t="n">
        <x:f>SUM(G510:K510)</x:f>
        <x:v>280.27000000000004</x:v>
      </x:c>
      <x:c r="M510" s="38" t="n">
        <x:v>348.101</x:v>
      </x:c>
      <x:c r="N510" s="38" t="n">
        <x:v>585.02</x:v>
      </x:c>
      <x:c r="O510" s="38" t="n">
        <x:v>465.82</x:v>
      </x:c>
      <x:c r="P510" s="38" t="n">
        <x:v>669.9</x:v>
      </x:c>
      <x:c r="Q510" s="38" t="n">
        <x:v>19.88</x:v>
      </x:c>
      <x:c r="R510" s="38" t="n">
        <x:v>43.7475</x:v>
      </x:c>
      <x:c r="S510" s="38" t="n">
        <x:v>74.43</x:v>
      </x:c>
      <x:c r="T510" s="40" t="n">
        <x:v>17.11</x:v>
      </x:c>
      <x:c r="U510" s="40" t="n">
        <x:v>1.7</x:v>
      </x:c>
      <x:c r="V510" s="38" t="n">
        <x:f>L510*(1-T510/100)*(1-U510/100)</x:f>
        <x:v>228.366434349</x:v>
      </x:c>
      <x:c r="W510" s="38" t="n">
        <x:f>G510*N510</x:f>
        <x:v>130788.24124</x:v>
      </x:c>
      <x:c r="X510" s="38" t="n">
        <x:f>H510*O510</x:f>
        <x:v>17903.7917</x:v>
      </x:c>
      <x:c r="Y510" s="38" t="n">
        <x:f>I510*P510</x:f>
        <x:v>9160.8825</x:v>
      </x:c>
      <x:c r="Z510" s="38" t="n">
        <x:f>J510*Q510+K510*P510</x:f>
        <x:v>183.71107999999998</x:v>
      </x:c>
      <x:c r="AA510" s="38" t="n">
        <x:f>M510*R510</x:f>
        <x:v>15228.5484975</x:v>
      </x:c>
      <x:c r="AB510" s="38" t="n">
        <x:f>SUM(W510:AA510)</x:f>
        <x:v>173265.1750175</x:v>
      </x:c>
      <x:c r="AC510" s="38" t="n">
        <x:v>14.17</x:v>
      </x:c>
      <x:c r="AD510" s="38" t="n">
        <x:v>174.33</x:v>
      </x:c>
      <x:c r="AE510" s="38" t="n">
        <x:v>71.71</x:v>
      </x:c>
      <x:c r="AF510" s="38" t="n">
        <x:v>4.8148</x:v>
      </x:c>
      <x:c r="AG510" s="38" t="n">
        <x:v>5.16</x:v>
      </x:c>
      <x:c r="AH510" s="38" t="n">
        <x:f>IF(E510="Fason",L510*S510,0)</x:f>
        <x:v>20860.496100000004</x:v>
      </x:c>
      <x:c r="AI510" s="38" t="n">
        <x:f>IF(E510="Kurum içi",AC510*AD510+AE510*AF510+AB510*12%,0)</x:f>
        <x:v>0</x:v>
      </x:c>
      <x:c r="AJ510" s="38" t="n">
        <x:f>V510*AG510</x:f>
        <x:v>1178.3708012408401</x:v>
      </x:c>
      <x:c r="AK510" s="38" t="n">
        <x:f>AB510*2%</x:f>
        <x:v>3465.3035003500004</x:v>
      </x:c>
      <x:c r="AL510" s="38" t="n">
        <x:f>AB510+AH510+AI510+AJ510+AK510</x:f>
        <x:v>198769.34541909085</x:v>
      </x:c>
      <x:c r="AM510" s="38" t="n">
        <x:f>AL510/V510</x:f>
        <x:v>870.3965010695156</x:v>
      </x:c>
      <x:c r="AN510" s="40" t="n">
        <x:f>(W510+X510)/AL510*100</x:f>
        <x:v>74.80632017300935</x:v>
      </x:c>
      <x:c r="AO510" s="28" t="str">
        <x:v>R01-R20; ilgili satırdaki bölgesel fiyat ve maliyet varsayımları</x:v>
      </x:c>
      <x:c r="AP510" s="28" t="str">
        <x:v>Girdi miktarları, alım fiyatı değişimi, fason bedeli ve parti sonucu simüle edilmiştir; işletme kaydı değildir.</x:v>
      </x:c>
    </x:row>
    <x:row r="511" ht="22" customHeight="1">
      <x:c r="A511" t="str">
        <x:v>SUC-0510</x:v>
      </x:c>
      <x:c r="B511" s="36" t="n">
        <x:v>46288</x:v>
      </x:c>
      <x:c r="C511" t="str">
        <x:v>Güneydoğu Anadolu</x:v>
      </x:c>
      <x:c r="D511" t="str">
        <x:v>MEB_STANDART</x:v>
      </x:c>
      <x:c r="E511" t="str">
        <x:v>Fason</x:v>
      </x:c>
      <x:c r="F511" s="42" t="str">
        <x:v>SENTETİK/SİMÜLE — gerçek parti kaydı değildir</x:v>
      </x:c>
      <x:c r="G511" s="38" t="n">
        <x:v>192.589</x:v>
      </x:c>
      <x:c r="H511" s="38" t="n">
        <x:v>58.669</x:v>
      </x:c>
      <x:c r="I511" s="38" t="n">
        <x:v>12.764</x:v>
      </x:c>
      <x:c r="J511" s="38" t="n">
        <x:v>6.594</x:v>
      </x:c>
      <x:c r="K511" s="38" t="n">
        <x:v>2.485</x:v>
      </x:c>
      <x:c r="L511" s="38" t="n">
        <x:f>SUM(G511:K511)</x:f>
        <x:v>273.101</x:v>
      </x:c>
      <x:c r="M511" s="38" t="n">
        <x:v>321.612</x:v>
      </x:c>
      <x:c r="N511" s="38" t="n">
        <x:v>573.1</x:v>
      </x:c>
      <x:c r="O511" s="38" t="n">
        <x:v>417.1</x:v>
      </x:c>
      <x:c r="P511" s="38" t="n">
        <x:v>400</x:v>
      </x:c>
      <x:c r="Q511" s="38" t="n">
        <x:v>19.88</x:v>
      </x:c>
      <x:c r="R511" s="38" t="n">
        <x:v>43.7475</x:v>
      </x:c>
      <x:c r="S511" s="38" t="n">
        <x:v>115.95</x:v>
      </x:c>
      <x:c r="T511" s="40" t="n">
        <x:v>21.75</x:v>
      </x:c>
      <x:c r="U511" s="40" t="n">
        <x:v>1.25</x:v>
      </x:c>
      <x:c r="V511" s="38" t="n">
        <x:f>L511*(1-T511/100)*(1-U511/100)</x:f>
        <x:v>211.03026334375</x:v>
      </x:c>
      <x:c r="W511" s="38" t="n">
        <x:f>G511*N511</x:f>
        <x:v>110372.7559</x:v>
      </x:c>
      <x:c r="X511" s="38" t="n">
        <x:f>H511*O511</x:f>
        <x:v>24470.8399</x:v>
      </x:c>
      <x:c r="Y511" s="38" t="n">
        <x:f>I511*P511</x:f>
        <x:v>5105.599999999999</x:v>
      </x:c>
      <x:c r="Z511" s="38" t="n">
        <x:f>J511*Q511+K511*P511</x:f>
        <x:v>1125.08872</x:v>
      </x:c>
      <x:c r="AA511" s="38" t="n">
        <x:f>M511*R511</x:f>
        <x:v>14069.720970000002</x:v>
      </x:c>
      <x:c r="AB511" s="38" t="n">
        <x:f>SUM(W511:AA511)</x:f>
        <x:v>155144.00549</x:v>
      </x:c>
      <x:c r="AC511" s="38" t="n">
        <x:v>13.14</x:v>
      </x:c>
      <x:c r="AD511" s="38" t="n">
        <x:v>174.33</x:v>
      </x:c>
      <x:c r="AE511" s="38" t="n">
        <x:v>85.81</x:v>
      </x:c>
      <x:c r="AF511" s="38" t="n">
        <x:v>4.8148</x:v>
      </x:c>
      <x:c r="AG511" s="38" t="n">
        <x:v>5.47</x:v>
      </x:c>
      <x:c r="AH511" s="38" t="n">
        <x:f>IF(E511="Fason",L511*S511,0)</x:f>
        <x:v>31666.06095</x:v>
      </x:c>
      <x:c r="AI511" s="38" t="n">
        <x:f>IF(E511="Kurum içi",AC511*AD511+AE511*AF511+AB511*12%,0)</x:f>
        <x:v>0</x:v>
      </x:c>
      <x:c r="AJ511" s="38" t="n">
        <x:f>V511*AG511</x:f>
        <x:v>1154.3355404903125</x:v>
      </x:c>
      <x:c r="AK511" s="38" t="n">
        <x:f>AB511*2%</x:f>
        <x:v>3102.8801098000004</x:v>
      </x:c>
      <x:c r="AL511" s="38" t="n">
        <x:f>AB511+AH511+AI511+AJ511+AK511</x:f>
        <x:v>191067.28209029033</x:v>
      </x:c>
      <x:c r="AM511" s="38" t="n">
        <x:f>AL511/V511</x:f>
        <x:v>905.4022824160453</x:v>
      </x:c>
      <x:c r="AN511" s="40" t="n">
        <x:f>(W511+X511)/AL511*100</x:f>
        <x:v>70.57388074232334</x:v>
      </x:c>
      <x:c r="AO511" s="28" t="str">
        <x:v>R01-R20; ilgili satırdaki bölgesel fiyat ve maliyet varsayımları</x:v>
      </x:c>
      <x:c r="AP511" s="28" t="str">
        <x:v>Girdi miktarları, alım fiyatı değişimi, fason bedeli ve parti sonucu simüle edilmiştir; işletme kaydı değildir.</x:v>
      </x:c>
    </x:row>
    <x:row r="512" ht="22" customHeight="1">
      <x:c r="A512" t="str">
        <x:v>SUC-0511</x:v>
      </x:c>
      <x:c r="B512" s="36" t="n">
        <x:v>46300</x:v>
      </x:c>
      <x:c r="C512" t="str">
        <x:v>Ege</x:v>
      </x:c>
      <x:c r="D512" t="str">
        <x:v>ERZURUM_CI</x:v>
      </x:c>
      <x:c r="E512" t="str">
        <x:v>Kurum içi</x:v>
      </x:c>
      <x:c r="F512" s="42" t="str">
        <x:v>SENTETİK/SİMÜLE — gerçek parti kaydı değildir</x:v>
      </x:c>
      <x:c r="G512" s="38" t="n">
        <x:v>295.672</x:v>
      </x:c>
      <x:c r="H512" s="38" t="n">
        <x:v>52.618</x:v>
      </x:c>
      <x:c r="I512" s="38" t="n">
        <x:v>17.488</x:v>
      </x:c>
      <x:c r="J512" s="38" t="n">
        <x:v>5.234</x:v>
      </x:c>
      <x:c r="K512" s="38" t="n">
        <x:v>0.554</x:v>
      </x:c>
      <x:c r="L512" s="38" t="n">
        <x:f>SUM(G512:K512)</x:f>
        <x:v>371.566</x:v>
      </x:c>
      <x:c r="M512" s="38" t="n">
        <x:v>445.172</x:v>
      </x:c>
      <x:c r="N512" s="38" t="n">
        <x:v>610.27</x:v>
      </x:c>
      <x:c r="O512" s="38" t="n">
        <x:v>480.13</x:v>
      </x:c>
      <x:c r="P512" s="38" t="n">
        <x:v>669.9</x:v>
      </x:c>
      <x:c r="Q512" s="38" t="n">
        <x:v>19.88</x:v>
      </x:c>
      <x:c r="R512" s="38" t="n">
        <x:v>43.7475</x:v>
      </x:c>
      <x:c r="S512" s="38" t="n">
        <x:v>96.99</x:v>
      </x:c>
      <x:c r="T512" s="40" t="n">
        <x:v>26.94</x:v>
      </x:c>
      <x:c r="U512" s="40" t="n">
        <x:v>0.38</x:v>
      </x:c>
      <x:c r="V512" s="38" t="n">
        <x:f>L512*(1-T512/100)*(1-U512/100)</x:f>
        <x:v>270.43454834551994</x:v>
      </x:c>
      <x:c r="W512" s="38" t="n">
        <x:f>G512*N512</x:f>
        <x:v>180439.75144000002</x:v>
      </x:c>
      <x:c r="X512" s="38" t="n">
        <x:f>H512*O512</x:f>
        <x:v>25263.480340000002</x:v>
      </x:c>
      <x:c r="Y512" s="38" t="n">
        <x:f>I512*P512</x:f>
        <x:v>11715.2112</x:v>
      </x:c>
      <x:c r="Z512" s="38" t="n">
        <x:f>J512*Q512+K512*P512</x:f>
        <x:v>475.17652000000004</x:v>
      </x:c>
      <x:c r="AA512" s="38" t="n">
        <x:f>M512*R512</x:f>
        <x:v>19475.162070000002</x:v>
      </x:c>
      <x:c r="AB512" s="38" t="n">
        <x:f>SUM(W512:AA512)</x:f>
        <x:v>237368.78157000002</x:v>
      </x:c>
      <x:c r="AC512" s="38" t="n">
        <x:v>19.34</x:v>
      </x:c>
      <x:c r="AD512" s="38" t="n">
        <x:v>174.33</x:v>
      </x:c>
      <x:c r="AE512" s="38" t="n">
        <x:v>158</x:v>
      </x:c>
      <x:c r="AF512" s="38" t="n">
        <x:v>4.8148</x:v>
      </x:c>
      <x:c r="AG512" s="38" t="n">
        <x:v>5.83</x:v>
      </x:c>
      <x:c r="AH512" s="38" t="n">
        <x:f>IF(E512="Fason",L512*S512,0)</x:f>
        <x:v>0</x:v>
      </x:c>
      <x:c r="AI512" s="38" t="n">
        <x:f>IF(E512="Kurum içi",AC512*AD512+AE512*AF512+AB512*12%,0)</x:f>
        <x:v>32616.534388400003</x:v>
      </x:c>
      <x:c r="AJ512" s="38" t="n">
        <x:f>V512*AG512</x:f>
        <x:v>1576.6334168543813</x:v>
      </x:c>
      <x:c r="AK512" s="38" t="n">
        <x:f>AB512*2%</x:f>
        <x:v>4747.3756314</x:v>
      </x:c>
      <x:c r="AL512" s="38" t="n">
        <x:f>AB512+AH512+AI512+AJ512+AK512</x:f>
        <x:v>276309.32500665437</x:v>
      </x:c>
      <x:c r="AM512" s="38" t="n">
        <x:f>AL512/V512</x:f>
        <x:v>1021.7234694940993</x:v>
      </x:c>
      <x:c r="AN512" s="40" t="n">
        <x:f>(W512+X512)/AL512*100</x:f>
        <x:v>74.44672081734703</x:v>
      </x:c>
      <x:c r="AO512" s="28" t="str">
        <x:v>R01-R20; ilgili satırdaki bölgesel fiyat ve maliyet varsayımları</x:v>
      </x:c>
      <x:c r="AP512" s="28" t="str">
        <x:v>Girdi miktarları, alım fiyatı değişimi, fason bedeli ve parti sonucu simüle edilmiştir; işletme kaydı değildir.</x:v>
      </x:c>
    </x:row>
    <x:row r="513" ht="22" customHeight="1">
      <x:c r="A513" t="str">
        <x:v>SUC-0512</x:v>
      </x:c>
      <x:c r="B513" s="36" t="n">
        <x:v>46279</x:v>
      </x:c>
      <x:c r="C513" t="str">
        <x:v>İç Anadolu</x:v>
      </x:c>
      <x:c r="D513" t="str">
        <x:v>MEB_STANDART</x:v>
      </x:c>
      <x:c r="E513" t="str">
        <x:v>Kurum içi</x:v>
      </x:c>
      <x:c r="F513" s="42" t="str">
        <x:v>SENTETİK/SİMÜLE — gerçek parti kaydı değildir</x:v>
      </x:c>
      <x:c r="G513" s="38" t="n">
        <x:v>71.018</x:v>
      </x:c>
      <x:c r="H513" s="38" t="n">
        <x:v>22.012</x:v>
      </x:c>
      <x:c r="I513" s="38" t="n">
        <x:v>4.758</x:v>
      </x:c>
      <x:c r="J513" s="38" t="n">
        <x:v>2.433</x:v>
      </x:c>
      <x:c r="K513" s="38" t="n">
        <x:v>0.915</x:v>
      </x:c>
      <x:c r="L513" s="38" t="n">
        <x:f>SUM(G513:K513)</x:f>
        <x:v>101.13600000000001</x:v>
      </x:c>
      <x:c r="M513" s="38" t="n">
        <x:v>129.088</x:v>
      </x:c>
      <x:c r="N513" s="38" t="n">
        <x:v>578.32</x:v>
      </x:c>
      <x:c r="O513" s="38" t="n">
        <x:v>457.88</x:v>
      </x:c>
      <x:c r="P513" s="38" t="n">
        <x:v>400</x:v>
      </x:c>
      <x:c r="Q513" s="38" t="n">
        <x:v>19.88</x:v>
      </x:c>
      <x:c r="R513" s="38" t="n">
        <x:v>43.7475</x:v>
      </x:c>
      <x:c r="S513" s="38" t="n">
        <x:v>117.01</x:v>
      </x:c>
      <x:c r="T513" s="40" t="n">
        <x:v>19.26</x:v>
      </x:c>
      <x:c r="U513" s="40" t="n">
        <x:v>0.73</x:v>
      </x:c>
      <x:c r="V513" s="38" t="n">
        <x:f>L513*(1-T513/100)*(1-U513/100)</x:f>
        <x:v>81.06110879328001</x:v>
      </x:c>
      <x:c r="W513" s="38" t="n">
        <x:f>G513*N513</x:f>
        <x:v>41071.12976</x:v>
      </x:c>
      <x:c r="X513" s="38" t="n">
        <x:f>H513*O513</x:f>
        <x:v>10078.85456</x:v>
      </x:c>
      <x:c r="Y513" s="38" t="n">
        <x:f>I513*P513</x:f>
        <x:v>1903.2</x:v>
      </x:c>
      <x:c r="Z513" s="38" t="n">
        <x:f>J513*Q513+K513*P513</x:f>
        <x:v>414.36804</x:v>
      </x:c>
      <x:c r="AA513" s="38" t="n">
        <x:f>M513*R513</x:f>
        <x:v>5647.27728</x:v>
      </x:c>
      <x:c r="AB513" s="38" t="n">
        <x:f>SUM(W513:AA513)</x:f>
        <x:v>59114.82964</x:v>
      </x:c>
      <x:c r="AC513" s="38" t="n">
        <x:v>6.59</x:v>
      </x:c>
      <x:c r="AD513" s="38" t="n">
        <x:v>174.33</x:v>
      </x:c>
      <x:c r="AE513" s="38" t="n">
        <x:v>27.93</x:v>
      </x:c>
      <x:c r="AF513" s="38" t="n">
        <x:v>4.8148</x:v>
      </x:c>
      <x:c r="AG513" s="38" t="n">
        <x:v>5.84</x:v>
      </x:c>
      <x:c r="AH513" s="38" t="n">
        <x:f>IF(E513="Fason",L513*S513,0)</x:f>
        <x:v>0</x:v>
      </x:c>
      <x:c r="AI513" s="38" t="n">
        <x:f>IF(E513="Kurum içi",AC513*AD513+AE513*AF513+AB513*12%,0)</x:f>
        <x:v>8377.0916208</x:v>
      </x:c>
      <x:c r="AJ513" s="38" t="n">
        <x:f>V513*AG513</x:f>
        <x:v>473.3968753527553</x:v>
      </x:c>
      <x:c r="AK513" s="38" t="n">
        <x:f>AB513*2%</x:f>
        <x:v>1182.2965928</x:v>
      </x:c>
      <x:c r="AL513" s="38" t="n">
        <x:f>AB513+AH513+AI513+AJ513+AK513</x:f>
        <x:v>69147.61472895277</x:v>
      </x:c>
      <x:c r="AM513" s="38" t="n">
        <x:f>AL513/V513</x:f>
        <x:v>853.030704345425</x:v>
      </x:c>
      <x:c r="AN513" s="40" t="n">
        <x:f>(W513+X513)/AL513*100</x:f>
        <x:v>73.97216016850254</x:v>
      </x:c>
      <x:c r="AO513" s="28" t="str">
        <x:v>R01-R20; ilgili satırdaki bölgesel fiyat ve maliyet varsayımları</x:v>
      </x:c>
      <x:c r="AP513" s="28" t="str">
        <x:v>Girdi miktarları, alım fiyatı değişimi, fason bedeli ve parti sonucu simüle edilmiştir; işletme kaydı değildir.</x:v>
      </x:c>
    </x:row>
    <x:row r="514" ht="22" customHeight="1">
      <x:c r="A514" t="str">
        <x:v>SUC-0513</x:v>
      </x:c>
      <x:c r="B514" s="36" t="n">
        <x:v>46273</x:v>
      </x:c>
      <x:c r="C514" t="str">
        <x:v>Ege</x:v>
      </x:c>
      <x:c r="D514" t="str">
        <x:v>MEB_STANDART</x:v>
      </x:c>
      <x:c r="E514" t="str">
        <x:v>Kurum içi</x:v>
      </x:c>
      <x:c r="F514" s="42" t="str">
        <x:v>SENTETİK/SİMÜLE — gerçek parti kaydı değildir</x:v>
      </x:c>
      <x:c r="G514" s="38" t="n">
        <x:v>163.725</x:v>
      </x:c>
      <x:c r="H514" s="38" t="n">
        <x:v>51.958</x:v>
      </x:c>
      <x:c r="I514" s="38" t="n">
        <x:v>10.481</x:v>
      </x:c>
      <x:c r="J514" s="38" t="n">
        <x:v>5.85</x:v>
      </x:c>
      <x:c r="K514" s="38" t="n">
        <x:v>2.288</x:v>
      </x:c>
      <x:c r="L514" s="38" t="n">
        <x:f>SUM(G514:K514)</x:f>
        <x:v>234.302</x:v>
      </x:c>
      <x:c r="M514" s="38" t="n">
        <x:v>288.645</x:v>
      </x:c>
      <x:c r="N514" s="38" t="n">
        <x:v>599.7</x:v>
      </x:c>
      <x:c r="O514" s="38" t="n">
        <x:v>417.36</x:v>
      </x:c>
      <x:c r="P514" s="38" t="n">
        <x:v>400</x:v>
      </x:c>
      <x:c r="Q514" s="38" t="n">
        <x:v>19.88</x:v>
      </x:c>
      <x:c r="R514" s="38" t="n">
        <x:v>43.7475</x:v>
      </x:c>
      <x:c r="S514" s="38" t="n">
        <x:v>73.13</x:v>
      </x:c>
      <x:c r="T514" s="40" t="n">
        <x:v>33.07</x:v>
      </x:c>
      <x:c r="U514" s="40" t="n">
        <x:v>1.77</x:v>
      </x:c>
      <x:c r="V514" s="38" t="n">
        <x:f>L514*(1-T514/100)*(1-U514/100)</x:f>
        <x:v>154.04264418378</x:v>
      </x:c>
      <x:c r="W514" s="38" t="n">
        <x:f>G514*N514</x:f>
        <x:v>98185.8825</x:v>
      </x:c>
      <x:c r="X514" s="38" t="n">
        <x:f>H514*O514</x:f>
        <x:v>21685.19088</x:v>
      </x:c>
      <x:c r="Y514" s="38" t="n">
        <x:f>I514*P514</x:f>
        <x:v>4192.4</x:v>
      </x:c>
      <x:c r="Z514" s="38" t="n">
        <x:f>J514*Q514+K514*P514</x:f>
        <x:v>1031.4979999999998</x:v>
      </x:c>
      <x:c r="AA514" s="38" t="n">
        <x:f>M514*R514</x:f>
        <x:v>12627.4971375</x:v>
      </x:c>
      <x:c r="AB514" s="38" t="n">
        <x:f>SUM(W514:AA514)</x:f>
        <x:v>137722.4685175</x:v>
      </x:c>
      <x:c r="AC514" s="38" t="n">
        <x:v>8.57</x:v>
      </x:c>
      <x:c r="AD514" s="38" t="n">
        <x:v>174.33</x:v>
      </x:c>
      <x:c r="AE514" s="38" t="n">
        <x:v>107.46</x:v>
      </x:c>
      <x:c r="AF514" s="38" t="n">
        <x:v>4.8148</x:v>
      </x:c>
      <x:c r="AG514" s="38" t="n">
        <x:v>5.24</x:v>
      </x:c>
      <x:c r="AH514" s="38" t="n">
        <x:f>IF(E514="Fason",L514*S514,0)</x:f>
        <x:v>0</x:v>
      </x:c>
      <x:c r="AI514" s="38" t="n">
        <x:f>IF(E514="Kurum içi",AC514*AD514+AE514*AF514+AB514*12%,0)</x:f>
        <x:v>18538.1027301</x:v>
      </x:c>
      <x:c r="AJ514" s="38" t="n">
        <x:f>V514*AG514</x:f>
        <x:v>807.1834555230072</x:v>
      </x:c>
      <x:c r="AK514" s="38" t="n">
        <x:f>AB514*2%</x:f>
        <x:v>2754.44937035</x:v>
      </x:c>
      <x:c r="AL514" s="38" t="n">
        <x:f>AB514+AH514+AI514+AJ514+AK514</x:f>
        <x:v>159822.20407347303</x:v>
      </x:c>
      <x:c r="AM514" s="38" t="n">
        <x:f>AL514/V514</x:f>
        <x:v>1037.5192202153953</x:v>
      </x:c>
      <x:c r="AN514" s="40" t="n">
        <x:f>(W514+X514)/AL514*100</x:f>
        <x:v>75.00276577645819</x:v>
      </x:c>
      <x:c r="AO514" s="28" t="str">
        <x:v>R01-R20; ilgili satırdaki bölgesel fiyat ve maliyet varsayımları</x:v>
      </x:c>
      <x:c r="AP514" s="28" t="str">
        <x:v>Girdi miktarları, alım fiyatı değişimi, fason bedeli ve parti sonucu simüle edilmiştir; işletme kaydı değildir.</x:v>
      </x:c>
    </x:row>
    <x:row r="515" ht="22" customHeight="1">
      <x:c r="A515" t="str">
        <x:v>SUC-0514</x:v>
      </x:c>
      <x:c r="B515" s="36" t="n">
        <x:v>46297</x:v>
      </x:c>
      <x:c r="C515" t="str">
        <x:v>İç Anadolu</x:v>
      </x:c>
      <x:c r="D515" t="str">
        <x:v>ERZURUM_CI</x:v>
      </x:c>
      <x:c r="E515" t="str">
        <x:v>Kurum içi</x:v>
      </x:c>
      <x:c r="F515" s="42" t="str">
        <x:v>SENTETİK/SİMÜLE — gerçek parti kaydı değildir</x:v>
      </x:c>
      <x:c r="G515" s="38" t="n">
        <x:v>372.965</x:v>
      </x:c>
      <x:c r="H515" s="38" t="n">
        <x:v>62.967</x:v>
      </x:c>
      <x:c r="I515" s="38" t="n">
        <x:v>21.306</x:v>
      </x:c>
      <x:c r="J515" s="38" t="n">
        <x:v>7.786</x:v>
      </x:c>
      <x:c r="K515" s="38" t="n">
        <x:v>0.047</x:v>
      </x:c>
      <x:c r="L515" s="38" t="n">
        <x:f>SUM(G515:K515)</x:f>
        <x:v>465.07099999999997</x:v>
      </x:c>
      <x:c r="M515" s="38" t="n">
        <x:v>567.79</x:v>
      </x:c>
      <x:c r="N515" s="38" t="n">
        <x:v>576.92</x:v>
      </x:c>
      <x:c r="O515" s="38" t="n">
        <x:v>424.1</x:v>
      </x:c>
      <x:c r="P515" s="38" t="n">
        <x:v>550</x:v>
      </x:c>
      <x:c r="Q515" s="38" t="n">
        <x:v>19.88</x:v>
      </x:c>
      <x:c r="R515" s="38" t="n">
        <x:v>43.7475</x:v>
      </x:c>
      <x:c r="S515" s="38" t="n">
        <x:v>69.8</x:v>
      </x:c>
      <x:c r="T515" s="40" t="n">
        <x:v>25.53</x:v>
      </x:c>
      <x:c r="U515" s="40" t="n">
        <x:v>0.9</x:v>
      </x:c>
      <x:c r="V515" s="38" t="n">
        <x:f>L515*(1-T515/100)*(1-U515/100)</x:f>
        <x:v>343.2213283366999</x:v>
      </x:c>
      <x:c r="W515" s="38" t="n">
        <x:f>G515*N515</x:f>
        <x:v>215170.96779999998</x:v>
      </x:c>
      <x:c r="X515" s="38" t="n">
        <x:f>H515*O515</x:f>
        <x:v>26704.3047</x:v>
      </x:c>
      <x:c r="Y515" s="38" t="n">
        <x:f>I515*P515</x:f>
        <x:v>11718.300000000001</x:v>
      </x:c>
      <x:c r="Z515" s="38" t="n">
        <x:f>J515*Q515+K515*P515</x:f>
        <x:v>180.63567999999998</x:v>
      </x:c>
      <x:c r="AA515" s="38" t="n">
        <x:f>M515*R515</x:f>
        <x:v>24839.393025</x:v>
      </x:c>
      <x:c r="AB515" s="38" t="n">
        <x:f>SUM(W515:AA515)</x:f>
        <x:v>278613.601205</x:v>
      </x:c>
      <x:c r="AC515" s="38" t="n">
        <x:v>19.16</x:v>
      </x:c>
      <x:c r="AD515" s="38" t="n">
        <x:v>174.33</x:v>
      </x:c>
      <x:c r="AE515" s="38" t="n">
        <x:v>117.24</x:v>
      </x:c>
      <x:c r="AF515" s="38" t="n">
        <x:v>4.8148</x:v>
      </x:c>
      <x:c r="AG515" s="38" t="n">
        <x:v>5.83</x:v>
      </x:c>
      <x:c r="AH515" s="38" t="n">
        <x:f>IF(E515="Fason",L515*S515,0)</x:f>
        <x:v>0</x:v>
      </x:c>
      <x:c r="AI515" s="38" t="n">
        <x:f>IF(E515="Kurum içi",AC515*AD515+AE515*AF515+AB515*12%,0)</x:f>
        <x:v>37338.2820966</x:v>
      </x:c>
      <x:c r="AJ515" s="38" t="n">
        <x:f>V515*AG515</x:f>
        <x:v>2000.9803442029606</x:v>
      </x:c>
      <x:c r="AK515" s="38" t="n">
        <x:f>AB515*2%</x:f>
        <x:v>5572.272024100001</x:v>
      </x:c>
      <x:c r="AL515" s="38" t="n">
        <x:f>AB515+AH515+AI515+AJ515+AK515</x:f>
        <x:v>323525.13566990296</x:v>
      </x:c>
      <x:c r="AM515" s="38" t="n">
        <x:f>AL515/V515</x:f>
        <x:v>942.6137275260616</x:v>
      </x:c>
      <x:c r="AN515" s="40" t="n">
        <x:f>(W515+X515)/AL515*100</x:f>
        <x:v>74.76243600027065</x:v>
      </x:c>
      <x:c r="AO515" s="28" t="str">
        <x:v>R01-R20; ilgili satırdaki bölgesel fiyat ve maliyet varsayımları</x:v>
      </x:c>
      <x:c r="AP515" s="28" t="str">
        <x:v>Girdi miktarları, alım fiyatı değişimi, fason bedeli ve parti sonucu simüle edilmiştir; işletme kaydı değildir.</x:v>
      </x:c>
    </x:row>
    <x:row r="516" ht="22" customHeight="1">
      <x:c r="A516" t="str">
        <x:v>SUC-0515</x:v>
      </x:c>
      <x:c r="B516" s="36" t="n">
        <x:v>46311</x:v>
      </x:c>
      <x:c r="C516" t="str">
        <x:v>İç Anadolu</x:v>
      </x:c>
      <x:c r="D516" t="str">
        <x:v>MEB_STANDART</x:v>
      </x:c>
      <x:c r="E516" t="str">
        <x:v>Kurum içi</x:v>
      </x:c>
      <x:c r="F516" s="42" t="str">
        <x:v>SENTETİK/SİMÜLE — gerçek parti kaydı değildir</x:v>
      </x:c>
      <x:c r="G516" s="38" t="n">
        <x:v>129.724</x:v>
      </x:c>
      <x:c r="H516" s="38" t="n">
        <x:v>38.944</x:v>
      </x:c>
      <x:c r="I516" s="38" t="n">
        <x:v>8.419</x:v>
      </x:c>
      <x:c r="J516" s="38" t="n">
        <x:v>4.782</x:v>
      </x:c>
      <x:c r="K516" s="38" t="n">
        <x:v>2.021</x:v>
      </x:c>
      <x:c r="L516" s="38" t="n">
        <x:f>SUM(G516:K516)</x:f>
        <x:v>183.89000000000001</x:v>
      </x:c>
      <x:c r="M516" s="38" t="n">
        <x:v>233.69</x:v>
      </x:c>
      <x:c r="N516" s="38" t="n">
        <x:v>598.17</x:v>
      </x:c>
      <x:c r="O516" s="38" t="n">
        <x:v>440.68</x:v>
      </x:c>
      <x:c r="P516" s="38" t="n">
        <x:v>400</x:v>
      </x:c>
      <x:c r="Q516" s="38" t="n">
        <x:v>19.88</x:v>
      </x:c>
      <x:c r="R516" s="38" t="n">
        <x:v>43.7475</x:v>
      </x:c>
      <x:c r="S516" s="38" t="n">
        <x:v>112.57</x:v>
      </x:c>
      <x:c r="T516" s="40" t="n">
        <x:v>27.45</x:v>
      </x:c>
      <x:c r="U516" s="40" t="n">
        <x:v>1.44</x:v>
      </x:c>
      <x:c r="V516" s="38" t="n">
        <x:f>L516*(1-T516/100)*(1-U516/100)</x:f>
        <x:v>131.49105939200004</x:v>
      </x:c>
      <x:c r="W516" s="38" t="n">
        <x:f>G516*N516</x:f>
        <x:v>77597.00507999999</x:v>
      </x:c>
      <x:c r="X516" s="38" t="n">
        <x:f>H516*O516</x:f>
        <x:v>17161.841920000003</x:v>
      </x:c>
      <x:c r="Y516" s="38" t="n">
        <x:f>I516*P516</x:f>
        <x:v>3367.6000000000004</x:v>
      </x:c>
      <x:c r="Z516" s="38" t="n">
        <x:f>J516*Q516+K516*P516</x:f>
        <x:v>903.46616</x:v>
      </x:c>
      <x:c r="AA516" s="38" t="n">
        <x:f>M516*R516</x:f>
        <x:v>10223.353275000001</x:v>
      </x:c>
      <x:c r="AB516" s="38" t="n">
        <x:f>SUM(W516:AA516)</x:f>
        <x:v>109253.266435</x:v>
      </x:c>
      <x:c r="AC516" s="38" t="n">
        <x:v>7.11</x:v>
      </x:c>
      <x:c r="AD516" s="38" t="n">
        <x:v>174.33</x:v>
      </x:c>
      <x:c r="AE516" s="38" t="n">
        <x:v>52.24</x:v>
      </x:c>
      <x:c r="AF516" s="38" t="n">
        <x:v>4.8148</x:v>
      </x:c>
      <x:c r="AG516" s="38" t="n">
        <x:v>5.79</x:v>
      </x:c>
      <x:c r="AH516" s="38" t="n">
        <x:f>IF(E516="Fason",L516*S516,0)</x:f>
        <x:v>0</x:v>
      </x:c>
      <x:c r="AI516" s="38" t="n">
        <x:f>IF(E516="Kurum içi",AC516*AD516+AE516*AF516+AB516*12%,0)</x:f>
        <x:v>14601.4034242</x:v>
      </x:c>
      <x:c r="AJ516" s="38" t="n">
        <x:f>V516*AG516</x:f>
        <x:v>761.3332338796803</x:v>
      </x:c>
      <x:c r="AK516" s="38" t="n">
        <x:f>AB516*2%</x:f>
        <x:v>2185.0653287</x:v>
      </x:c>
      <x:c r="AL516" s="38" t="n">
        <x:f>AB516+AH516+AI516+AJ516+AK516</x:f>
        <x:v>126801.06842177968</x:v>
      </x:c>
      <x:c r="AM516" s="38" t="n">
        <x:f>AL516/V516</x:f>
        <x:v>964.332244398164</x:v>
      </x:c>
      <x:c r="AN516" s="40" t="n">
        <x:f>(W516+X516)/AL516*100</x:f>
        <x:v>74.73032221211471</x:v>
      </x:c>
      <x:c r="AO516" s="28" t="str">
        <x:v>R01-R20; ilgili satırdaki bölgesel fiyat ve maliyet varsayımları</x:v>
      </x:c>
      <x:c r="AP516" s="28" t="str">
        <x:v>Girdi miktarları, alım fiyatı değişimi, fason bedeli ve parti sonucu simüle edilmiştir; işletme kaydı değildir.</x:v>
      </x:c>
    </x:row>
    <x:row r="517" ht="22" customHeight="1">
      <x:c r="A517" t="str">
        <x:v>SUC-0516</x:v>
      </x:c>
      <x:c r="B517" s="36" t="n">
        <x:v>46305</x:v>
      </x:c>
      <x:c r="C517" t="str">
        <x:v>İç Anadolu</x:v>
      </x:c>
      <x:c r="D517" t="str">
        <x:v>ERZURUM_CI</x:v>
      </x:c>
      <x:c r="E517" t="str">
        <x:v>Kurum içi</x:v>
      </x:c>
      <x:c r="F517" s="42" t="str">
        <x:v>SENTETİK/SİMÜLE — gerçek parti kaydı değildir</x:v>
      </x:c>
      <x:c r="G517" s="38" t="n">
        <x:v>258.127</x:v>
      </x:c>
      <x:c r="H517" s="38" t="n">
        <x:v>48.277</x:v>
      </x:c>
      <x:c r="I517" s="38" t="n">
        <x:v>14.901</x:v>
      </x:c>
      <x:c r="J517" s="38" t="n">
        <x:v>5.578</x:v>
      </x:c>
      <x:c r="K517" s="38" t="n">
        <x:v>0.704</x:v>
      </x:c>
      <x:c r="L517" s="38" t="n">
        <x:f>SUM(G517:K517)</x:f>
        <x:v>327.587</x:v>
      </x:c>
      <x:c r="M517" s="38" t="n">
        <x:v>397.516</x:v>
      </x:c>
      <x:c r="N517" s="38" t="n">
        <x:v>588.94</x:v>
      </x:c>
      <x:c r="O517" s="38" t="n">
        <x:v>458.98</x:v>
      </x:c>
      <x:c r="P517" s="38" t="n">
        <x:v>550</x:v>
      </x:c>
      <x:c r="Q517" s="38" t="n">
        <x:v>19.88</x:v>
      </x:c>
      <x:c r="R517" s="38" t="n">
        <x:v>43.7475</x:v>
      </x:c>
      <x:c r="S517" s="38" t="n">
        <x:v>68.15</x:v>
      </x:c>
      <x:c r="T517" s="40" t="n">
        <x:v>17.23</x:v>
      </x:c>
      <x:c r="U517" s="40" t="n">
        <x:v>0.86</x:v>
      </x:c>
      <x:c r="V517" s="38" t="n">
        <x:f>L517*(1-T517/100)*(1-U517/100)</x:f>
        <x:v>268.81192356485997</x:v>
      </x:c>
      <x:c r="W517" s="38" t="n">
        <x:f>G517*N517</x:f>
        <x:v>152021.31538000001</x:v>
      </x:c>
      <x:c r="X517" s="38" t="n">
        <x:f>H517*O517</x:f>
        <x:v>22158.177460000003</x:v>
      </x:c>
      <x:c r="Y517" s="38" t="n">
        <x:f>I517*P517</x:f>
        <x:v>8195.55</x:v>
      </x:c>
      <x:c r="Z517" s="38" t="n">
        <x:f>J517*Q517+K517*P517</x:f>
        <x:v>498.09064</x:v>
      </x:c>
      <x:c r="AA517" s="38" t="n">
        <x:f>M517*R517</x:f>
        <x:v>17390.33121</x:v>
      </x:c>
      <x:c r="AB517" s="38" t="n">
        <x:f>SUM(W517:AA517)</x:f>
        <x:v>200263.46469000002</x:v>
      </x:c>
      <x:c r="AC517" s="38" t="n">
        <x:v>20.24</x:v>
      </x:c>
      <x:c r="AD517" s="38" t="n">
        <x:v>174.33</x:v>
      </x:c>
      <x:c r="AE517" s="38" t="n">
        <x:v>96.52</x:v>
      </x:c>
      <x:c r="AF517" s="38" t="n">
        <x:v>4.8148</x:v>
      </x:c>
      <x:c r="AG517" s="38" t="n">
        <x:v>5.87</x:v>
      </x:c>
      <x:c r="AH517" s="38" t="n">
        <x:f>IF(E517="Fason",L517*S517,0)</x:f>
        <x:v>0</x:v>
      </x:c>
      <x:c r="AI517" s="38" t="n">
        <x:f>IF(E517="Kurum içi",AC517*AD517+AE517*AF517+AB517*12%,0)</x:f>
        <x:v>28024.7794588</x:v>
      </x:c>
      <x:c r="AJ517" s="38" t="n">
        <x:f>V517*AG517</x:f>
        <x:v>1577.925991325728</x:v>
      </x:c>
      <x:c r="AK517" s="38" t="n">
        <x:f>AB517*2%</x:f>
        <x:v>4005.2692938000005</x:v>
      </x:c>
      <x:c r="AL517" s="38" t="n">
        <x:f>AB517+AH517+AI517+AJ517+AK517</x:f>
        <x:v>233871.43943392576</x:v>
      </x:c>
      <x:c r="AM517" s="38" t="n">
        <x:f>AL517/V517</x:f>
        <x:v>870.0188456391012</x:v>
      </x:c>
      <x:c r="AN517" s="40" t="n">
        <x:f>(W517+X517)/AL517*100</x:f>
        <x:v>74.47659845152228</x:v>
      </x:c>
      <x:c r="AO517" s="28" t="str">
        <x:v>R01-R20; ilgili satırdaki bölgesel fiyat ve maliyet varsayımları</x:v>
      </x:c>
      <x:c r="AP517" s="28" t="str">
        <x:v>Girdi miktarları, alım fiyatı değişimi, fason bedeli ve parti sonucu simüle edilmiştir; işletme kaydı değildir.</x:v>
      </x:c>
    </x:row>
    <x:row r="518" ht="22" customHeight="1">
      <x:c r="A518" t="str">
        <x:v>SUC-0517</x:v>
      </x:c>
      <x:c r="B518" s="36" t="n">
        <x:v>46284</x:v>
      </x:c>
      <x:c r="C518" t="str">
        <x:v>Akdeniz</x:v>
      </x:c>
      <x:c r="D518" t="str">
        <x:v>ERZURUM_CI</x:v>
      </x:c>
      <x:c r="E518" t="str">
        <x:v>Fason</x:v>
      </x:c>
      <x:c r="F518" s="42" t="str">
        <x:v>SENTETİK/SİMÜLE — gerçek parti kaydı değildir</x:v>
      </x:c>
      <x:c r="G518" s="38" t="n">
        <x:v>234.343</x:v>
      </x:c>
      <x:c r="H518" s="38" t="n">
        <x:v>41.678</x:v>
      </x:c>
      <x:c r="I518" s="38" t="n">
        <x:v>13.685</x:v>
      </x:c>
      <x:c r="J518" s="38" t="n">
        <x:v>4.812</x:v>
      </x:c>
      <x:c r="K518" s="38" t="n">
        <x:v>0.693</x:v>
      </x:c>
      <x:c r="L518" s="38" t="n">
        <x:f>SUM(G518:K518)</x:f>
        <x:v>295.21099999999996</x:v>
      </x:c>
      <x:c r="M518" s="38" t="n">
        <x:v>369.874</x:v>
      </x:c>
      <x:c r="N518" s="38" t="n">
        <x:v>579.77</x:v>
      </x:c>
      <x:c r="O518" s="38" t="n">
        <x:v>480.27</x:v>
      </x:c>
      <x:c r="P518" s="38" t="n">
        <x:v>550</x:v>
      </x:c>
      <x:c r="Q518" s="38" t="n">
        <x:v>19.88</x:v>
      </x:c>
      <x:c r="R518" s="38" t="n">
        <x:v>43.7475</x:v>
      </x:c>
      <x:c r="S518" s="38" t="n">
        <x:v>121.24</x:v>
      </x:c>
      <x:c r="T518" s="40" t="n">
        <x:v>25.85</x:v>
      </x:c>
      <x:c r="U518" s="40" t="n">
        <x:v>0.66</x:v>
      </x:c>
      <x:c r="V518" s="38" t="n">
        <x:f>L518*(1-T518/100)*(1-U518/100)</x:f>
        <x:v>217.45422338709994</x:v>
      </x:c>
      <x:c r="W518" s="38" t="n">
        <x:f>G518*N518</x:f>
        <x:v>135865.04111</x:v>
      </x:c>
      <x:c r="X518" s="38" t="n">
        <x:f>H518*O518</x:f>
        <x:v>20016.693059999998</x:v>
      </x:c>
      <x:c r="Y518" s="38" t="n">
        <x:f>I518*P518</x:f>
        <x:v>7526.75</x:v>
      </x:c>
      <x:c r="Z518" s="38" t="n">
        <x:f>J518*Q518+K518*P518</x:f>
        <x:v>476.81255999999996</x:v>
      </x:c>
      <x:c r="AA518" s="38" t="n">
        <x:f>M518*R518</x:f>
        <x:v>16181.062815000001</x:v>
      </x:c>
      <x:c r="AB518" s="38" t="n">
        <x:f>SUM(W518:AA518)</x:f>
        <x:v>180066.35954499998</x:v>
      </x:c>
      <x:c r="AC518" s="38" t="n">
        <x:v>17.51</x:v>
      </x:c>
      <x:c r="AD518" s="38" t="n">
        <x:v>174.33</x:v>
      </x:c>
      <x:c r="AE518" s="38" t="n">
        <x:v>116.98</x:v>
      </x:c>
      <x:c r="AF518" s="38" t="n">
        <x:v>4.8148</x:v>
      </x:c>
      <x:c r="AG518" s="38" t="n">
        <x:v>5.14</x:v>
      </x:c>
      <x:c r="AH518" s="38" t="n">
        <x:f>IF(E518="Fason",L518*S518,0)</x:f>
        <x:v>35791.38163999999</x:v>
      </x:c>
      <x:c r="AI518" s="38" t="n">
        <x:f>IF(E518="Kurum içi",AC518*AD518+AE518*AF518+AB518*12%,0)</x:f>
        <x:v>0</x:v>
      </x:c>
      <x:c r="AJ518" s="38" t="n">
        <x:f>V518*AG518</x:f>
        <x:v>1117.7147082096938</x:v>
      </x:c>
      <x:c r="AK518" s="38" t="n">
        <x:f>AB518*2%</x:f>
        <x:v>3601.3271908999996</x:v>
      </x:c>
      <x:c r="AL518" s="38" t="n">
        <x:f>AB518+AH518+AI518+AJ518+AK518</x:f>
        <x:v>220576.7830841097</x:v>
      </x:c>
      <x:c r="AM518" s="38" t="n">
        <x:f>AL518/V518</x:f>
        <x:v>1014.3596185365926</x:v>
      </x:c>
      <x:c r="AN518" s="40" t="n">
        <x:f>(W518+X518)/AL518*100</x:f>
        <x:v>70.67005511208295</x:v>
      </x:c>
      <x:c r="AO518" s="28" t="str">
        <x:v>R01-R20; ilgili satırdaki bölgesel fiyat ve maliyet varsayımları</x:v>
      </x:c>
      <x:c r="AP518" s="28" t="str">
        <x:v>Girdi miktarları, alım fiyatı değişimi, fason bedeli ve parti sonucu simüle edilmiştir; işletme kaydı değildir.</x:v>
      </x:c>
    </x:row>
    <x:row r="519" ht="22" customHeight="1">
      <x:c r="A519" t="str">
        <x:v>SUC-0518</x:v>
      </x:c>
      <x:c r="B519" s="36" t="n">
        <x:v>46313</x:v>
      </x:c>
      <x:c r="C519" t="str">
        <x:v>Doğu Anadolu</x:v>
      </x:c>
      <x:c r="D519" t="str">
        <x:v>MEB_STANDART</x:v>
      </x:c>
      <x:c r="E519" t="str">
        <x:v>Kurum içi</x:v>
      </x:c>
      <x:c r="F519" s="42" t="str">
        <x:v>SENTETİK/SİMÜLE — gerçek parti kaydı değildir</x:v>
      </x:c>
      <x:c r="G519" s="38" t="n">
        <x:v>302.979</x:v>
      </x:c>
      <x:c r="H519" s="38" t="n">
        <x:v>94.105</x:v>
      </x:c>
      <x:c r="I519" s="38" t="n">
        <x:v>20.487</x:v>
      </x:c>
      <x:c r="J519" s="38" t="n">
        <x:v>10.585</x:v>
      </x:c>
      <x:c r="K519" s="38" t="n">
        <x:v>4.329</x:v>
      </x:c>
      <x:c r="L519" s="38" t="n">
        <x:f>SUM(G519:K519)</x:f>
        <x:v>432.485</x:v>
      </x:c>
      <x:c r="M519" s="38" t="n">
        <x:v>523.483</x:v>
      </x:c>
      <x:c r="N519" s="38" t="n">
        <x:v>579.63</x:v>
      </x:c>
      <x:c r="O519" s="38" t="n">
        <x:v>413.77</x:v>
      </x:c>
      <x:c r="P519" s="38" t="n">
        <x:v>550</x:v>
      </x:c>
      <x:c r="Q519" s="38" t="n">
        <x:v>19.88</x:v>
      </x:c>
      <x:c r="R519" s="38" t="n">
        <x:v>43.7475</x:v>
      </x:c>
      <x:c r="S519" s="38" t="n">
        <x:v>82.96</x:v>
      </x:c>
      <x:c r="T519" s="40" t="n">
        <x:v>15.71</x:v>
      </x:c>
      <x:c r="U519" s="40" t="n">
        <x:v>0.93</x:v>
      </x:c>
      <x:c r="V519" s="38" t="n">
        <x:f>L519*(1-T519/100)*(1-U519/100)</x:f>
        <x:v>361.15136955955</x:v>
      </x:c>
      <x:c r="W519" s="38" t="n">
        <x:f>G519*N519</x:f>
        <x:v>175615.71777</x:v>
      </x:c>
      <x:c r="X519" s="38" t="n">
        <x:f>H519*O519</x:f>
        <x:v>38937.82585</x:v>
      </x:c>
      <x:c r="Y519" s="38" t="n">
        <x:f>I519*P519</x:f>
        <x:v>11267.849999999999</x:v>
      </x:c>
      <x:c r="Z519" s="38" t="n">
        <x:f>J519*Q519+K519*P519</x:f>
        <x:v>2591.3797999999997</x:v>
      </x:c>
      <x:c r="AA519" s="38" t="n">
        <x:f>M519*R519</x:f>
        <x:v>22901.0725425</x:v>
      </x:c>
      <x:c r="AB519" s="38" t="n">
        <x:f>SUM(W519:AA519)</x:f>
        <x:v>251313.84596249997</x:v>
      </x:c>
      <x:c r="AC519" s="38" t="n">
        <x:v>21.03</x:v>
      </x:c>
      <x:c r="AD519" s="38" t="n">
        <x:v>174.33</x:v>
      </x:c>
      <x:c r="AE519" s="38" t="n">
        <x:v>129.79</x:v>
      </x:c>
      <x:c r="AF519" s="38" t="n">
        <x:v>4.8148</x:v>
      </x:c>
      <x:c r="AG519" s="38" t="n">
        <x:v>5.58</x:v>
      </x:c>
      <x:c r="AH519" s="38" t="n">
        <x:f>IF(E519="Fason",L519*S519,0)</x:f>
        <x:v>0</x:v>
      </x:c>
      <x:c r="AI519" s="38" t="n">
        <x:f>IF(E519="Kurum içi",AC519*AD519+AE519*AF519+AB519*12%,0)</x:f>
        <x:v>34448.734307499995</x:v>
      </x:c>
      <x:c r="AJ519" s="38" t="n">
        <x:f>V519*AG519</x:f>
        <x:v>2015.224642142289</x:v>
      </x:c>
      <x:c r="AK519" s="38" t="n">
        <x:f>AB519*2%</x:f>
        <x:v>5026.276919249999</x:v>
      </x:c>
      <x:c r="AL519" s="38" t="n">
        <x:f>AB519+AH519+AI519+AJ519+AK519</x:f>
        <x:v>292804.0818313923</x:v>
      </x:c>
      <x:c r="AM519" s="38" t="n">
        <x:f>AL519/V519</x:f>
        <x:v>810.7516861655208</x:v>
      </x:c>
      <x:c r="AN519" s="40" t="n">
        <x:f>(W519+X519)/AL519*100</x:f>
        <x:v>73.27546196693666</x:v>
      </x:c>
      <x:c r="AO519" s="28" t="str">
        <x:v>R01-R20; ilgili satırdaki bölgesel fiyat ve maliyet varsayımları</x:v>
      </x:c>
      <x:c r="AP519" s="28" t="str">
        <x:v>Girdi miktarları, alım fiyatı değişimi, fason bedeli ve parti sonucu simüle edilmiştir; işletme kaydı değildir.</x:v>
      </x:c>
    </x:row>
    <x:row r="520" ht="22" customHeight="1">
      <x:c r="A520" t="str">
        <x:v>SUC-0519</x:v>
      </x:c>
      <x:c r="B520" s="36" t="n">
        <x:v>46317</x:v>
      </x:c>
      <x:c r="C520" t="str">
        <x:v>Doğu Anadolu</x:v>
      </x:c>
      <x:c r="D520" t="str">
        <x:v>MEB_STANDART</x:v>
      </x:c>
      <x:c r="E520" t="str">
        <x:v>Kurum içi</x:v>
      </x:c>
      <x:c r="F520" s="42" t="str">
        <x:v>SENTETİK/SİMÜLE — gerçek parti kaydı değildir</x:v>
      </x:c>
      <x:c r="G520" s="38" t="n">
        <x:v>64.914</x:v>
      </x:c>
      <x:c r="H520" s="38" t="n">
        <x:v>21.281</x:v>
      </x:c>
      <x:c r="I520" s="38" t="n">
        <x:v>4.386</x:v>
      </x:c>
      <x:c r="J520" s="38" t="n">
        <x:v>2.392</x:v>
      </x:c>
      <x:c r="K520" s="38" t="n">
        <x:v>0.975</x:v>
      </x:c>
      <x:c r="L520" s="38" t="n">
        <x:f>SUM(G520:K520)</x:f>
        <x:v>93.94799999999998</x:v>
      </x:c>
      <x:c r="M520" s="38" t="n">
        <x:v>122.039</x:v>
      </x:c>
      <x:c r="N520" s="38" t="n">
        <x:v>593.99</x:v>
      </x:c>
      <x:c r="O520" s="38" t="n">
        <x:v>459.42</x:v>
      </x:c>
      <x:c r="P520" s="38" t="n">
        <x:v>669.9</x:v>
      </x:c>
      <x:c r="Q520" s="38" t="n">
        <x:v>19.88</x:v>
      </x:c>
      <x:c r="R520" s="38" t="n">
        <x:v>43.7475</x:v>
      </x:c>
      <x:c r="S520" s="38" t="n">
        <x:v>73.71</x:v>
      </x:c>
      <x:c r="T520" s="40" t="n">
        <x:v>16.38</x:v>
      </x:c>
      <x:c r="U520" s="40" t="n">
        <x:v>0.57</x:v>
      </x:c>
      <x:c r="V520" s="38" t="n">
        <x:f>L520*(1-T520/100)*(1-U520/100)</x:f>
        <x:v>78.11152948967998</x:v>
      </x:c>
      <x:c r="W520" s="38" t="n">
        <x:f>G520*N520</x:f>
        <x:v>38558.26686</x:v>
      </x:c>
      <x:c r="X520" s="38" t="n">
        <x:f>H520*O520</x:f>
        <x:v>9776.917019999999</x:v>
      </x:c>
      <x:c r="Y520" s="38" t="n">
        <x:f>I520*P520</x:f>
        <x:v>2938.1814</x:v>
      </x:c>
      <x:c r="Z520" s="38" t="n">
        <x:f>J520*Q520+K520*P520</x:f>
        <x:v>700.7054599999999</x:v>
      </x:c>
      <x:c r="AA520" s="38" t="n">
        <x:f>M520*R520</x:f>
        <x:v>5338.9011525000005</x:v>
      </x:c>
      <x:c r="AB520" s="38" t="n">
        <x:f>SUM(W520:AA520)</x:f>
        <x:v>57312.971892500005</x:v>
      </x:c>
      <x:c r="AC520" s="38" t="n">
        <x:v>5.88</x:v>
      </x:c>
      <x:c r="AD520" s="38" t="n">
        <x:v>174.33</x:v>
      </x:c>
      <x:c r="AE520" s="38" t="n">
        <x:v>27.49</x:v>
      </x:c>
      <x:c r="AF520" s="38" t="n">
        <x:v>4.8148</x:v>
      </x:c>
      <x:c r="AG520" s="38" t="n">
        <x:v>5.85</x:v>
      </x:c>
      <x:c r="AH520" s="38" t="n">
        <x:f>IF(E520="Fason",L520*S520,0)</x:f>
        <x:v>0</x:v>
      </x:c>
      <x:c r="AI520" s="38" t="n">
        <x:f>IF(E520="Kurum içi",AC520*AD520+AE520*AF520+AB520*12%,0)</x:f>
        <x:v>8034.9758791</x:v>
      </x:c>
      <x:c r="AJ520" s="38" t="n">
        <x:f>V520*AG520</x:f>
        <x:v>456.95244751462786</x:v>
      </x:c>
      <x:c r="AK520" s="38" t="n">
        <x:f>AB520*2%</x:f>
        <x:v>1146.25943785</x:v>
      </x:c>
      <x:c r="AL520" s="38" t="n">
        <x:f>AB520+AH520+AI520+AJ520+AK520</x:f>
        <x:v>66951.15965696464</x:v>
      </x:c>
      <x:c r="AM520" s="38" t="n">
        <x:f>AL520/V520</x:f>
        <x:v>857.1226308634778</x:v>
      </x:c>
      <x:c r="AN520" s="40" t="n">
        <x:f>(W520+X520)/AL520*100</x:f>
        <x:v>72.19469256044754</x:v>
      </x:c>
      <x:c r="AO520" s="28" t="str">
        <x:v>R01-R20; ilgili satırdaki bölgesel fiyat ve maliyet varsayımları</x:v>
      </x:c>
      <x:c r="AP520" s="28" t="str">
        <x:v>Girdi miktarları, alım fiyatı değişimi, fason bedeli ve parti sonucu simüle edilmiştir; işletme kaydı değildir.</x:v>
      </x:c>
    </x:row>
    <x:row r="521" ht="22" customHeight="1">
      <x:c r="A521" t="str">
        <x:v>SUC-0520</x:v>
      </x:c>
      <x:c r="B521" s="36" t="n">
        <x:v>46278</x:v>
      </x:c>
      <x:c r="C521" t="str">
        <x:v>Akdeniz</x:v>
      </x:c>
      <x:c r="D521" t="str">
        <x:v>MEB_STANDART</x:v>
      </x:c>
      <x:c r="E521" t="str">
        <x:v>Fason</x:v>
      </x:c>
      <x:c r="F521" s="42" t="str">
        <x:v>SENTETİK/SİMÜLE — gerçek parti kaydı değildir</x:v>
      </x:c>
      <x:c r="G521" s="38" t="n">
        <x:v>131.161</x:v>
      </x:c>
      <x:c r="H521" s="38" t="n">
        <x:v>41.493</x:v>
      </x:c>
      <x:c r="I521" s="38" t="n">
        <x:v>8.203</x:v>
      </x:c>
      <x:c r="J521" s="38" t="n">
        <x:v>4.689</x:v>
      </x:c>
      <x:c r="K521" s="38" t="n">
        <x:v>1.95</x:v>
      </x:c>
      <x:c r="L521" s="38" t="n">
        <x:f>SUM(G521:K521)</x:f>
        <x:v>187.49599999999998</x:v>
      </x:c>
      <x:c r="M521" s="38" t="n">
        <x:v>243.723</x:v>
      </x:c>
      <x:c r="N521" s="38" t="n">
        <x:v>574.58</x:v>
      </x:c>
      <x:c r="O521" s="38" t="n">
        <x:v>434.46</x:v>
      </x:c>
      <x:c r="P521" s="38" t="n">
        <x:v>669.9</x:v>
      </x:c>
      <x:c r="Q521" s="38" t="n">
        <x:v>19.88</x:v>
      </x:c>
      <x:c r="R521" s="38" t="n">
        <x:v>43.7475</x:v>
      </x:c>
      <x:c r="S521" s="38" t="n">
        <x:v>67.64</x:v>
      </x:c>
      <x:c r="T521" s="40" t="n">
        <x:v>17.01</x:v>
      </x:c>
      <x:c r="U521" s="40" t="n">
        <x:v>1.55</x:v>
      </x:c>
      <x:c r="V521" s="38" t="n">
        <x:f>L521*(1-T521/100)*(1-U521/100)</x:f>
        <x:v>153.1910849788</x:v>
      </x:c>
      <x:c r="W521" s="38" t="n">
        <x:f>G521*N521</x:f>
        <x:v>75362.48738</x:v>
      </x:c>
      <x:c r="X521" s="38" t="n">
        <x:f>H521*O521</x:f>
        <x:v>18027.04878</x:v>
      </x:c>
      <x:c r="Y521" s="38" t="n">
        <x:f>I521*P521</x:f>
        <x:v>5495.189699999999</x:v>
      </x:c>
      <x:c r="Z521" s="38" t="n">
        <x:f>J521*Q521+K521*P521</x:f>
        <x:v>1399.5223199999998</x:v>
      </x:c>
      <x:c r="AA521" s="38" t="n">
        <x:f>M521*R521</x:f>
        <x:v>10662.271942500001</x:v>
      </x:c>
      <x:c r="AB521" s="38" t="n">
        <x:f>SUM(W521:AA521)</x:f>
        <x:v>110946.5201225</x:v>
      </x:c>
      <x:c r="AC521" s="38" t="n">
        <x:v>7.89</x:v>
      </x:c>
      <x:c r="AD521" s="38" t="n">
        <x:v>174.33</x:v>
      </x:c>
      <x:c r="AE521" s="38" t="n">
        <x:v>68.36</x:v>
      </x:c>
      <x:c r="AF521" s="38" t="n">
        <x:v>4.8148</x:v>
      </x:c>
      <x:c r="AG521" s="38" t="n">
        <x:v>5.8</x:v>
      </x:c>
      <x:c r="AH521" s="38" t="n">
        <x:f>IF(E521="Fason",L521*S521,0)</x:f>
        <x:v>12682.22944</x:v>
      </x:c>
      <x:c r="AI521" s="38" t="n">
        <x:f>IF(E521="Kurum içi",AC521*AD521+AE521*AF521+AB521*12%,0)</x:f>
        <x:v>0</x:v>
      </x:c>
      <x:c r="AJ521" s="38" t="n">
        <x:f>V521*AG521</x:f>
        <x:v>888.50829287704</x:v>
      </x:c>
      <x:c r="AK521" s="38" t="n">
        <x:f>AB521*2%</x:f>
        <x:v>2218.93040245</x:v>
      </x:c>
      <x:c r="AL521" s="38" t="n">
        <x:f>AB521+AH521+AI521+AJ521+AK521</x:f>
        <x:v>126736.18825782705</x:v>
      </x:c>
      <x:c r="AM521" s="38" t="n">
        <x:f>AL521/V521</x:f>
        <x:v>827.3078572122259</x:v>
      </x:c>
      <x:c r="AN521" s="40" t="n">
        <x:f>(W521+X521)/AL521*100</x:f>
        <x:v>73.68813710099286</x:v>
      </x:c>
      <x:c r="AO521" s="28" t="str">
        <x:v>R01-R20; ilgili satırdaki bölgesel fiyat ve maliyet varsayımları</x:v>
      </x:c>
      <x:c r="AP521" s="28" t="str">
        <x:v>Girdi miktarları, alım fiyatı değişimi, fason bedeli ve parti sonucu simüle edilmiştir; işletme kaydı değildir.</x:v>
      </x:c>
    </x:row>
    <x:row r="522" ht="22" customHeight="1">
      <x:c r="A522" t="str">
        <x:v>SUC-0521</x:v>
      </x:c>
      <x:c r="B522" s="36" t="n">
        <x:v>46275</x:v>
      </x:c>
      <x:c r="C522" t="str">
        <x:v>Akdeniz</x:v>
      </x:c>
      <x:c r="D522" t="str">
        <x:v>ERZURUM_CI</x:v>
      </x:c>
      <x:c r="E522" t="str">
        <x:v>Kurum içi</x:v>
      </x:c>
      <x:c r="F522" s="42" t="str">
        <x:v>SENTETİK/SİMÜLE — gerçek parti kaydı değildir</x:v>
      </x:c>
      <x:c r="G522" s="38" t="n">
        <x:v>188.958</x:v>
      </x:c>
      <x:c r="H522" s="38" t="n">
        <x:v>34.516</x:v>
      </x:c>
      <x:c r="I522" s="38" t="n">
        <x:v>10.622</x:v>
      </x:c>
      <x:c r="J522" s="38" t="n">
        <x:v>3.331</x:v>
      </x:c>
      <x:c r="K522" s="38" t="n">
        <x:v>0.134</x:v>
      </x:c>
      <x:c r="L522" s="38" t="n">
        <x:f>SUM(G522:K522)</x:f>
        <x:v>237.56099999999998</x:v>
      </x:c>
      <x:c r="M522" s="38" t="n">
        <x:v>277.324</x:v>
      </x:c>
      <x:c r="N522" s="38" t="n">
        <x:v>596.77</x:v>
      </x:c>
      <x:c r="O522" s="38" t="n">
        <x:v>473.69</x:v>
      </x:c>
      <x:c r="P522" s="38" t="n">
        <x:v>400</x:v>
      </x:c>
      <x:c r="Q522" s="38" t="n">
        <x:v>19.88</x:v>
      </x:c>
      <x:c r="R522" s="38" t="n">
        <x:v>43.7475</x:v>
      </x:c>
      <x:c r="S522" s="38" t="n">
        <x:v>70.2</x:v>
      </x:c>
      <x:c r="T522" s="40" t="n">
        <x:v>23.72</x:v>
      </x:c>
      <x:c r="U522" s="40" t="n">
        <x:v>1.17</x:v>
      </x:c>
      <x:c r="V522" s="38" t="n">
        <x:f>L522*(1-T522/100)*(1-U522/100)</x:f>
        <x:v>179.09135588963997</x:v>
      </x:c>
      <x:c r="W522" s="38" t="n">
        <x:f>G522*N522</x:f>
        <x:v>112764.46566</x:v>
      </x:c>
      <x:c r="X522" s="38" t="n">
        <x:f>H522*O522</x:f>
        <x:v>16349.884039999999</x:v>
      </x:c>
      <x:c r="Y522" s="38" t="n">
        <x:f>I522*P522</x:f>
        <x:v>4248.8</x:v>
      </x:c>
      <x:c r="Z522" s="38" t="n">
        <x:f>J522*Q522+K522*P522</x:f>
        <x:v>119.82028</x:v>
      </x:c>
      <x:c r="AA522" s="38" t="n">
        <x:f>M522*R522</x:f>
        <x:v>12132.23169</x:v>
      </x:c>
      <x:c r="AB522" s="38" t="n">
        <x:f>SUM(W522:AA522)</x:f>
        <x:v>145615.20167000004</x:v>
      </x:c>
      <x:c r="AC522" s="38" t="n">
        <x:v>16.54</x:v>
      </x:c>
      <x:c r="AD522" s="38" t="n">
        <x:v>174.33</x:v>
      </x:c>
      <x:c r="AE522" s="38" t="n">
        <x:v>64.04</x:v>
      </x:c>
      <x:c r="AF522" s="38" t="n">
        <x:v>4.8148</x:v>
      </x:c>
      <x:c r="AG522" s="38" t="n">
        <x:v>5.63</x:v>
      </x:c>
      <x:c r="AH522" s="38" t="n">
        <x:f>IF(E522="Fason",L522*S522,0)</x:f>
        <x:v>0</x:v>
      </x:c>
      <x:c r="AI522" s="38" t="n">
        <x:f>IF(E522="Kurum içi",AC522*AD522+AE522*AF522+AB522*12%,0)</x:f>
        <x:v>20665.582192400005</x:v>
      </x:c>
      <x:c r="AJ522" s="38" t="n">
        <x:f>V522*AG522</x:f>
        <x:v>1008.2843336586731</x:v>
      </x:c>
      <x:c r="AK522" s="38" t="n">
        <x:f>AB522*2%</x:f>
        <x:v>2912.3040334000007</x:v>
      </x:c>
      <x:c r="AL522" s="38" t="n">
        <x:f>AB522+AH522+AI522+AJ522+AK522</x:f>
        <x:v>170201.3722294587</x:v>
      </x:c>
      <x:c r="AM522" s="38" t="n">
        <x:f>AL522/V522</x:f>
        <x:v>950.3606211700163</x:v>
      </x:c>
      <x:c r="AN522" s="40" t="n">
        <x:f>(W522+X522)/AL522*100</x:f>
        <x:v>75.85975836078053</x:v>
      </x:c>
      <x:c r="AO522" s="28" t="str">
        <x:v>R01-R20; ilgili satırdaki bölgesel fiyat ve maliyet varsayımları</x:v>
      </x:c>
      <x:c r="AP522" s="28" t="str">
        <x:v>Girdi miktarları, alım fiyatı değişimi, fason bedeli ve parti sonucu simüle edilmiştir; işletme kaydı değildir.</x:v>
      </x:c>
    </x:row>
    <x:row r="523" ht="22" customHeight="1">
      <x:c r="A523" t="str">
        <x:v>SUC-0522</x:v>
      </x:c>
      <x:c r="B523" s="36" t="n">
        <x:v>46286</x:v>
      </x:c>
      <x:c r="C523" t="str">
        <x:v>İç Anadolu</x:v>
      </x:c>
      <x:c r="D523" t="str">
        <x:v>MEB_STANDART</x:v>
      </x:c>
      <x:c r="E523" t="str">
        <x:v>Kurum içi</x:v>
      </x:c>
      <x:c r="F523" s="42" t="str">
        <x:v>SENTETİK/SİMÜLE — gerçek parti kaydı değildir</x:v>
      </x:c>
      <x:c r="G523" s="38" t="n">
        <x:v>262.781</x:v>
      </x:c>
      <x:c r="H523" s="38" t="n">
        <x:v>78.657</x:v>
      </x:c>
      <x:c r="I523" s="38" t="n">
        <x:v>16.991</x:v>
      </x:c>
      <x:c r="J523" s="38" t="n">
        <x:v>9.626</x:v>
      </x:c>
      <x:c r="K523" s="38" t="n">
        <x:v>4.218</x:v>
      </x:c>
      <x:c r="L523" s="38" t="n">
        <x:f>SUM(G523:K523)</x:f>
        <x:v>372.27299999999997</x:v>
      </x:c>
      <x:c r="M523" s="38" t="n">
        <x:v>505.83</x:v>
      </x:c>
      <x:c r="N523" s="38" t="n">
        <x:v>596.31</x:v>
      </x:c>
      <x:c r="O523" s="38" t="n">
        <x:v>411.82</x:v>
      </x:c>
      <x:c r="P523" s="38" t="n">
        <x:v>669.9</x:v>
      </x:c>
      <x:c r="Q523" s="38" t="n">
        <x:v>19.88</x:v>
      </x:c>
      <x:c r="R523" s="38" t="n">
        <x:v>43.7475</x:v>
      </x:c>
      <x:c r="S523" s="38" t="n">
        <x:v>71.67</x:v>
      </x:c>
      <x:c r="T523" s="40" t="n">
        <x:v>25.24</x:v>
      </x:c>
      <x:c r="U523" s="40" t="n">
        <x:v>1.23</x:v>
      </x:c>
      <x:c r="V523" s="38" t="n">
        <x:f>L523*(1-T523/100)*(1-U523/100)</x:f>
        <x:v>274.88806587396</x:v>
      </x:c>
      <x:c r="W523" s="38" t="n">
        <x:f>G523*N523</x:f>
        <x:v>156698.93811</x:v>
      </x:c>
      <x:c r="X523" s="38" t="n">
        <x:f>H523*O523</x:f>
        <x:v>32392.525739999997</x:v>
      </x:c>
      <x:c r="Y523" s="38" t="n">
        <x:f>I523*P523</x:f>
        <x:v>11382.2709</x:v>
      </x:c>
      <x:c r="Z523" s="38" t="n">
        <x:f>J523*Q523+K523*P523</x:f>
        <x:v>3017.00308</x:v>
      </x:c>
      <x:c r="AA523" s="38" t="n">
        <x:f>M523*R523</x:f>
        <x:v>22128.797925</x:v>
      </x:c>
      <x:c r="AB523" s="38" t="n">
        <x:f>SUM(W523:AA523)</x:f>
        <x:v>225619.535755</x:v>
      </x:c>
      <x:c r="AC523" s="38" t="n">
        <x:v>21.4</x:v>
      </x:c>
      <x:c r="AD523" s="38" t="n">
        <x:v>174.33</x:v>
      </x:c>
      <x:c r="AE523" s="38" t="n">
        <x:v>139.01</x:v>
      </x:c>
      <x:c r="AF523" s="38" t="n">
        <x:v>4.8148</x:v>
      </x:c>
      <x:c r="AG523" s="38" t="n">
        <x:v>5.65</x:v>
      </x:c>
      <x:c r="AH523" s="38" t="n">
        <x:f>IF(E523="Fason",L523*S523,0)</x:f>
        <x:v>0</x:v>
      </x:c>
      <x:c r="AI523" s="38" t="n">
        <x:f>IF(E523="Kurum içi",AC523*AD523+AE523*AF523+AB523*12%,0)</x:f>
        <x:v>31474.311638599997</x:v>
      </x:c>
      <x:c r="AJ523" s="38" t="n">
        <x:f>V523*AG523</x:f>
        <x:v>1553.117572187874</x:v>
      </x:c>
      <x:c r="AK523" s="38" t="n">
        <x:f>AB523*2%</x:f>
        <x:v>4512.3907151</x:v>
      </x:c>
      <x:c r="AL523" s="38" t="n">
        <x:f>AB523+AH523+AI523+AJ523+AK523</x:f>
        <x:v>263159.3556808879</x:v>
      </x:c>
      <x:c r="AM523" s="38" t="n">
        <x:f>AL523/V523</x:f>
        <x:v>957.3327777770829</x:v>
      </x:c>
      <x:c r="AN523" s="40" t="n">
        <x:f>(W523+X523)/AL523*100</x:f>
        <x:v>71.85435735725693</x:v>
      </x:c>
      <x:c r="AO523" s="28" t="str">
        <x:v>R01-R20; ilgili satırdaki bölgesel fiyat ve maliyet varsayımları</x:v>
      </x:c>
      <x:c r="AP523" s="28" t="str">
        <x:v>Girdi miktarları, alım fiyatı değişimi, fason bedeli ve parti sonucu simüle edilmiştir; işletme kaydı değildir.</x:v>
      </x:c>
    </x:row>
    <x:row r="524" ht="22" customHeight="1">
      <x:c r="A524" t="str">
        <x:v>SUC-0523</x:v>
      </x:c>
      <x:c r="B524" s="36" t="n">
        <x:v>46314</x:v>
      </x:c>
      <x:c r="C524" t="str">
        <x:v>Karadeniz</x:v>
      </x:c>
      <x:c r="D524" t="str">
        <x:v>ERZURUM_CI</x:v>
      </x:c>
      <x:c r="E524" t="str">
        <x:v>Kurum içi</x:v>
      </x:c>
      <x:c r="F524" s="42" t="str">
        <x:v>SENTETİK/SİMÜLE — gerçek parti kaydı değildir</x:v>
      </x:c>
      <x:c r="G524" s="38" t="n">
        <x:v>285.717</x:v>
      </x:c>
      <x:c r="H524" s="38" t="n">
        <x:v>47.481</x:v>
      </x:c>
      <x:c r="I524" s="38" t="n">
        <x:v>17.421</x:v>
      </x:c>
      <x:c r="J524" s="38" t="n">
        <x:v>5.257</x:v>
      </x:c>
      <x:c r="K524" s="38" t="n">
        <x:v>0.617</x:v>
      </x:c>
      <x:c r="L524" s="38" t="n">
        <x:f>SUM(G524:K524)</x:f>
        <x:v>356.493</x:v>
      </x:c>
      <x:c r="M524" s="38" t="n">
        <x:v>411.384</x:v>
      </x:c>
      <x:c r="N524" s="38" t="n">
        <x:v>607.06</x:v>
      </x:c>
      <x:c r="O524" s="38" t="n">
        <x:v>411.87</x:v>
      </x:c>
      <x:c r="P524" s="38" t="n">
        <x:v>400</x:v>
      </x:c>
      <x:c r="Q524" s="38" t="n">
        <x:v>19.88</x:v>
      </x:c>
      <x:c r="R524" s="38" t="n">
        <x:v>43.7475</x:v>
      </x:c>
      <x:c r="S524" s="38" t="n">
        <x:v>113.66</x:v>
      </x:c>
      <x:c r="T524" s="40" t="n">
        <x:v>28.67</x:v>
      </x:c>
      <x:c r="U524" s="40" t="n">
        <x:v>1.66</x:v>
      </x:c>
      <x:c r="V524" s="38" t="n">
        <x:f>L524*(1-T524/100)*(1-U524/100)</x:f>
        <x:v>250.06530171546004</x:v>
      </x:c>
      <x:c r="W524" s="38" t="n">
        <x:f>G524*N524</x:f>
        <x:v>173447.36201999997</x:v>
      </x:c>
      <x:c r="X524" s="38" t="n">
        <x:f>H524*O524</x:f>
        <x:v>19555.999470000002</x:v>
      </x:c>
      <x:c r="Y524" s="38" t="n">
        <x:f>I524*P524</x:f>
        <x:v>6968.4</x:v>
      </x:c>
      <x:c r="Z524" s="38" t="n">
        <x:f>J524*Q524+K524*P524</x:f>
        <x:v>351.30916</x:v>
      </x:c>
      <x:c r="AA524" s="38" t="n">
        <x:f>M524*R524</x:f>
        <x:v>17997.02154</x:v>
      </x:c>
      <x:c r="AB524" s="38" t="n">
        <x:f>SUM(W524:AA524)</x:f>
        <x:v>218320.09219</x:v>
      </x:c>
      <x:c r="AC524" s="38" t="n">
        <x:v>22.92</x:v>
      </x:c>
      <x:c r="AD524" s="38" t="n">
        <x:v>174.33</x:v>
      </x:c>
      <x:c r="AE524" s="38" t="n">
        <x:v>110.78</x:v>
      </x:c>
      <x:c r="AF524" s="38" t="n">
        <x:v>4.8148</x:v>
      </x:c>
      <x:c r="AG524" s="38" t="n">
        <x:v>5.76</x:v>
      </x:c>
      <x:c r="AH524" s="38" t="n">
        <x:f>IF(E524="Fason",L524*S524,0)</x:f>
        <x:v>0</x:v>
      </x:c>
      <x:c r="AI524" s="38" t="n">
        <x:f>IF(E524="Kurum içi",AC524*AD524+AE524*AF524+AB524*12%,0)</x:f>
        <x:v>30727.438206799998</x:v>
      </x:c>
      <x:c r="AJ524" s="38" t="n">
        <x:f>V524*AG524</x:f>
        <x:v>1440.3761378810498</x:v>
      </x:c>
      <x:c r="AK524" s="38" t="n">
        <x:f>AB524*2%</x:f>
        <x:v>4366.4018438</x:v>
      </x:c>
      <x:c r="AL524" s="38" t="n">
        <x:f>AB524+AH524+AI524+AJ524+AK524</x:f>
        <x:v>254854.30837848104</x:v>
      </x:c>
      <x:c r="AM524" s="38" t="n">
        <x:f>AL524/V524</x:f>
        <x:v>1019.1510242731326</x:v>
      </x:c>
      <x:c r="AN524" s="40" t="n">
        <x:f>(W524+X524)/AL524*100</x:f>
        <x:v>75.7308607878714</x:v>
      </x:c>
      <x:c r="AO524" s="28" t="str">
        <x:v>R01-R20; ilgili satırdaki bölgesel fiyat ve maliyet varsayımları</x:v>
      </x:c>
      <x:c r="AP524" s="28" t="str">
        <x:v>Girdi miktarları, alım fiyatı değişimi, fason bedeli ve parti sonucu simüle edilmiştir; işletme kaydı değildir.</x:v>
      </x:c>
    </x:row>
    <x:row r="525" ht="22" customHeight="1">
      <x:c r="A525" t="str">
        <x:v>SUC-0524</x:v>
      </x:c>
      <x:c r="B525" s="36" t="n">
        <x:v>46301</x:v>
      </x:c>
      <x:c r="C525" t="str">
        <x:v>Karadeniz</x:v>
      </x:c>
      <x:c r="D525" t="str">
        <x:v>MEB_STANDART</x:v>
      </x:c>
      <x:c r="E525" t="str">
        <x:v>Fason</x:v>
      </x:c>
      <x:c r="F525" s="42" t="str">
        <x:v>SENTETİK/SİMÜLE — gerçek parti kaydı değildir</x:v>
      </x:c>
      <x:c r="G525" s="38" t="n">
        <x:v>310.932</x:v>
      </x:c>
      <x:c r="H525" s="38" t="n">
        <x:v>101.637</x:v>
      </x:c>
      <x:c r="I525" s="38" t="n">
        <x:v>21.065</x:v>
      </x:c>
      <x:c r="J525" s="38" t="n">
        <x:v>10.691</x:v>
      </x:c>
      <x:c r="K525" s="38" t="n">
        <x:v>4.153</x:v>
      </x:c>
      <x:c r="L525" s="38" t="n">
        <x:f>SUM(G525:K525)</x:f>
        <x:v>448.478</x:v>
      </x:c>
      <x:c r="M525" s="38" t="n">
        <x:v>566.827</x:v>
      </x:c>
      <x:c r="N525" s="38" t="n">
        <x:v>615.57</x:v>
      </x:c>
      <x:c r="O525" s="38" t="n">
        <x:v>409.29</x:v>
      </x:c>
      <x:c r="P525" s="38" t="n">
        <x:v>550</x:v>
      </x:c>
      <x:c r="Q525" s="38" t="n">
        <x:v>19.88</x:v>
      </x:c>
      <x:c r="R525" s="38" t="n">
        <x:v>43.7475</x:v>
      </x:c>
      <x:c r="S525" s="38" t="n">
        <x:v>88.54</x:v>
      </x:c>
      <x:c r="T525" s="40" t="n">
        <x:v>20.72</x:v>
      </x:c>
      <x:c r="U525" s="40" t="n">
        <x:v>1.44</x:v>
      </x:c>
      <x:c r="V525" s="38" t="n">
        <x:f>L525*(1-T525/100)*(1-U525/100)</x:f>
        <x:v>350.43339003904</x:v>
      </x:c>
      <x:c r="W525" s="38" t="n">
        <x:f>G525*N525</x:f>
        <x:v>191400.41124000002</x:v>
      </x:c>
      <x:c r="X525" s="38" t="n">
        <x:f>H525*O525</x:f>
        <x:v>41599.007730000005</x:v>
      </x:c>
      <x:c r="Y525" s="38" t="n">
        <x:f>I525*P525</x:f>
        <x:v>11585.75</x:v>
      </x:c>
      <x:c r="Z525" s="38" t="n">
        <x:f>J525*Q525+K525*P525</x:f>
        <x:v>2496.6870799999997</x:v>
      </x:c>
      <x:c r="AA525" s="38" t="n">
        <x:f>M525*R525</x:f>
        <x:v>24797.264182500003</x:v>
      </x:c>
      <x:c r="AB525" s="38" t="n">
        <x:f>SUM(W525:AA525)</x:f>
        <x:v>271879.1202325</x:v>
      </x:c>
      <x:c r="AC525" s="38" t="n">
        <x:v>24.95</x:v>
      </x:c>
      <x:c r="AD525" s="38" t="n">
        <x:v>174.33</x:v>
      </x:c>
      <x:c r="AE525" s="38" t="n">
        <x:v>205.26</x:v>
      </x:c>
      <x:c r="AF525" s="38" t="n">
        <x:v>4.8148</x:v>
      </x:c>
      <x:c r="AG525" s="38" t="n">
        <x:v>5.81</x:v>
      </x:c>
      <x:c r="AH525" s="38" t="n">
        <x:f>IF(E525="Fason",L525*S525,0)</x:f>
        <x:v>39708.24212</x:v>
      </x:c>
      <x:c r="AI525" s="38" t="n">
        <x:f>IF(E525="Kurum içi",AC525*AD525+AE525*AF525+AB525*12%,0)</x:f>
        <x:v>0</x:v>
      </x:c>
      <x:c r="AJ525" s="38" t="n">
        <x:f>V525*AG525</x:f>
        <x:v>2036.017996126822</x:v>
      </x:c>
      <x:c r="AK525" s="38" t="n">
        <x:f>AB525*2%</x:f>
        <x:v>5437.58240465</x:v>
      </x:c>
      <x:c r="AL525" s="38" t="n">
        <x:f>AB525+AH525+AI525+AJ525+AK525</x:f>
        <x:v>319060.96275327686</x:v>
      </x:c>
      <x:c r="AM525" s="38" t="n">
        <x:f>AL525/V525</x:f>
        <x:v>910.4753480190113</x:v>
      </x:c>
      <x:c r="AN525" s="40" t="n">
        <x:f>(W525+X525)/AL525*100</x:f>
        <x:v>73.02661439976083</x:v>
      </x:c>
      <x:c r="AO525" s="28" t="str">
        <x:v>R01-R20; ilgili satırdaki bölgesel fiyat ve maliyet varsayımları</x:v>
      </x:c>
      <x:c r="AP525" s="28" t="str">
        <x:v>Girdi miktarları, alım fiyatı değişimi, fason bedeli ve parti sonucu simüle edilmiştir; işletme kaydı değildir.</x:v>
      </x:c>
    </x:row>
    <x:row r="526" ht="22" customHeight="1">
      <x:c r="A526" t="str">
        <x:v>SUC-0525</x:v>
      </x:c>
      <x:c r="B526" s="36" t="n">
        <x:v>46266</x:v>
      </x:c>
      <x:c r="C526" t="str">
        <x:v>Karadeniz</x:v>
      </x:c>
      <x:c r="D526" t="str">
        <x:v>MEB_STANDART</x:v>
      </x:c>
      <x:c r="E526" t="str">
        <x:v>Kurum içi</x:v>
      </x:c>
      <x:c r="F526" s="42" t="str">
        <x:v>SENTETİK/SİMÜLE — gerçek parti kaydı değildir</x:v>
      </x:c>
      <x:c r="G526" s="38" t="n">
        <x:v>70.327</x:v>
      </x:c>
      <x:c r="H526" s="38" t="n">
        <x:v>21.24</x:v>
      </x:c>
      <x:c r="I526" s="38" t="n">
        <x:v>4.246</x:v>
      </x:c>
      <x:c r="J526" s="38" t="n">
        <x:v>2.622</x:v>
      </x:c>
      <x:c r="K526" s="38" t="n">
        <x:v>1.055</x:v>
      </x:c>
      <x:c r="L526" s="38" t="n">
        <x:f>SUM(G526:K526)</x:f>
        <x:v>99.49</x:v>
      </x:c>
      <x:c r="M526" s="38" t="n">
        <x:v>119.312</x:v>
      </x:c>
      <x:c r="N526" s="38" t="n">
        <x:v>613.38</x:v>
      </x:c>
      <x:c r="O526" s="38" t="n">
        <x:v>473.75</x:v>
      </x:c>
      <x:c r="P526" s="38" t="n">
        <x:v>669.9</x:v>
      </x:c>
      <x:c r="Q526" s="38" t="n">
        <x:v>19.88</x:v>
      </x:c>
      <x:c r="R526" s="38" t="n">
        <x:v>43.7475</x:v>
      </x:c>
      <x:c r="S526" s="38" t="n">
        <x:v>113.22</x:v>
      </x:c>
      <x:c r="T526" s="40" t="n">
        <x:v>16.9</x:v>
      </x:c>
      <x:c r="U526" s="40" t="n">
        <x:v>0.57</x:v>
      </x:c>
      <x:c r="V526" s="38" t="n">
        <x:f>L526*(1-T526/100)*(1-U526/100)</x:f>
        <x:v>82.20493571699998</x:v>
      </x:c>
      <x:c r="W526" s="38" t="n">
        <x:f>G526*N526</x:f>
        <x:v>43137.175259999996</x:v>
      </x:c>
      <x:c r="X526" s="38" t="n">
        <x:f>H526*O526</x:f>
        <x:v>10062.449999999999</x:v>
      </x:c>
      <x:c r="Y526" s="38" t="n">
        <x:f>I526*P526</x:f>
        <x:v>2844.3954000000003</x:v>
      </x:c>
      <x:c r="Z526" s="38" t="n">
        <x:f>J526*Q526+K526*P526</x:f>
        <x:v>758.8698599999999</x:v>
      </x:c>
      <x:c r="AA526" s="38" t="n">
        <x:f>M526*R526</x:f>
        <x:v>5219.601720000001</x:v>
      </x:c>
      <x:c r="AB526" s="38" t="n">
        <x:f>SUM(W526:AA526)</x:f>
        <x:v>62022.49223999999</x:v>
      </x:c>
      <x:c r="AC526" s="38" t="n">
        <x:v>5.54</x:v>
      </x:c>
      <x:c r="AD526" s="38" t="n">
        <x:v>174.33</x:v>
      </x:c>
      <x:c r="AE526" s="38" t="n">
        <x:v>39.43</x:v>
      </x:c>
      <x:c r="AF526" s="38" t="n">
        <x:v>4.8148</x:v>
      </x:c>
      <x:c r="AG526" s="38" t="n">
        <x:v>5.42</x:v>
      </x:c>
      <x:c r="AH526" s="38" t="n">
        <x:f>IF(E526="Fason",L526*S526,0)</x:f>
        <x:v>0</x:v>
      </x:c>
      <x:c r="AI526" s="38" t="n">
        <x:f>IF(E526="Kurum içi",AC526*AD526+AE526*AF526+AB526*12%,0)</x:f>
        <x:v>8598.3348328</x:v>
      </x:c>
      <x:c r="AJ526" s="38" t="n">
        <x:f>V526*AG526</x:f>
        <x:v>445.5507515861399</x:v>
      </x:c>
      <x:c r="AK526" s="38" t="n">
        <x:f>AB526*2%</x:f>
        <x:v>1240.4498448</x:v>
      </x:c>
      <x:c r="AL526" s="38" t="n">
        <x:f>AB526+AH526+AI526+AJ526+AK526</x:f>
        <x:v>72306.82766918612</x:v>
      </x:c>
      <x:c r="AM526" s="38" t="n">
        <x:f>AL526/V526</x:f>
        <x:v>879.5922901528779</x:v>
      </x:c>
      <x:c r="AN526" s="40" t="n">
        <x:f>(W526+X526)/AL526*100</x:f>
        <x:v>73.57482961829793</x:v>
      </x:c>
      <x:c r="AO526" s="28" t="str">
        <x:v>R01-R20; ilgili satırdaki bölgesel fiyat ve maliyet varsayımları</x:v>
      </x:c>
      <x:c r="AP526" s="28" t="str">
        <x:v>Girdi miktarları, alım fiyatı değişimi, fason bedeli ve parti sonucu simüle edilmiştir; işletme kaydı değildir.</x:v>
      </x:c>
    </x:row>
    <x:row r="527" ht="22" customHeight="1">
      <x:c r="A527" t="str">
        <x:v>SUC-0526</x:v>
      </x:c>
      <x:c r="B527" s="36" t="n">
        <x:v>46310</x:v>
      </x:c>
      <x:c r="C527" t="str">
        <x:v>Doğu Anadolu</x:v>
      </x:c>
      <x:c r="D527" t="str">
        <x:v>ERZURUM_CI</x:v>
      </x:c>
      <x:c r="E527" t="str">
        <x:v>Kurum içi</x:v>
      </x:c>
      <x:c r="F527" s="42" t="str">
        <x:v>SENTETİK/SİMÜLE — gerçek parti kaydı değildir</x:v>
      </x:c>
      <x:c r="G527" s="38" t="n">
        <x:v>115.662</x:v>
      </x:c>
      <x:c r="H527" s="38" t="n">
        <x:v>21.497</x:v>
      </x:c>
      <x:c r="I527" s="38" t="n">
        <x:v>6.365</x:v>
      </x:c>
      <x:c r="J527" s="38" t="n">
        <x:v>2.38</x:v>
      </x:c>
      <x:c r="K527" s="38" t="n">
        <x:v>0.014</x:v>
      </x:c>
      <x:c r="L527" s="38" t="n">
        <x:f>SUM(G527:K527)</x:f>
        <x:v>145.918</x:v>
      </x:c>
      <x:c r="M527" s="38" t="n">
        <x:v>175.087</x:v>
      </x:c>
      <x:c r="N527" s="38" t="n">
        <x:v>596.84</x:v>
      </x:c>
      <x:c r="O527" s="38" t="n">
        <x:v>468.52</x:v>
      </x:c>
      <x:c r="P527" s="38" t="n">
        <x:v>550</x:v>
      </x:c>
      <x:c r="Q527" s="38" t="n">
        <x:v>19.88</x:v>
      </x:c>
      <x:c r="R527" s="38" t="n">
        <x:v>43.7475</x:v>
      </x:c>
      <x:c r="S527" s="38" t="n">
        <x:v>116.75</x:v>
      </x:c>
      <x:c r="T527" s="40" t="n">
        <x:v>33.45</x:v>
      </x:c>
      <x:c r="U527" s="40" t="n">
        <x:v>1.11</x:v>
      </x:c>
      <x:c r="V527" s="38" t="n">
        <x:f>L527*(1-T527/100)*(1-U527/100)</x:f>
        <x:v>96.0305254381</x:v>
      </x:c>
      <x:c r="W527" s="38" t="n">
        <x:f>G527*N527</x:f>
        <x:v>69031.70808000001</x:v>
      </x:c>
      <x:c r="X527" s="38" t="n">
        <x:f>H527*O527</x:f>
        <x:v>10071.77444</x:v>
      </x:c>
      <x:c r="Y527" s="38" t="n">
        <x:f>I527*P527</x:f>
        <x:v>3500.75</x:v>
      </x:c>
      <x:c r="Z527" s="38" t="n">
        <x:f>J527*Q527+K527*P527</x:f>
        <x:v>55.014399999999995</x:v>
      </x:c>
      <x:c r="AA527" s="38" t="n">
        <x:f>M527*R527</x:f>
        <x:v>7659.6185325</x:v>
      </x:c>
      <x:c r="AB527" s="38" t="n">
        <x:f>SUM(W527:AA527)</x:f>
        <x:v>90318.8654525</x:v>
      </x:c>
      <x:c r="AC527" s="38" t="n">
        <x:v>6.92</x:v>
      </x:c>
      <x:c r="AD527" s="38" t="n">
        <x:v>174.33</x:v>
      </x:c>
      <x:c r="AE527" s="38" t="n">
        <x:v>49.02</x:v>
      </x:c>
      <x:c r="AF527" s="38" t="n">
        <x:v>4.8148</x:v>
      </x:c>
      <x:c r="AG527" s="38" t="n">
        <x:v>5.84</x:v>
      </x:c>
      <x:c r="AH527" s="38" t="n">
        <x:f>IF(E527="Fason",L527*S527,0)</x:f>
        <x:v>0</x:v>
      </x:c>
      <x:c r="AI527" s="38" t="n">
        <x:f>IF(E527="Kurum içi",AC527*AD527+AE527*AF527+AB527*12%,0)</x:f>
        <x:v>12280.6489503</x:v>
      </x:c>
      <x:c r="AJ527" s="38" t="n">
        <x:f>V527*AG527</x:f>
        <x:v>560.818268558504</x:v>
      </x:c>
      <x:c r="AK527" s="38" t="n">
        <x:f>AB527*2%</x:f>
        <x:v>1806.3773090500001</x:v>
      </x:c>
      <x:c r="AL527" s="38" t="n">
        <x:f>AB527+AH527+AI527+AJ527+AK527</x:f>
        <x:v>104966.70998040852</x:v>
      </x:c>
      <x:c r="AM527" s="38" t="n">
        <x:f>AL527/V527</x:f>
        <x:v>1093.0556664304484</x:v>
      </x:c>
      <x:c r="AN527" s="40" t="n">
        <x:f>(W527+X527)/AL527*100</x:f>
        <x:v>75.36054291380977</x:v>
      </x:c>
      <x:c r="AO527" s="28" t="str">
        <x:v>R01-R20; ilgili satırdaki bölgesel fiyat ve maliyet varsayımları</x:v>
      </x:c>
      <x:c r="AP527" s="28" t="str">
        <x:v>Girdi miktarları, alım fiyatı değişimi, fason bedeli ve parti sonucu simüle edilmiştir; işletme kaydı değildir.</x:v>
      </x:c>
    </x:row>
    <x:row r="528" ht="22" customHeight="1">
      <x:c r="A528" t="str">
        <x:v>SUC-0527</x:v>
      </x:c>
      <x:c r="B528" s="36" t="n">
        <x:v>46286</x:v>
      </x:c>
      <x:c r="C528" t="str">
        <x:v>Karadeniz</x:v>
      </x:c>
      <x:c r="D528" t="str">
        <x:v>ERZURUM_CI</x:v>
      </x:c>
      <x:c r="E528" t="str">
        <x:v>Kurum içi</x:v>
      </x:c>
      <x:c r="F528" s="42" t="str">
        <x:v>SENTETİK/SİMÜLE — gerçek parti kaydı değildir</x:v>
      </x:c>
      <x:c r="G528" s="38" t="n">
        <x:v>50.487</x:v>
      </x:c>
      <x:c r="H528" s="38" t="n">
        <x:v>8.384</x:v>
      </x:c>
      <x:c r="I528" s="38" t="n">
        <x:v>2.9</x:v>
      </x:c>
      <x:c r="J528" s="38" t="n">
        <x:v>1.085</x:v>
      </x:c>
      <x:c r="K528" s="38" t="n">
        <x:v>0.006</x:v>
      </x:c>
      <x:c r="L528" s="38" t="n">
        <x:f>SUM(G528:K528)</x:f>
        <x:v>62.862</x:v>
      </x:c>
      <x:c r="M528" s="38" t="n">
        <x:v>82.662</x:v>
      </x:c>
      <x:c r="N528" s="38" t="n">
        <x:v>605.18</x:v>
      </x:c>
      <x:c r="O528" s="38" t="n">
        <x:v>480.61</x:v>
      </x:c>
      <x:c r="P528" s="38" t="n">
        <x:v>400</x:v>
      </x:c>
      <x:c r="Q528" s="38" t="n">
        <x:v>19.88</x:v>
      </x:c>
      <x:c r="R528" s="38" t="n">
        <x:v>43.7475</x:v>
      </x:c>
      <x:c r="S528" s="38" t="n">
        <x:v>95.51</x:v>
      </x:c>
      <x:c r="T528" s="40" t="n">
        <x:v>21.24</x:v>
      </x:c>
      <x:c r="U528" s="40" t="n">
        <x:v>0.67</x:v>
      </x:c>
      <x:c r="V528" s="38" t="n">
        <x:f>L528*(1-T528/100)*(1-U528/100)</x:f>
        <x:v>49.17839345496</x:v>
      </x:c>
      <x:c r="W528" s="38" t="n">
        <x:f>G528*N528</x:f>
        <x:v>30553.72266</x:v>
      </x:c>
      <x:c r="X528" s="38" t="n">
        <x:f>H528*O528</x:f>
        <x:v>4029.4342400000005</x:v>
      </x:c>
      <x:c r="Y528" s="38" t="n">
        <x:f>I528*P528</x:f>
        <x:v>1160</x:v>
      </x:c>
      <x:c r="Z528" s="38" t="n">
        <x:f>J528*Q528+K528*P528</x:f>
        <x:v>23.969799999999996</x:v>
      </x:c>
      <x:c r="AA528" s="38" t="n">
        <x:f>M528*R528</x:f>
        <x:v>3616.2558450000006</x:v>
      </x:c>
      <x:c r="AB528" s="38" t="n">
        <x:f>SUM(W528:AA528)</x:f>
        <x:v>39383.382545</x:v>
      </x:c>
      <x:c r="AC528" s="38" t="n">
        <x:v>2.55</x:v>
      </x:c>
      <x:c r="AD528" s="38" t="n">
        <x:v>174.33</x:v>
      </x:c>
      <x:c r="AE528" s="38" t="n">
        <x:v>15.53</x:v>
      </x:c>
      <x:c r="AF528" s="38" t="n">
        <x:v>4.8148</x:v>
      </x:c>
      <x:c r="AG528" s="38" t="n">
        <x:v>5.71</x:v>
      </x:c>
      <x:c r="AH528" s="38" t="n">
        <x:f>IF(E528="Fason",L528*S528,0)</x:f>
        <x:v>0</x:v>
      </x:c>
      <x:c r="AI528" s="38" t="n">
        <x:f>IF(E528="Kurum içi",AC528*AD528+AE528*AF528+AB528*12%,0)</x:f>
        <x:v>5245.3212494</x:v>
      </x:c>
      <x:c r="AJ528" s="38" t="n">
        <x:f>V528*AG528</x:f>
        <x:v>280.8086266278216</x:v>
      </x:c>
      <x:c r="AK528" s="38" t="n">
        <x:f>AB528*2%</x:f>
        <x:v>787.6676509</x:v>
      </x:c>
      <x:c r="AL528" s="38" t="n">
        <x:f>AB528+AH528+AI528+AJ528+AK528</x:f>
        <x:v>45697.180071927825</x:v>
      </x:c>
      <x:c r="AM528" s="38" t="n">
        <x:f>AL528/V528</x:f>
        <x:v>929.2125435894842</x:v>
      </x:c>
      <x:c r="AN528" s="40" t="n">
        <x:f>(W528+X528)/AL528*100</x:f>
        <x:v>75.67897372565608</x:v>
      </x:c>
      <x:c r="AO528" s="28" t="str">
        <x:v>R01-R20; ilgili satırdaki bölgesel fiyat ve maliyet varsayımları</x:v>
      </x:c>
      <x:c r="AP528" s="28" t="str">
        <x:v>Girdi miktarları, alım fiyatı değişimi, fason bedeli ve parti sonucu simüle edilmiştir; işletme kaydı değildir.</x:v>
      </x:c>
    </x:row>
    <x:row r="529" ht="22" customHeight="1">
      <x:c r="A529" t="str">
        <x:v>SUC-0528</x:v>
      </x:c>
      <x:c r="B529" s="36" t="n">
        <x:v>46310</x:v>
      </x:c>
      <x:c r="C529" t="str">
        <x:v>Doğu Anadolu</x:v>
      </x:c>
      <x:c r="D529" t="str">
        <x:v>MEB_STANDART</x:v>
      </x:c>
      <x:c r="E529" t="str">
        <x:v>Kurum içi</x:v>
      </x:c>
      <x:c r="F529" s="42" t="str">
        <x:v>SENTETİK/SİMÜLE — gerçek parti kaydı değildir</x:v>
      </x:c>
      <x:c r="G529" s="38" t="n">
        <x:v>91.922</x:v>
      </x:c>
      <x:c r="H529" s="38" t="n">
        <x:v>29.86</x:v>
      </x:c>
      <x:c r="I529" s="38" t="n">
        <x:v>6.385</x:v>
      </x:c>
      <x:c r="J529" s="38" t="n">
        <x:v>3.074</x:v>
      </x:c>
      <x:c r="K529" s="38" t="n">
        <x:v>1.187</x:v>
      </x:c>
      <x:c r="L529" s="38" t="n">
        <x:f>SUM(G529:K529)</x:f>
        <x:v>132.42800000000003</x:v>
      </x:c>
      <x:c r="M529" s="38" t="n">
        <x:v>159.94</x:v>
      </x:c>
      <x:c r="N529" s="38" t="n">
        <x:v>593.11</x:v>
      </x:c>
      <x:c r="O529" s="38" t="n">
        <x:v>438.35</x:v>
      </x:c>
      <x:c r="P529" s="38" t="n">
        <x:v>550</x:v>
      </x:c>
      <x:c r="Q529" s="38" t="n">
        <x:v>19.88</x:v>
      </x:c>
      <x:c r="R529" s="38" t="n">
        <x:v>43.7475</x:v>
      </x:c>
      <x:c r="S529" s="38" t="n">
        <x:v>83.56</x:v>
      </x:c>
      <x:c r="T529" s="40" t="n">
        <x:v>20.49</x:v>
      </x:c>
      <x:c r="U529" s="40" t="n">
        <x:v>0.43</x:v>
      </x:c>
      <x:c r="V529" s="38" t="n">
        <x:f>L529*(1-T529/100)*(1-U529/100)</x:f>
        <x:v>104.84074073796003</x:v>
      </x:c>
      <x:c r="W529" s="38" t="n">
        <x:f>G529*N529</x:f>
        <x:v>54519.85742</x:v>
      </x:c>
      <x:c r="X529" s="38" t="n">
        <x:f>H529*O529</x:f>
        <x:v>13089.131000000001</x:v>
      </x:c>
      <x:c r="Y529" s="38" t="n">
        <x:f>I529*P529</x:f>
        <x:v>3511.75</x:v>
      </x:c>
      <x:c r="Z529" s="38" t="n">
        <x:f>J529*Q529+K529*P529</x:f>
        <x:v>713.96112</x:v>
      </x:c>
      <x:c r="AA529" s="38" t="n">
        <x:f>M529*R529</x:f>
        <x:v>6996.97515</x:v>
      </x:c>
      <x:c r="AB529" s="38" t="n">
        <x:f>SUM(W529:AA529)</x:f>
        <x:v>78831.67469000001</x:v>
      </x:c>
      <x:c r="AC529" s="38" t="n">
        <x:v>9.06</x:v>
      </x:c>
      <x:c r="AD529" s="38" t="n">
        <x:v>174.33</x:v>
      </x:c>
      <x:c r="AE529" s="38" t="n">
        <x:v>42.3</x:v>
      </x:c>
      <x:c r="AF529" s="38" t="n">
        <x:v>4.8148</x:v>
      </x:c>
      <x:c r="AG529" s="38" t="n">
        <x:v>5.2</x:v>
      </x:c>
      <x:c r="AH529" s="38" t="n">
        <x:f>IF(E529="Fason",L529*S529,0)</x:f>
        <x:v>0</x:v>
      </x:c>
      <x:c r="AI529" s="38" t="n">
        <x:f>IF(E529="Kurum içi",AC529*AD529+AE529*AF529+AB529*12%,0)</x:f>
        <x:v>11242.896802800002</x:v>
      </x:c>
      <x:c r="AJ529" s="38" t="n">
        <x:f>V529*AG529</x:f>
        <x:v>545.1718518373922</x:v>
      </x:c>
      <x:c r="AK529" s="38" t="n">
        <x:f>AB529*2%</x:f>
        <x:v>1576.6334938000002</x:v>
      </x:c>
      <x:c r="AL529" s="38" t="n">
        <x:f>AB529+AH529+AI529+AJ529+AK529</x:f>
        <x:v>92196.37683843743</x:v>
      </x:c>
      <x:c r="AM529" s="38" t="n">
        <x:f>AL529/V529</x:f>
        <x:v>879.3945577785829</x:v>
      </x:c>
      <x:c r="AN529" s="40" t="n">
        <x:f>(W529+X529)/AL529*100</x:f>
        <x:v>73.33150253667372</x:v>
      </x:c>
      <x:c r="AO529" s="28" t="str">
        <x:v>R01-R20; ilgili satırdaki bölgesel fiyat ve maliyet varsayımları</x:v>
      </x:c>
      <x:c r="AP529" s="28" t="str">
        <x:v>Girdi miktarları, alım fiyatı değişimi, fason bedeli ve parti sonucu simüle edilmiştir; işletme kaydı değildir.</x:v>
      </x:c>
    </x:row>
    <x:row r="530" ht="22" customHeight="1">
      <x:c r="A530" t="str">
        <x:v>SUC-0529</x:v>
      </x:c>
      <x:c r="B530" s="36" t="n">
        <x:v>46307</x:v>
      </x:c>
      <x:c r="C530" t="str">
        <x:v>İç Anadolu</x:v>
      </x:c>
      <x:c r="D530" t="str">
        <x:v>MEB_STANDART</x:v>
      </x:c>
      <x:c r="E530" t="str">
        <x:v>Fason</x:v>
      </x:c>
      <x:c r="F530" s="42" t="str">
        <x:v>SENTETİK/SİMÜLE — gerçek parti kaydı değildir</x:v>
      </x:c>
      <x:c r="G530" s="38" t="n">
        <x:v>163.241</x:v>
      </x:c>
      <x:c r="H530" s="38" t="n">
        <x:v>49.329</x:v>
      </x:c>
      <x:c r="I530" s="38" t="n">
        <x:v>10.961</x:v>
      </x:c>
      <x:c r="J530" s="38" t="n">
        <x:v>5.623</x:v>
      </x:c>
      <x:c r="K530" s="38" t="n">
        <x:v>2.21</x:v>
      </x:c>
      <x:c r="L530" s="38" t="n">
        <x:f>SUM(G530:K530)</x:f>
        <x:v>231.36400000000003</x:v>
      </x:c>
      <x:c r="M530" s="38" t="n">
        <x:v>298.932</x:v>
      </x:c>
      <x:c r="N530" s="38" t="n">
        <x:v>578.65</x:v>
      </x:c>
      <x:c r="O530" s="38" t="n">
        <x:v>466.13</x:v>
      </x:c>
      <x:c r="P530" s="38" t="n">
        <x:v>400</x:v>
      </x:c>
      <x:c r="Q530" s="38" t="n">
        <x:v>19.88</x:v>
      </x:c>
      <x:c r="R530" s="38" t="n">
        <x:v>43.7475</x:v>
      </x:c>
      <x:c r="S530" s="38" t="n">
        <x:v>73.84</x:v>
      </x:c>
      <x:c r="T530" s="40" t="n">
        <x:v>17.52</x:v>
      </x:c>
      <x:c r="U530" s="40" t="n">
        <x:v>1.59</x:v>
      </x:c>
      <x:c r="V530" s="38" t="n">
        <x:f>L530*(1-T530/100)*(1-U530/100)</x:f>
        <x:v>187.79484566752</x:v>
      </x:c>
      <x:c r="W530" s="38" t="n">
        <x:f>G530*N530</x:f>
        <x:v>94459.40465000001</x:v>
      </x:c>
      <x:c r="X530" s="38" t="n">
        <x:f>H530*O530</x:f>
        <x:v>22993.72677</x:v>
      </x:c>
      <x:c r="Y530" s="38" t="n">
        <x:f>I530*P530</x:f>
        <x:v>4384.400000000001</x:v>
      </x:c>
      <x:c r="Z530" s="38" t="n">
        <x:f>J530*Q530+K530*P530</x:f>
        <x:v>995.78524</x:v>
      </x:c>
      <x:c r="AA530" s="38" t="n">
        <x:f>M530*R530</x:f>
        <x:v>13077.527670000001</x:v>
      </x:c>
      <x:c r="AB530" s="38" t="n">
        <x:f>SUM(W530:AA530)</x:f>
        <x:v>135910.84433000002</x:v>
      </x:c>
      <x:c r="AC530" s="38" t="n">
        <x:v>13.76</x:v>
      </x:c>
      <x:c r="AD530" s="38" t="n">
        <x:v>174.33</x:v>
      </x:c>
      <x:c r="AE530" s="38" t="n">
        <x:v>80.89</x:v>
      </x:c>
      <x:c r="AF530" s="38" t="n">
        <x:v>4.8148</x:v>
      </x:c>
      <x:c r="AG530" s="38" t="n">
        <x:v>5.27</x:v>
      </x:c>
      <x:c r="AH530" s="38" t="n">
        <x:f>IF(E530="Fason",L530*S530,0)</x:f>
        <x:v>17083.917760000004</x:v>
      </x:c>
      <x:c r="AI530" s="38" t="n">
        <x:f>IF(E530="Kurum içi",AC530*AD530+AE530*AF530+AB530*12%,0)</x:f>
        <x:v>0</x:v>
      </x:c>
      <x:c r="AJ530" s="38" t="n">
        <x:f>V530*AG530</x:f>
        <x:v>989.6788366678304</x:v>
      </x:c>
      <x:c r="AK530" s="38" t="n">
        <x:f>AB530*2%</x:f>
        <x:v>2718.2168866000006</x:v>
      </x:c>
      <x:c r="AL530" s="38" t="n">
        <x:f>AB530+AH530+AI530+AJ530+AK530</x:f>
        <x:v>156702.65781326787</x:v>
      </x:c>
      <x:c r="AM530" s="38" t="n">
        <x:f>AL530/V530</x:f>
        <x:v>834.4353502156333</x:v>
      </x:c>
      <x:c r="AN530" s="40" t="n">
        <x:f>(W530+X530)/AL530*100</x:f>
        <x:v>74.95286490926088</x:v>
      </x:c>
      <x:c r="AO530" s="28" t="str">
        <x:v>R01-R20; ilgili satırdaki bölgesel fiyat ve maliyet varsayımları</x:v>
      </x:c>
      <x:c r="AP530" s="28" t="str">
        <x:v>Girdi miktarları, alım fiyatı değişimi, fason bedeli ve parti sonucu simüle edilmiştir; işletme kaydı değildir.</x:v>
      </x:c>
    </x:row>
    <x:row r="531" ht="22" customHeight="1">
      <x:c r="A531" t="str">
        <x:v>SUC-0530</x:v>
      </x:c>
      <x:c r="B531" s="36" t="n">
        <x:v>46299</x:v>
      </x:c>
      <x:c r="C531" t="str">
        <x:v>İç Anadolu</x:v>
      </x:c>
      <x:c r="D531" t="str">
        <x:v>MEB_STANDART</x:v>
      </x:c>
      <x:c r="E531" t="str">
        <x:v>Kurum içi</x:v>
      </x:c>
      <x:c r="F531" s="42" t="str">
        <x:v>SENTETİK/SİMÜLE — gerçek parti kaydı değildir</x:v>
      </x:c>
      <x:c r="G531" s="38" t="n">
        <x:v>85.387</x:v>
      </x:c>
      <x:c r="H531" s="38" t="n">
        <x:v>26.019</x:v>
      </x:c>
      <x:c r="I531" s="38" t="n">
        <x:v>5.799</x:v>
      </x:c>
      <x:c r="J531" s="38" t="n">
        <x:v>2.996</x:v>
      </x:c>
      <x:c r="K531" s="38" t="n">
        <x:v>1.364</x:v>
      </x:c>
      <x:c r="L531" s="38" t="n">
        <x:f>SUM(G531:K531)</x:f>
        <x:v>121.56500000000001</x:v>
      </x:c>
      <x:c r="M531" s="38" t="n">
        <x:v>148.954</x:v>
      </x:c>
      <x:c r="N531" s="38" t="n">
        <x:v>600.43</x:v>
      </x:c>
      <x:c r="O531" s="38" t="n">
        <x:v>430.97</x:v>
      </x:c>
      <x:c r="P531" s="38" t="n">
        <x:v>669.9</x:v>
      </x:c>
      <x:c r="Q531" s="38" t="n">
        <x:v>19.88</x:v>
      </x:c>
      <x:c r="R531" s="38" t="n">
        <x:v>43.7475</x:v>
      </x:c>
      <x:c r="S531" s="38" t="n">
        <x:v>111.75</x:v>
      </x:c>
      <x:c r="T531" s="40" t="n">
        <x:v>23.31</x:v>
      </x:c>
      <x:c r="U531" s="40" t="n">
        <x:v>0.55</x:v>
      </x:c>
      <x:c r="V531" s="38" t="n">
        <x:f>L531*(1-T531/100)*(1-U531/100)</x:f>
        <x:v>92.71544340825002</x:v>
      </x:c>
      <x:c r="W531" s="38" t="n">
        <x:f>G531*N531</x:f>
        <x:v>51268.91641</x:v>
      </x:c>
      <x:c r="X531" s="38" t="n">
        <x:f>H531*O531</x:f>
        <x:v>11213.40843</x:v>
      </x:c>
      <x:c r="Y531" s="38" t="n">
        <x:f>I531*P531</x:f>
        <x:v>3884.7501</x:v>
      </x:c>
      <x:c r="Z531" s="38" t="n">
        <x:f>J531*Q531+K531*P531</x:f>
        <x:v>973.30408</x:v>
      </x:c>
      <x:c r="AA531" s="38" t="n">
        <x:f>M531*R531</x:f>
        <x:v>6516.3651150000005</x:v>
      </x:c>
      <x:c r="AB531" s="38" t="n">
        <x:f>SUM(W531:AA531)</x:f>
        <x:v>73856.74413500002</x:v>
      </x:c>
      <x:c r="AC531" s="38" t="n">
        <x:v>4.28</x:v>
      </x:c>
      <x:c r="AD531" s="38" t="n">
        <x:v>174.33</x:v>
      </x:c>
      <x:c r="AE531" s="38" t="n">
        <x:v>46.36</x:v>
      </x:c>
      <x:c r="AF531" s="38" t="n">
        <x:v>4.8148</x:v>
      </x:c>
      <x:c r="AG531" s="38" t="n">
        <x:v>5.6</x:v>
      </x:c>
      <x:c r="AH531" s="38" t="n">
        <x:f>IF(E531="Fason",L531*S531,0)</x:f>
        <x:v>0</x:v>
      </x:c>
      <x:c r="AI531" s="38" t="n">
        <x:f>IF(E531="Kurum içi",AC531*AD531+AE531*AF531+AB531*12%,0)</x:f>
        <x:v>9832.155824200001</x:v>
      </x:c>
      <x:c r="AJ531" s="38" t="n">
        <x:f>V531*AG531</x:f>
        <x:v>519.2064830862001</x:v>
      </x:c>
      <x:c r="AK531" s="38" t="n">
        <x:f>AB531*2%</x:f>
        <x:v>1477.1348827000004</x:v>
      </x:c>
      <x:c r="AL531" s="38" t="n">
        <x:f>AB531+AH531+AI531+AJ531+AK531</x:f>
        <x:v>85685.24132498623</x:v>
      </x:c>
      <x:c r="AM531" s="38" t="n">
        <x:f>AL531/V531</x:f>
        <x:v>924.1744220290465</x:v>
      </x:c>
      <x:c r="AN531" s="40" t="n">
        <x:f>(W531+X531)/AL531*100</x:f>
        <x:v>72.92075493259988</x:v>
      </x:c>
      <x:c r="AO531" s="28" t="str">
        <x:v>R01-R20; ilgili satırdaki bölgesel fiyat ve maliyet varsayımları</x:v>
      </x:c>
      <x:c r="AP531" s="28" t="str">
        <x:v>Girdi miktarları, alım fiyatı değişimi, fason bedeli ve parti sonucu simüle edilmiştir; işletme kaydı değildir.</x:v>
      </x:c>
    </x:row>
    <x:row r="532" ht="22" customHeight="1">
      <x:c r="A532" t="str">
        <x:v>SUC-0531</x:v>
      </x:c>
      <x:c r="B532" s="36" t="n">
        <x:v>46269</x:v>
      </x:c>
      <x:c r="C532" t="str">
        <x:v>Ege</x:v>
      </x:c>
      <x:c r="D532" t="str">
        <x:v>MEB_STANDART</x:v>
      </x:c>
      <x:c r="E532" t="str">
        <x:v>Kurum içi</x:v>
      </x:c>
      <x:c r="F532" s="42" t="str">
        <x:v>SENTETİK/SİMÜLE — gerçek parti kaydı değildir</x:v>
      </x:c>
      <x:c r="G532" s="38" t="n">
        <x:v>287.022</x:v>
      </x:c>
      <x:c r="H532" s="38" t="n">
        <x:v>90.502</x:v>
      </x:c>
      <x:c r="I532" s="38" t="n">
        <x:v>18.791</x:v>
      </x:c>
      <x:c r="J532" s="38" t="n">
        <x:v>9.695</x:v>
      </x:c>
      <x:c r="K532" s="38" t="n">
        <x:v>3.89</x:v>
      </x:c>
      <x:c r="L532" s="38" t="n">
        <x:f>SUM(G532:K532)</x:f>
        <x:v>409.9</x:v>
      </x:c>
      <x:c r="M532" s="38" t="n">
        <x:v>551.705</x:v>
      </x:c>
      <x:c r="N532" s="38" t="n">
        <x:v>596.19</x:v>
      </x:c>
      <x:c r="O532" s="38" t="n">
        <x:v>473.23</x:v>
      </x:c>
      <x:c r="P532" s="38" t="n">
        <x:v>400</x:v>
      </x:c>
      <x:c r="Q532" s="38" t="n">
        <x:v>19.88</x:v>
      </x:c>
      <x:c r="R532" s="38" t="n">
        <x:v>43.7475</x:v>
      </x:c>
      <x:c r="S532" s="38" t="n">
        <x:v>117.63</x:v>
      </x:c>
      <x:c r="T532" s="40" t="n">
        <x:v>15.89</x:v>
      </x:c>
      <x:c r="U532" s="40" t="n">
        <x:v>0.54</x:v>
      </x:c>
      <x:c r="V532" s="38" t="n">
        <x:f>L532*(1-T532/100)*(1-U532/100)</x:f>
        <x:v>342.905148794</x:v>
      </x:c>
      <x:c r="W532" s="38" t="n">
        <x:f>G532*N532</x:f>
        <x:v>171119.64618</x:v>
      </x:c>
      <x:c r="X532" s="38" t="n">
        <x:f>H532*O532</x:f>
        <x:v>42828.26146</x:v>
      </x:c>
      <x:c r="Y532" s="38" t="n">
        <x:f>I532*P532</x:f>
        <x:v>7516.400000000001</x:v>
      </x:c>
      <x:c r="Z532" s="38" t="n">
        <x:f>J532*Q532+K532*P532</x:f>
        <x:v>1748.7366</x:v>
      </x:c>
      <x:c r="AA532" s="38" t="n">
        <x:f>M532*R532</x:f>
        <x:v>24135.7144875</x:v>
      </x:c>
      <x:c r="AB532" s="38" t="n">
        <x:f>SUM(W532:AA532)</x:f>
        <x:v>247348.7587275</x:v>
      </x:c>
      <x:c r="AC532" s="38" t="n">
        <x:v>16.06</x:v>
      </x:c>
      <x:c r="AD532" s="38" t="n">
        <x:v>174.33</x:v>
      </x:c>
      <x:c r="AE532" s="38" t="n">
        <x:v>103.73</x:v>
      </x:c>
      <x:c r="AF532" s="38" t="n">
        <x:v>4.8148</x:v>
      </x:c>
      <x:c r="AG532" s="38" t="n">
        <x:v>5.27</x:v>
      </x:c>
      <x:c r="AH532" s="38" t="n">
        <x:f>IF(E532="Fason",L532*S532,0)</x:f>
        <x:v>0</x:v>
      </x:c>
      <x:c r="AI532" s="38" t="n">
        <x:f>IF(E532="Kurum içi",AC532*AD532+AE532*AF532+AB532*12%,0)</x:f>
        <x:v>32981.0300513</x:v>
      </x:c>
      <x:c r="AJ532" s="38" t="n">
        <x:f>V532*AG532</x:f>
        <x:v>1807.11013414438</x:v>
      </x:c>
      <x:c r="AK532" s="38" t="n">
        <x:f>AB532*2%</x:f>
        <x:v>4946.975174550001</x:v>
      </x:c>
      <x:c r="AL532" s="38" t="n">
        <x:f>AB532+AH532+AI532+AJ532+AK532</x:f>
        <x:v>287083.8740874944</x:v>
      </x:c>
      <x:c r="AM532" s="38" t="n">
        <x:f>AL532/V532</x:f>
        <x:v>837.2107420876313</x:v>
      </x:c>
      <x:c r="AN532" s="40" t="n">
        <x:f>(W532+X532)/AL532*100</x:f>
        <x:v>74.52452992005927</x:v>
      </x:c>
      <x:c r="AO532" s="28" t="str">
        <x:v>R01-R20; ilgili satırdaki bölgesel fiyat ve maliyet varsayımları</x:v>
      </x:c>
      <x:c r="AP532" s="28" t="str">
        <x:v>Girdi miktarları, alım fiyatı değişimi, fason bedeli ve parti sonucu simüle edilmiştir; işletme kaydı değildir.</x:v>
      </x:c>
    </x:row>
    <x:row r="533" ht="22" customHeight="1">
      <x:c r="A533" t="str">
        <x:v>SUC-0532</x:v>
      </x:c>
      <x:c r="B533" s="36" t="n">
        <x:v>46285</x:v>
      </x:c>
      <x:c r="C533" t="str">
        <x:v>Güneydoğu Anadolu</x:v>
      </x:c>
      <x:c r="D533" t="str">
        <x:v>MEB_STANDART</x:v>
      </x:c>
      <x:c r="E533" t="str">
        <x:v>Fason</x:v>
      </x:c>
      <x:c r="F533" s="42" t="str">
        <x:v>SENTETİK/SİMÜLE — gerçek parti kaydı değildir</x:v>
      </x:c>
      <x:c r="G533" s="38" t="n">
        <x:v>336.693</x:v>
      </x:c>
      <x:c r="H533" s="38" t="n">
        <x:v>103.853</x:v>
      </x:c>
      <x:c r="I533" s="38" t="n">
        <x:v>20.984</x:v>
      </x:c>
      <x:c r="J533" s="38" t="n">
        <x:v>11.227</x:v>
      </x:c>
      <x:c r="K533" s="38" t="n">
        <x:v>4.263</x:v>
      </x:c>
      <x:c r="L533" s="38" t="n">
        <x:f>SUM(G533:K533)</x:f>
        <x:v>477.0199999999999</x:v>
      </x:c>
      <x:c r="M533" s="38" t="n">
        <x:v>576.193</x:v>
      </x:c>
      <x:c r="N533" s="38" t="n">
        <x:v>596.37</x:v>
      </x:c>
      <x:c r="O533" s="38" t="n">
        <x:v>480.93</x:v>
      </x:c>
      <x:c r="P533" s="38" t="n">
        <x:v>400</x:v>
      </x:c>
      <x:c r="Q533" s="38" t="n">
        <x:v>19.88</x:v>
      </x:c>
      <x:c r="R533" s="38" t="n">
        <x:v>43.7475</x:v>
      </x:c>
      <x:c r="S533" s="38" t="n">
        <x:v>114.94</x:v>
      </x:c>
      <x:c r="T533" s="40" t="n">
        <x:v>26.66</x:v>
      </x:c>
      <x:c r="U533" s="40" t="n">
        <x:v>0.88</x:v>
      </x:c>
      <x:c r="V533" s="38" t="n">
        <x:f>L533*(1-T533/100)*(1-U533/100)</x:f>
        <x:v>346.76781908159995</x:v>
      </x:c>
      <x:c r="W533" s="38" t="n">
        <x:f>G533*N533</x:f>
        <x:v>200793.60441</x:v>
      </x:c>
      <x:c r="X533" s="38" t="n">
        <x:f>H533*O533</x:f>
        <x:v>49946.02329</x:v>
      </x:c>
      <x:c r="Y533" s="38" t="n">
        <x:f>I533*P533</x:f>
        <x:v>8393.6</x:v>
      </x:c>
      <x:c r="Z533" s="38" t="n">
        <x:f>J533*Q533+K533*P533</x:f>
        <x:v>1928.39276</x:v>
      </x:c>
      <x:c r="AA533" s="38" t="n">
        <x:f>M533*R533</x:f>
        <x:v>25207.0032675</x:v>
      </x:c>
      <x:c r="AB533" s="38" t="n">
        <x:f>SUM(W533:AA533)</x:f>
        <x:v>286268.62372750003</x:v>
      </x:c>
      <x:c r="AC533" s="38" t="n">
        <x:v>32.7</x:v>
      </x:c>
      <x:c r="AD533" s="38" t="n">
        <x:v>174.33</x:v>
      </x:c>
      <x:c r="AE533" s="38" t="n">
        <x:v>189.13</x:v>
      </x:c>
      <x:c r="AF533" s="38" t="n">
        <x:v>4.8148</x:v>
      </x:c>
      <x:c r="AG533" s="38" t="n">
        <x:v>5.12</x:v>
      </x:c>
      <x:c r="AH533" s="38" t="n">
        <x:f>IF(E533="Fason",L533*S533,0)</x:f>
        <x:v>54828.67879999999</x:v>
      </x:c>
      <x:c r="AI533" s="38" t="n">
        <x:f>IF(E533="Kurum içi",AC533*AD533+AE533*AF533+AB533*12%,0)</x:f>
        <x:v>0</x:v>
      </x:c>
      <x:c r="AJ533" s="38" t="n">
        <x:f>V533*AG533</x:f>
        <x:v>1775.4512336977918</x:v>
      </x:c>
      <x:c r="AK533" s="38" t="n">
        <x:f>AB533*2%</x:f>
        <x:v>5725.37247455</x:v>
      </x:c>
      <x:c r="AL533" s="38" t="n">
        <x:f>AB533+AH533+AI533+AJ533+AK533</x:f>
        <x:v>348598.12623574777</x:v>
      </x:c>
      <x:c r="AM533" s="38" t="n">
        <x:f>AL533/V533</x:f>
        <x:v>1005.2781920738646</x:v>
      </x:c>
      <x:c r="AN533" s="40" t="n">
        <x:f>(W533+X533)/AL533*100</x:f>
        <x:v>71.92799066579933</x:v>
      </x:c>
      <x:c r="AO533" s="28" t="str">
        <x:v>R01-R20; ilgili satırdaki bölgesel fiyat ve maliyet varsayımları</x:v>
      </x:c>
      <x:c r="AP533" s="28" t="str">
        <x:v>Girdi miktarları, alım fiyatı değişimi, fason bedeli ve parti sonucu simüle edilmiştir; işletme kaydı değildir.</x:v>
      </x:c>
    </x:row>
    <x:row r="534" ht="22" customHeight="1">
      <x:c r="A534" t="str">
        <x:v>SUC-0533</x:v>
      </x:c>
      <x:c r="B534" s="36" t="n">
        <x:v>46288</x:v>
      </x:c>
      <x:c r="C534" t="str">
        <x:v>Doğu Anadolu</x:v>
      </x:c>
      <x:c r="D534" t="str">
        <x:v>MEB_STANDART</x:v>
      </x:c>
      <x:c r="E534" t="str">
        <x:v>Fason</x:v>
      </x:c>
      <x:c r="F534" s="42" t="str">
        <x:v>SENTETİK/SİMÜLE — gerçek parti kaydı değildir</x:v>
      </x:c>
      <x:c r="G534" s="38" t="n">
        <x:v>57.573</x:v>
      </x:c>
      <x:c r="H534" s="38" t="n">
        <x:v>19.173</x:v>
      </x:c>
      <x:c r="I534" s="38" t="n">
        <x:v>3.67</x:v>
      </x:c>
      <x:c r="J534" s="38" t="n">
        <x:v>2.107</x:v>
      </x:c>
      <x:c r="K534" s="38" t="n">
        <x:v>0.723</x:v>
      </x:c>
      <x:c r="L534" s="38" t="n">
        <x:f>SUM(G534:K534)</x:f>
        <x:v>83.246</x:v>
      </x:c>
      <x:c r="M534" s="38" t="n">
        <x:v>111.203</x:v>
      </x:c>
      <x:c r="N534" s="38" t="n">
        <x:v>605.12</x:v>
      </x:c>
      <x:c r="O534" s="38" t="n">
        <x:v>421.56</x:v>
      </x:c>
      <x:c r="P534" s="38" t="n">
        <x:v>550</x:v>
      </x:c>
      <x:c r="Q534" s="38" t="n">
        <x:v>19.88</x:v>
      </x:c>
      <x:c r="R534" s="38" t="n">
        <x:v>43.7475</x:v>
      </x:c>
      <x:c r="S534" s="38" t="n">
        <x:v>119.08</x:v>
      </x:c>
      <x:c r="T534" s="40" t="n">
        <x:v>26.44</x:v>
      </x:c>
      <x:c r="U534" s="40" t="n">
        <x:v>0.68</x:v>
      </x:c>
      <x:c r="V534" s="38" t="n">
        <x:f>L534*(1-T534/100)*(1-U534/100)</x:f>
        <x:v>60.81935444832</x:v>
      </x:c>
      <x:c r="W534" s="38" t="n">
        <x:f>G534*N534</x:f>
        <x:v>34838.57376</x:v>
      </x:c>
      <x:c r="X534" s="38" t="n">
        <x:f>H534*O534</x:f>
        <x:v>8082.569879999999</x:v>
      </x:c>
      <x:c r="Y534" s="38" t="n">
        <x:f>I534*P534</x:f>
        <x:v>2018.5</x:v>
      </x:c>
      <x:c r="Z534" s="38" t="n">
        <x:f>J534*Q534+K534*P534</x:f>
        <x:v>439.53716</x:v>
      </x:c>
      <x:c r="AA534" s="38" t="n">
        <x:f>M534*R534</x:f>
        <x:v>4864.8532425</x:v>
      </x:c>
      <x:c r="AB534" s="38" t="n">
        <x:f>SUM(W534:AA534)</x:f>
        <x:v>50244.034042499996</x:v>
      </x:c>
      <x:c r="AC534" s="38" t="n">
        <x:v>2.98</x:v>
      </x:c>
      <x:c r="AD534" s="38" t="n">
        <x:v>174.33</x:v>
      </x:c>
      <x:c r="AE534" s="38" t="n">
        <x:v>24.18</x:v>
      </x:c>
      <x:c r="AF534" s="38" t="n">
        <x:v>4.8148</x:v>
      </x:c>
      <x:c r="AG534" s="38" t="n">
        <x:v>5.91</x:v>
      </x:c>
      <x:c r="AH534" s="38" t="n">
        <x:f>IF(E534="Fason",L534*S534,0)</x:f>
        <x:v>9912.93368</x:v>
      </x:c>
      <x:c r="AI534" s="38" t="n">
        <x:f>IF(E534="Kurum içi",AC534*AD534+AE534*AF534+AB534*12%,0)</x:f>
        <x:v>0</x:v>
      </x:c>
      <x:c r="AJ534" s="38" t="n">
        <x:f>V534*AG534</x:f>
        <x:v>359.4423847895712</x:v>
      </x:c>
      <x:c r="AK534" s="38" t="n">
        <x:f>AB534*2%</x:f>
        <x:v>1004.88068085</x:v>
      </x:c>
      <x:c r="AL534" s="38" t="n">
        <x:f>AB534+AH534+AI534+AJ534+AK534</x:f>
        <x:v>61521.29078813957</x:v>
      </x:c>
      <x:c r="AM534" s="38" t="n">
        <x:f>AL534/V534</x:f>
        <x:v>1011.5413316400133</x:v>
      </x:c>
      <x:c r="AN534" s="40" t="n">
        <x:f>(W534+X534)/AL534*100</x:f>
        <x:v>69.76632494238008</x:v>
      </x:c>
      <x:c r="AO534" s="28" t="str">
        <x:v>R01-R20; ilgili satırdaki bölgesel fiyat ve maliyet varsayımları</x:v>
      </x:c>
      <x:c r="AP534" s="28" t="str">
        <x:v>Girdi miktarları, alım fiyatı değişimi, fason bedeli ve parti sonucu simüle edilmiştir; işletme kaydı değildir.</x:v>
      </x:c>
    </x:row>
    <x:row r="535" ht="22" customHeight="1">
      <x:c r="A535" t="str">
        <x:v>SUC-0534</x:v>
      </x:c>
      <x:c r="B535" s="36" t="n">
        <x:v>46309</x:v>
      </x:c>
      <x:c r="C535" t="str">
        <x:v>Marmara</x:v>
      </x:c>
      <x:c r="D535" t="str">
        <x:v>MEB_STANDART</x:v>
      </x:c>
      <x:c r="E535" t="str">
        <x:v>Kurum içi</x:v>
      </x:c>
      <x:c r="F535" s="42" t="str">
        <x:v>SENTETİK/SİMÜLE — gerçek parti kaydı değildir</x:v>
      </x:c>
      <x:c r="G535" s="38" t="n">
        <x:v>129.028</x:v>
      </x:c>
      <x:c r="H535" s="38" t="n">
        <x:v>38.922</x:v>
      </x:c>
      <x:c r="I535" s="38" t="n">
        <x:v>8.382</x:v>
      </x:c>
      <x:c r="J535" s="38" t="n">
        <x:v>4.276</x:v>
      </x:c>
      <x:c r="K535" s="38" t="n">
        <x:v>1.92</x:v>
      </x:c>
      <x:c r="L535" s="38" t="n">
        <x:f>SUM(G535:K535)</x:f>
        <x:v>182.528</x:v>
      </x:c>
      <x:c r="M535" s="38" t="n">
        <x:v>212.79</x:v>
      </x:c>
      <x:c r="N535" s="38" t="n">
        <x:v>611.23</x:v>
      </x:c>
      <x:c r="O535" s="38" t="n">
        <x:v>460.7</x:v>
      </x:c>
      <x:c r="P535" s="38" t="n">
        <x:v>400</x:v>
      </x:c>
      <x:c r="Q535" s="38" t="n">
        <x:v>19.88</x:v>
      </x:c>
      <x:c r="R535" s="38" t="n">
        <x:v>43.7475</x:v>
      </x:c>
      <x:c r="S535" s="38" t="n">
        <x:v>91.99</x:v>
      </x:c>
      <x:c r="T535" s="40" t="n">
        <x:v>21.16</x:v>
      </x:c>
      <x:c r="U535" s="40" t="n">
        <x:v>1.48</x:v>
      </x:c>
      <x:c r="V535" s="38" t="n">
        <x:f>L535*(1-T535/100)*(1-U535/100)</x:f>
        <x:v>141.77528008704</x:v>
      </x:c>
      <x:c r="W535" s="38" t="n">
        <x:f>G535*N535</x:f>
        <x:v>78865.78444</x:v>
      </x:c>
      <x:c r="X535" s="38" t="n">
        <x:f>H535*O535</x:f>
        <x:v>17931.3654</x:v>
      </x:c>
      <x:c r="Y535" s="38" t="n">
        <x:f>I535*P535</x:f>
        <x:v>3352.7999999999997</x:v>
      </x:c>
      <x:c r="Z535" s="38" t="n">
        <x:f>J535*Q535+K535*P535</x:f>
        <x:v>853.00688</x:v>
      </x:c>
      <x:c r="AA535" s="38" t="n">
        <x:f>M535*R535</x:f>
        <x:v>9309.030525</x:v>
      </x:c>
      <x:c r="AB535" s="38" t="n">
        <x:f>SUM(W535:AA535)</x:f>
        <x:v>110311.987245</x:v>
      </x:c>
      <x:c r="AC535" s="38" t="n">
        <x:v>8.56</x:v>
      </x:c>
      <x:c r="AD535" s="38" t="n">
        <x:v>174.33</x:v>
      </x:c>
      <x:c r="AE535" s="38" t="n">
        <x:v>53.34</x:v>
      </x:c>
      <x:c r="AF535" s="38" t="n">
        <x:v>4.8148</x:v>
      </x:c>
      <x:c r="AG535" s="38" t="n">
        <x:v>5.32</x:v>
      </x:c>
      <x:c r="AH535" s="38" t="n">
        <x:f>IF(E535="Fason",L535*S535,0)</x:f>
        <x:v>0</x:v>
      </x:c>
      <x:c r="AI535" s="38" t="n">
        <x:f>IF(E535="Kurum içi",AC535*AD535+AE535*AF535+AB535*12%,0)</x:f>
        <x:v>14986.524701399998</x:v>
      </x:c>
      <x:c r="AJ535" s="38" t="n">
        <x:f>V535*AG535</x:f>
        <x:v>754.2444900630528</x:v>
      </x:c>
      <x:c r="AK535" s="38" t="n">
        <x:f>AB535*2%</x:f>
        <x:v>2206.2397449</x:v>
      </x:c>
      <x:c r="AL535" s="38" t="n">
        <x:f>AB535+AH535+AI535+AJ535+AK535</x:f>
        <x:v>128258.99618136304</x:v>
      </x:c>
      <x:c r="AM535" s="38" t="n">
        <x:f>AL535/V535</x:f>
        <x:v>904.6640296010778</x:v>
      </x:c>
      <x:c r="AN535" s="40" t="n">
        <x:f>(W535+X535)/AL535*100</x:f>
        <x:v>75.47006660111794</x:v>
      </x:c>
      <x:c r="AO535" s="28" t="str">
        <x:v>R01-R20; ilgili satırdaki bölgesel fiyat ve maliyet varsayımları</x:v>
      </x:c>
      <x:c r="AP535" s="28" t="str">
        <x:v>Girdi miktarları, alım fiyatı değişimi, fason bedeli ve parti sonucu simüle edilmiştir; işletme kaydı değildir.</x:v>
      </x:c>
    </x:row>
    <x:row r="536" ht="22" customHeight="1">
      <x:c r="A536" t="str">
        <x:v>SUC-0535</x:v>
      </x:c>
      <x:c r="B536" s="36" t="n">
        <x:v>46267</x:v>
      </x:c>
      <x:c r="C536" t="str">
        <x:v>Doğu Anadolu</x:v>
      </x:c>
      <x:c r="D536" t="str">
        <x:v>ERZURUM_CI</x:v>
      </x:c>
      <x:c r="E536" t="str">
        <x:v>Kurum içi</x:v>
      </x:c>
      <x:c r="F536" s="42" t="str">
        <x:v>SENTETİK/SİMÜLE — gerçek parti kaydı değildir</x:v>
      </x:c>
      <x:c r="G536" s="38" t="n">
        <x:v>91.907</x:v>
      </x:c>
      <x:c r="H536" s="38" t="n">
        <x:v>17.263</x:v>
      </x:c>
      <x:c r="I536" s="38" t="n">
        <x:v>5.621</x:v>
      </x:c>
      <x:c r="J536" s="38" t="n">
        <x:v>2.041</x:v>
      </x:c>
      <x:c r="K536" s="38" t="n">
        <x:v>0.099</x:v>
      </x:c>
      <x:c r="L536" s="38" t="n">
        <x:f>SUM(G536:K536)</x:f>
        <x:v>116.931</x:v>
      </x:c>
      <x:c r="M536" s="38" t="n">
        <x:v>139.457</x:v>
      </x:c>
      <x:c r="N536" s="38" t="n">
        <x:v>598.74</x:v>
      </x:c>
      <x:c r="O536" s="38" t="n">
        <x:v>448.9</x:v>
      </x:c>
      <x:c r="P536" s="38" t="n">
        <x:v>550</x:v>
      </x:c>
      <x:c r="Q536" s="38" t="n">
        <x:v>19.88</x:v>
      </x:c>
      <x:c r="R536" s="38" t="n">
        <x:v>43.7475</x:v>
      </x:c>
      <x:c r="S536" s="38" t="n">
        <x:v>118.88</x:v>
      </x:c>
      <x:c r="T536" s="40" t="n">
        <x:v>19.4</x:v>
      </x:c>
      <x:c r="U536" s="40" t="n">
        <x:v>0.84</x:v>
      </x:c>
      <x:c r="V536" s="38" t="n">
        <x:f>L536*(1-T536/100)*(1-U536/100)</x:f>
        <x:v>93.4547163576</x:v>
      </x:c>
      <x:c r="W536" s="38" t="n">
        <x:f>G536*N536</x:f>
        <x:v>55028.39718</x:v>
      </x:c>
      <x:c r="X536" s="38" t="n">
        <x:f>H536*O536</x:f>
        <x:v>7749.3607</x:v>
      </x:c>
      <x:c r="Y536" s="38" t="n">
        <x:f>I536*P536</x:f>
        <x:v>3091.55</x:v>
      </x:c>
      <x:c r="Z536" s="38" t="n">
        <x:f>J536*Q536+K536*P536</x:f>
        <x:v>95.02508</x:v>
      </x:c>
      <x:c r="AA536" s="38" t="n">
        <x:f>M536*R536</x:f>
        <x:v>6100.8951075</x:v>
      </x:c>
      <x:c r="AB536" s="38" t="n">
        <x:f>SUM(W536:AA536)</x:f>
        <x:v>72065.2280675</x:v>
      </x:c>
      <x:c r="AC536" s="38" t="n">
        <x:v>5.51</x:v>
      </x:c>
      <x:c r="AD536" s="38" t="n">
        <x:v>174.33</x:v>
      </x:c>
      <x:c r="AE536" s="38" t="n">
        <x:v>54.07</x:v>
      </x:c>
      <x:c r="AF536" s="38" t="n">
        <x:v>4.8148</x:v>
      </x:c>
      <x:c r="AG536" s="38" t="n">
        <x:v>5.54</x:v>
      </x:c>
      <x:c r="AH536" s="38" t="n">
        <x:f>IF(E536="Fason",L536*S536,0)</x:f>
        <x:v>0</x:v>
      </x:c>
      <x:c r="AI536" s="38" t="n">
        <x:f>IF(E536="Kurum içi",AC536*AD536+AE536*AF536+AB536*12%,0)</x:f>
        <x:v>9868.721904099999</x:v>
      </x:c>
      <x:c r="AJ536" s="38" t="n">
        <x:f>V536*AG536</x:f>
        <x:v>517.739128621104</x:v>
      </x:c>
      <x:c r="AK536" s="38" t="n">
        <x:f>AB536*2%</x:f>
        <x:v>1441.3045613499999</x:v>
      </x:c>
      <x:c r="AL536" s="38" t="n">
        <x:f>AB536+AH536+AI536+AJ536+AK536</x:f>
        <x:v>83892.9936615711</x:v>
      </x:c>
      <x:c r="AM536" s="38" t="n">
        <x:f>AL536/V536</x:f>
        <x:v>897.686033742359</x:v>
      </x:c>
      <x:c r="AN536" s="40" t="n">
        <x:f>(W536+X536)/AL536*100</x:f>
        <x:v>74.83075181849975</x:v>
      </x:c>
      <x:c r="AO536" s="28" t="str">
        <x:v>R01-R20; ilgili satırdaki bölgesel fiyat ve maliyet varsayımları</x:v>
      </x:c>
      <x:c r="AP536" s="28" t="str">
        <x:v>Girdi miktarları, alım fiyatı değişimi, fason bedeli ve parti sonucu simüle edilmiştir; işletme kaydı değildir.</x:v>
      </x:c>
    </x:row>
    <x:row r="537" ht="22" customHeight="1">
      <x:c r="A537" t="str">
        <x:v>SUC-0536</x:v>
      </x:c>
      <x:c r="B537" s="36" t="n">
        <x:v>46285</x:v>
      </x:c>
      <x:c r="C537" t="str">
        <x:v>Doğu Anadolu</x:v>
      </x:c>
      <x:c r="D537" t="str">
        <x:v>MEB_STANDART</x:v>
      </x:c>
      <x:c r="E537" t="str">
        <x:v>Fason</x:v>
      </x:c>
      <x:c r="F537" s="42" t="str">
        <x:v>SENTETİK/SİMÜLE — gerçek parti kaydı değildir</x:v>
      </x:c>
      <x:c r="G537" s="38" t="n">
        <x:v>140.173</x:v>
      </x:c>
      <x:c r="H537" s="38" t="n">
        <x:v>44.421</x:v>
      </x:c>
      <x:c r="I537" s="38" t="n">
        <x:v>8.71</x:v>
      </x:c>
      <x:c r="J537" s="38" t="n">
        <x:v>4.786</x:v>
      </x:c>
      <x:c r="K537" s="38" t="n">
        <x:v>1.805</x:v>
      </x:c>
      <x:c r="L537" s="38" t="n">
        <x:f>SUM(G537:K537)</x:f>
        <x:v>199.895</x:v>
      </x:c>
      <x:c r="M537" s="38" t="n">
        <x:v>263.28</x:v>
      </x:c>
      <x:c r="N537" s="38" t="n">
        <x:v>595.17</x:v>
      </x:c>
      <x:c r="O537" s="38" t="n">
        <x:v>453.32</x:v>
      </x:c>
      <x:c r="P537" s="38" t="n">
        <x:v>400</x:v>
      </x:c>
      <x:c r="Q537" s="38" t="n">
        <x:v>19.88</x:v>
      </x:c>
      <x:c r="R537" s="38" t="n">
        <x:v>43.7475</x:v>
      </x:c>
      <x:c r="S537" s="38" t="n">
        <x:v>88.09</x:v>
      </x:c>
      <x:c r="T537" s="40" t="n">
        <x:v>17.48</x:v>
      </x:c>
      <x:c r="U537" s="40" t="n">
        <x:v>0.77</x:v>
      </x:c>
      <x:c r="V537" s="38" t="n">
        <x:f>L537*(1-T537/100)*(1-U537/100)</x:f>
        <x:v>163.68321317419998</x:v>
      </x:c>
      <x:c r="W537" s="38" t="n">
        <x:f>G537*N537</x:f>
        <x:v>83426.76440999999</x:v>
      </x:c>
      <x:c r="X537" s="38" t="n">
        <x:f>H537*O537</x:f>
        <x:v>20136.92772</x:v>
      </x:c>
      <x:c r="Y537" s="38" t="n">
        <x:f>I537*P537</x:f>
        <x:v>3484.0000000000005</x:v>
      </x:c>
      <x:c r="Z537" s="38" t="n">
        <x:f>J537*Q537+K537*P537</x:f>
        <x:v>817.14568</x:v>
      </x:c>
      <x:c r="AA537" s="38" t="n">
        <x:f>M537*R537</x:f>
        <x:v>11517.8418</x:v>
      </x:c>
      <x:c r="AB537" s="38" t="n">
        <x:f>SUM(W537:AA537)</x:f>
        <x:v>119382.67960999998</x:v>
      </x:c>
      <x:c r="AC537" s="38" t="n">
        <x:v>13.09</x:v>
      </x:c>
      <x:c r="AD537" s="38" t="n">
        <x:v>174.33</x:v>
      </x:c>
      <x:c r="AE537" s="38" t="n">
        <x:v>57.63</x:v>
      </x:c>
      <x:c r="AF537" s="38" t="n">
        <x:v>4.8148</x:v>
      </x:c>
      <x:c r="AG537" s="38" t="n">
        <x:v>5.11</x:v>
      </x:c>
      <x:c r="AH537" s="38" t="n">
        <x:f>IF(E537="Fason",L537*S537,0)</x:f>
        <x:v>17608.75055</x:v>
      </x:c>
      <x:c r="AI537" s="38" t="n">
        <x:f>IF(E537="Kurum içi",AC537*AD537+AE537*AF537+AB537*12%,0)</x:f>
        <x:v>0</x:v>
      </x:c>
      <x:c r="AJ537" s="38" t="n">
        <x:f>V537*AG537</x:f>
        <x:v>836.421219320162</x:v>
      </x:c>
      <x:c r="AK537" s="38" t="n">
        <x:f>AB537*2%</x:f>
        <x:v>2387.6535922</x:v>
      </x:c>
      <x:c r="AL537" s="38" t="n">
        <x:f>AB537+AH537+AI537+AJ537+AK537</x:f>
        <x:v>140215.50497152013</x:v>
      </x:c>
      <x:c r="AM537" s="38" t="n">
        <x:f>AL537/V537</x:f>
        <x:v>856.6272756528532</x:v>
      </x:c>
      <x:c r="AN537" s="40" t="n">
        <x:f>(W537+X537)/AL537*100</x:f>
        <x:v>73.8603709704111</x:v>
      </x:c>
      <x:c r="AO537" s="28" t="str">
        <x:v>R01-R20; ilgili satırdaki bölgesel fiyat ve maliyet varsayımları</x:v>
      </x:c>
      <x:c r="AP537" s="28" t="str">
        <x:v>Girdi miktarları, alım fiyatı değişimi, fason bedeli ve parti sonucu simüle edilmiştir; işletme kaydı değildir.</x:v>
      </x:c>
    </x:row>
    <x:row r="538" ht="22" customHeight="1">
      <x:c r="A538" t="str">
        <x:v>SUC-0537</x:v>
      </x:c>
      <x:c r="B538" s="36" t="n">
        <x:v>46274</x:v>
      </x:c>
      <x:c r="C538" t="str">
        <x:v>İç Anadolu</x:v>
      </x:c>
      <x:c r="D538" t="str">
        <x:v>ERZURUM_CI</x:v>
      </x:c>
      <x:c r="E538" t="str">
        <x:v>Kurum içi</x:v>
      </x:c>
      <x:c r="F538" s="42" t="str">
        <x:v>SENTETİK/SİMÜLE — gerçek parti kaydı değildir</x:v>
      </x:c>
      <x:c r="G538" s="38" t="n">
        <x:v>177.154</x:v>
      </x:c>
      <x:c r="H538" s="38" t="n">
        <x:v>32.05</x:v>
      </x:c>
      <x:c r="I538" s="38" t="n">
        <x:v>10.571</x:v>
      </x:c>
      <x:c r="J538" s="38" t="n">
        <x:v>3.611</x:v>
      </x:c>
      <x:c r="K538" s="38" t="n">
        <x:v>0.022</x:v>
      </x:c>
      <x:c r="L538" s="38" t="n">
        <x:f>SUM(G538:K538)</x:f>
        <x:v>223.408</x:v>
      </x:c>
      <x:c r="M538" s="38" t="n">
        <x:v>270.747</x:v>
      </x:c>
      <x:c r="N538" s="38" t="n">
        <x:v>582.9</x:v>
      </x:c>
      <x:c r="O538" s="38" t="n">
        <x:v>418.52</x:v>
      </x:c>
      <x:c r="P538" s="38" t="n">
        <x:v>550</x:v>
      </x:c>
      <x:c r="Q538" s="38" t="n">
        <x:v>19.88</x:v>
      </x:c>
      <x:c r="R538" s="38" t="n">
        <x:v>43.7475</x:v>
      </x:c>
      <x:c r="S538" s="38" t="n">
        <x:v>99.24</x:v>
      </x:c>
      <x:c r="T538" s="40" t="n">
        <x:v>28.22</x:v>
      </x:c>
      <x:c r="U538" s="40" t="n">
        <x:v>0.58</x:v>
      </x:c>
      <x:c r="V538" s="38" t="n">
        <x:f>L538*(1-T538/100)*(1-U538/100)</x:f>
        <x:v>159.43216127807997</x:v>
      </x:c>
      <x:c r="W538" s="38" t="n">
        <x:f>G538*N538</x:f>
        <x:v>103263.06659999999</x:v>
      </x:c>
      <x:c r="X538" s="38" t="n">
        <x:f>H538*O538</x:f>
        <x:v>13413.565999999999</x:v>
      </x:c>
      <x:c r="Y538" s="38" t="n">
        <x:f>I538*P538</x:f>
        <x:v>5814.05</x:v>
      </x:c>
      <x:c r="Z538" s="38" t="n">
        <x:f>J538*Q538+K538*P538</x:f>
        <x:v>83.88668</x:v>
      </x:c>
      <x:c r="AA538" s="38" t="n">
        <x:f>M538*R538</x:f>
        <x:v>11844.504382500001</x:v>
      </x:c>
      <x:c r="AB538" s="38" t="n">
        <x:f>SUM(W538:AA538)</x:f>
        <x:v>134419.07366249998</x:v>
      </x:c>
      <x:c r="AC538" s="38" t="n">
        <x:v>8.59</x:v>
      </x:c>
      <x:c r="AD538" s="38" t="n">
        <x:v>174.33</x:v>
      </x:c>
      <x:c r="AE538" s="38" t="n">
        <x:v>101.32</x:v>
      </x:c>
      <x:c r="AF538" s="38" t="n">
        <x:v>4.8148</x:v>
      </x:c>
      <x:c r="AG538" s="38" t="n">
        <x:v>5.45</x:v>
      </x:c>
      <x:c r="AH538" s="38" t="n">
        <x:f>IF(E538="Fason",L538*S538,0)</x:f>
        <x:v>0</x:v>
      </x:c>
      <x:c r="AI538" s="38" t="n">
        <x:f>IF(E538="Kurum içi",AC538*AD538+AE538*AF538+AB538*12%,0)</x:f>
        <x:v>18115.6190755</x:v>
      </x:c>
      <x:c r="AJ538" s="38" t="n">
        <x:f>V538*AG538</x:f>
        <x:v>868.9052789655359</x:v>
      </x:c>
      <x:c r="AK538" s="38" t="n">
        <x:f>AB538*2%</x:f>
        <x:v>2688.3814732499995</x:v>
      </x:c>
      <x:c r="AL538" s="38" t="n">
        <x:f>AB538+AH538+AI538+AJ538+AK538</x:f>
        <x:v>156091.9794902155</x:v>
      </x:c>
      <x:c r="AM538" s="38" t="n">
        <x:f>AL538/V538</x:f>
        <x:v>979.0495107066977</x:v>
      </x:c>
      <x:c r="AN538" s="40" t="n">
        <x:f>(W538+X538)/AL538*100</x:f>
        <x:v>74.74864050097703</x:v>
      </x:c>
      <x:c r="AO538" s="28" t="str">
        <x:v>R01-R20; ilgili satırdaki bölgesel fiyat ve maliyet varsayımları</x:v>
      </x:c>
      <x:c r="AP538" s="28" t="str">
        <x:v>Girdi miktarları, alım fiyatı değişimi, fason bedeli ve parti sonucu simüle edilmiştir; işletme kaydı değildir.</x:v>
      </x:c>
    </x:row>
    <x:row r="539" ht="22" customHeight="1">
      <x:c r="A539" t="str">
        <x:v>SUC-0538</x:v>
      </x:c>
      <x:c r="B539" s="36" t="n">
        <x:v>46305</x:v>
      </x:c>
      <x:c r="C539" t="str">
        <x:v>Karadeniz</x:v>
      </x:c>
      <x:c r="D539" t="str">
        <x:v>MEB_STANDART</x:v>
      </x:c>
      <x:c r="E539" t="str">
        <x:v>Kurum içi</x:v>
      </x:c>
      <x:c r="F539" s="42" t="str">
        <x:v>SENTETİK/SİMÜLE — gerçek parti kaydı değildir</x:v>
      </x:c>
      <x:c r="G539" s="38" t="n">
        <x:v>122.07</x:v>
      </x:c>
      <x:c r="H539" s="38" t="n">
        <x:v>37.638</x:v>
      </x:c>
      <x:c r="I539" s="38" t="n">
        <x:v>7.538</x:v>
      </x:c>
      <x:c r="J539" s="38" t="n">
        <x:v>4.508</x:v>
      </x:c>
      <x:c r="K539" s="38" t="n">
        <x:v>1.739</x:v>
      </x:c>
      <x:c r="L539" s="38" t="n">
        <x:f>SUM(G539:K539)</x:f>
        <x:v>173.49300000000002</x:v>
      </x:c>
      <x:c r="M539" s="38" t="n">
        <x:v>206.145</x:v>
      </x:c>
      <x:c r="N539" s="38" t="n">
        <x:v>616.34</x:v>
      </x:c>
      <x:c r="O539" s="38" t="n">
        <x:v>465.96</x:v>
      </x:c>
      <x:c r="P539" s="38" t="n">
        <x:v>550</x:v>
      </x:c>
      <x:c r="Q539" s="38" t="n">
        <x:v>19.88</x:v>
      </x:c>
      <x:c r="R539" s="38" t="n">
        <x:v>43.7475</x:v>
      </x:c>
      <x:c r="S539" s="38" t="n">
        <x:v>92.47</x:v>
      </x:c>
      <x:c r="T539" s="40" t="n">
        <x:v>16.81</x:v>
      </x:c>
      <x:c r="U539" s="40" t="n">
        <x:v>1.75</x:v>
      </x:c>
      <x:c r="V539" s="38" t="n">
        <x:f>L539*(1-T539/100)*(1-U539/100)</x:f>
        <x:v>141.80307223275003</x:v>
      </x:c>
      <x:c r="W539" s="38" t="n">
        <x:f>G539*N539</x:f>
        <x:v>75236.6238</x:v>
      </x:c>
      <x:c r="X539" s="38" t="n">
        <x:f>H539*O539</x:f>
        <x:v>17537.80248</x:v>
      </x:c>
      <x:c r="Y539" s="38" t="n">
        <x:f>I539*P539</x:f>
        <x:v>4145.900000000001</x:v>
      </x:c>
      <x:c r="Z539" s="38" t="n">
        <x:f>J539*Q539+K539*P539</x:f>
        <x:v>1046.06904</x:v>
      </x:c>
      <x:c r="AA539" s="38" t="n">
        <x:f>M539*R539</x:f>
        <x:v>9018.328387500002</x:v>
      </x:c>
      <x:c r="AB539" s="38" t="n">
        <x:f>SUM(W539:AA539)</x:f>
        <x:v>106984.7237075</x:v>
      </x:c>
      <x:c r="AC539" s="38" t="n">
        <x:v>6.71</x:v>
      </x:c>
      <x:c r="AD539" s="38" t="n">
        <x:v>174.33</x:v>
      </x:c>
      <x:c r="AE539" s="38" t="n">
        <x:v>50.79</x:v>
      </x:c>
      <x:c r="AF539" s="38" t="n">
        <x:v>4.8148</x:v>
      </x:c>
      <x:c r="AG539" s="38" t="n">
        <x:v>5.54</x:v>
      </x:c>
      <x:c r="AH539" s="38" t="n">
        <x:f>IF(E539="Fason",L539*S539,0)</x:f>
        <x:v>0</x:v>
      </x:c>
      <x:c r="AI539" s="38" t="n">
        <x:f>IF(E539="Kurum içi",AC539*AD539+AE539*AF539+AB539*12%,0)</x:f>
        <x:v>14252.464836899999</x:v>
      </x:c>
      <x:c r="AJ539" s="38" t="n">
        <x:f>V539*AG539</x:f>
        <x:v>785.5890201694351</x:v>
      </x:c>
      <x:c r="AK539" s="38" t="n">
        <x:f>AB539*2%</x:f>
        <x:v>2139.69447415</x:v>
      </x:c>
      <x:c r="AL539" s="38" t="n">
        <x:f>AB539+AH539+AI539+AJ539+AK539</x:f>
        <x:v>124162.47203871945</x:v>
      </x:c>
      <x:c r="AM539" s="38" t="n">
        <x:f>AL539/V539</x:f>
        <x:v>875.5978984356842</x:v>
      </x:c>
      <x:c r="AN539" s="40" t="n">
        <x:f>(W539+X539)/AL539*100</x:f>
        <x:v>74.72018296403502</x:v>
      </x:c>
      <x:c r="AO539" s="28" t="str">
        <x:v>R01-R20; ilgili satırdaki bölgesel fiyat ve maliyet varsayımları</x:v>
      </x:c>
      <x:c r="AP539" s="28" t="str">
        <x:v>Girdi miktarları, alım fiyatı değişimi, fason bedeli ve parti sonucu simüle edilmiştir; işletme kaydı değildir.</x:v>
      </x:c>
    </x:row>
    <x:row r="540" ht="22" customHeight="1">
      <x:c r="A540" t="str">
        <x:v>SUC-0539</x:v>
      </x:c>
      <x:c r="B540" s="36" t="n">
        <x:v>46276</x:v>
      </x:c>
      <x:c r="C540" t="str">
        <x:v>Ege</x:v>
      </x:c>
      <x:c r="D540" t="str">
        <x:v>MEB_STANDART</x:v>
      </x:c>
      <x:c r="E540" t="str">
        <x:v>Fason</x:v>
      </x:c>
      <x:c r="F540" s="42" t="str">
        <x:v>SENTETİK/SİMÜLE — gerçek parti kaydı değildir</x:v>
      </x:c>
      <x:c r="G540" s="38" t="n">
        <x:v>201.759</x:v>
      </x:c>
      <x:c r="H540" s="38" t="n">
        <x:v>65.364</x:v>
      </x:c>
      <x:c r="I540" s="38" t="n">
        <x:v>12.582</x:v>
      </x:c>
      <x:c r="J540" s="38" t="n">
        <x:v>7.444</x:v>
      </x:c>
      <x:c r="K540" s="38" t="n">
        <x:v>3.209</x:v>
      </x:c>
      <x:c r="L540" s="38" t="n">
        <x:f>SUM(G540:K540)</x:f>
        <x:v>290.358</x:v>
      </x:c>
      <x:c r="M540" s="38" t="n">
        <x:v>348.886</x:v>
      </x:c>
      <x:c r="N540" s="38" t="n">
        <x:v>591.21</x:v>
      </x:c>
      <x:c r="O540" s="38" t="n">
        <x:v>462.82</x:v>
      </x:c>
      <x:c r="P540" s="38" t="n">
        <x:v>550</x:v>
      </x:c>
      <x:c r="Q540" s="38" t="n">
        <x:v>19.88</x:v>
      </x:c>
      <x:c r="R540" s="38" t="n">
        <x:v>43.7475</x:v>
      </x:c>
      <x:c r="S540" s="38" t="n">
        <x:v>118.37</x:v>
      </x:c>
      <x:c r="T540" s="40" t="n">
        <x:v>27.45</x:v>
      </x:c>
      <x:c r="U540" s="40" t="n">
        <x:v>1.66</x:v>
      </x:c>
      <x:c r="V540" s="38" t="n">
        <x:f>L540*(1-T540/100)*(1-U540/100)</x:f>
        <x:v>207.1578604986</x:v>
      </x:c>
      <x:c r="W540" s="38" t="n">
        <x:f>G540*N540</x:f>
        <x:v>119281.93839</x:v>
      </x:c>
      <x:c r="X540" s="38" t="n">
        <x:f>H540*O540</x:f>
        <x:v>30251.766480000002</x:v>
      </x:c>
      <x:c r="Y540" s="38" t="n">
        <x:f>I540*P540</x:f>
        <x:v>6920.1</x:v>
      </x:c>
      <x:c r="Z540" s="38" t="n">
        <x:f>J540*Q540+K540*P540</x:f>
        <x:v>1912.9367200000002</x:v>
      </x:c>
      <x:c r="AA540" s="38" t="n">
        <x:f>M540*R540</x:f>
        <x:v>15262.890285000001</x:v>
      </x:c>
      <x:c r="AB540" s="38" t="n">
        <x:f>SUM(W540:AA540)</x:f>
        <x:v>173629.631875</x:v>
      </x:c>
      <x:c r="AC540" s="38" t="n">
        <x:v>12.08</x:v>
      </x:c>
      <x:c r="AD540" s="38" t="n">
        <x:v>174.33</x:v>
      </x:c>
      <x:c r="AE540" s="38" t="n">
        <x:v>121.53</x:v>
      </x:c>
      <x:c r="AF540" s="38" t="n">
        <x:v>4.8148</x:v>
      </x:c>
      <x:c r="AG540" s="38" t="n">
        <x:v>5.84</x:v>
      </x:c>
      <x:c r="AH540" s="38" t="n">
        <x:f>IF(E540="Fason",L540*S540,0)</x:f>
        <x:v>34369.67646</x:v>
      </x:c>
      <x:c r="AI540" s="38" t="n">
        <x:f>IF(E540="Kurum içi",AC540*AD540+AE540*AF540+AB540*12%,0)</x:f>
        <x:v>0</x:v>
      </x:c>
      <x:c r="AJ540" s="38" t="n">
        <x:f>V540*AG540</x:f>
        <x:v>1209.801905311824</x:v>
      </x:c>
      <x:c r="AK540" s="38" t="n">
        <x:f>AB540*2%</x:f>
        <x:v>3472.5926375</x:v>
      </x:c>
      <x:c r="AL540" s="38" t="n">
        <x:f>AB540+AH540+AI540+AJ540+AK540</x:f>
        <x:v>212681.70287781183</x:v>
      </x:c>
      <x:c r="AM540" s="38" t="n">
        <x:f>AL540/V540</x:f>
        <x:v>1026.6648939408658</x:v>
      </x:c>
      <x:c r="AN540" s="40" t="n">
        <x:f>(W540+X540)/AL540*100</x:f>
        <x:v>70.30868327959028</x:v>
      </x:c>
      <x:c r="AO540" s="28" t="str">
        <x:v>R01-R20; ilgili satırdaki bölgesel fiyat ve maliyet varsayımları</x:v>
      </x:c>
      <x:c r="AP540" s="28" t="str">
        <x:v>Girdi miktarları, alım fiyatı değişimi, fason bedeli ve parti sonucu simüle edilmiştir; işletme kaydı değildir.</x:v>
      </x:c>
    </x:row>
    <x:row r="541" ht="22" customHeight="1">
      <x:c r="A541" t="str">
        <x:v>SUC-0540</x:v>
      </x:c>
      <x:c r="B541" s="36" t="n">
        <x:v>46283</x:v>
      </x:c>
      <x:c r="C541" t="str">
        <x:v>İç Anadolu</x:v>
      </x:c>
      <x:c r="D541" t="str">
        <x:v>MEB_STANDART</x:v>
      </x:c>
      <x:c r="E541" t="str">
        <x:v>Kurum içi</x:v>
      </x:c>
      <x:c r="F541" s="42" t="str">
        <x:v>SENTETİK/SİMÜLE — gerçek parti kaydı değildir</x:v>
      </x:c>
      <x:c r="G541" s="38" t="n">
        <x:v>240.413</x:v>
      </x:c>
      <x:c r="H541" s="38" t="n">
        <x:v>75.28</x:v>
      </x:c>
      <x:c r="I541" s="38" t="n">
        <x:v>14.639</x:v>
      </x:c>
      <x:c r="J541" s="38" t="n">
        <x:v>8.702</x:v>
      </x:c>
      <x:c r="K541" s="38" t="n">
        <x:v>3.794</x:v>
      </x:c>
      <x:c r="L541" s="38" t="n">
        <x:f>SUM(G541:K541)</x:f>
        <x:v>342.828</x:v>
      </x:c>
      <x:c r="M541" s="38" t="n">
        <x:v>408.703</x:v>
      </x:c>
      <x:c r="N541" s="38" t="n">
        <x:v>595.56</x:v>
      </x:c>
      <x:c r="O541" s="38" t="n">
        <x:v>460.01</x:v>
      </x:c>
      <x:c r="P541" s="38" t="n">
        <x:v>400</x:v>
      </x:c>
      <x:c r="Q541" s="38" t="n">
        <x:v>19.88</x:v>
      </x:c>
      <x:c r="R541" s="38" t="n">
        <x:v>43.7475</x:v>
      </x:c>
      <x:c r="S541" s="38" t="n">
        <x:v>119.02</x:v>
      </x:c>
      <x:c r="T541" s="40" t="n">
        <x:v>20.32</x:v>
      </x:c>
      <x:c r="U541" s="40" t="n">
        <x:v>1.37</x:v>
      </x:c>
      <x:c r="V541" s="38" t="n">
        <x:f>L541*(1-T541/100)*(1-U541/100)</x:f>
        <x:v>269.42298509951996</x:v>
      </x:c>
      <x:c r="W541" s="38" t="n">
        <x:f>G541*N541</x:f>
        <x:v>143180.36628</x:v>
      </x:c>
      <x:c r="X541" s="38" t="n">
        <x:f>H541*O541</x:f>
        <x:v>34629.5528</x:v>
      </x:c>
      <x:c r="Y541" s="38" t="n">
        <x:f>I541*P541</x:f>
        <x:v>5855.599999999999</x:v>
      </x:c>
      <x:c r="Z541" s="38" t="n">
        <x:f>J541*Q541+K541*P541</x:f>
        <x:v>1690.59576</x:v>
      </x:c>
      <x:c r="AA541" s="38" t="n">
        <x:f>M541*R541</x:f>
        <x:v>17879.7344925</x:v>
      </x:c>
      <x:c r="AB541" s="38" t="n">
        <x:f>SUM(W541:AA541)</x:f>
        <x:v>203235.8493325</x:v>
      </x:c>
      <x:c r="AC541" s="38" t="n">
        <x:v>16.38</x:v>
      </x:c>
      <x:c r="AD541" s="38" t="n">
        <x:v>174.33</x:v>
      </x:c>
      <x:c r="AE541" s="38" t="n">
        <x:v>99.82</x:v>
      </x:c>
      <x:c r="AF541" s="38" t="n">
        <x:v>4.8148</x:v>
      </x:c>
      <x:c r="AG541" s="38" t="n">
        <x:v>5.15</x:v>
      </x:c>
      <x:c r="AH541" s="38" t="n">
        <x:f>IF(E541="Fason",L541*S541,0)</x:f>
        <x:v>0</x:v>
      </x:c>
      <x:c r="AI541" s="38" t="n">
        <x:f>IF(E541="Kurum içi",AC541*AD541+AE541*AF541+AB541*12%,0)</x:f>
        <x:v>27724.440655899998</x:v>
      </x:c>
      <x:c r="AJ541" s="38" t="n">
        <x:f>V541*AG541</x:f>
        <x:v>1387.5283732625278</x:v>
      </x:c>
      <x:c r="AK541" s="38" t="n">
        <x:f>AB541*2%</x:f>
        <x:v>4064.71698665</x:v>
      </x:c>
      <x:c r="AL541" s="38" t="n">
        <x:f>AB541+AH541+AI541+AJ541+AK541</x:f>
        <x:v>236412.5353483125</x:v>
      </x:c>
      <x:c r="AM541" s="38" t="n">
        <x:f>AL541/V541</x:f>
        <x:v>877.4772325419302</x:v>
      </x:c>
      <x:c r="AN541" s="40" t="n">
        <x:f>(W541+X541)/AL541*100</x:f>
        <x:v>75.21171363355509</x:v>
      </x:c>
      <x:c r="AO541" s="28" t="str">
        <x:v>R01-R20; ilgili satırdaki bölgesel fiyat ve maliyet varsayımları</x:v>
      </x:c>
      <x:c r="AP541" s="28" t="str">
        <x:v>Girdi miktarları, alım fiyatı değişimi, fason bedeli ve parti sonucu simüle edilmiştir; işletme kaydı değildir.</x:v>
      </x:c>
    </x:row>
    <x:row r="542" ht="22" customHeight="1">
      <x:c r="A542" t="str">
        <x:v>SUC-0541</x:v>
      </x:c>
      <x:c r="B542" s="36" t="n">
        <x:v>46306</x:v>
      </x:c>
      <x:c r="C542" t="str">
        <x:v>Akdeniz</x:v>
      </x:c>
      <x:c r="D542" t="str">
        <x:v>ERZURUM_CI</x:v>
      </x:c>
      <x:c r="E542" t="str">
        <x:v>Fason</x:v>
      </x:c>
      <x:c r="F542" s="42" t="str">
        <x:v>SENTETİK/SİMÜLE — gerçek parti kaydı değildir</x:v>
      </x:c>
      <x:c r="G542" s="38" t="n">
        <x:v>389.303</x:v>
      </x:c>
      <x:c r="H542" s="38" t="n">
        <x:v>70.556</x:v>
      </x:c>
      <x:c r="I542" s="38" t="n">
        <x:v>24.239</x:v>
      </x:c>
      <x:c r="J542" s="38" t="n">
        <x:v>8.789</x:v>
      </x:c>
      <x:c r="K542" s="38" t="n">
        <x:v>0.049</x:v>
      </x:c>
      <x:c r="L542" s="38" t="n">
        <x:f>SUM(G542:K542)</x:f>
        <x:v>492.9359999999999</x:v>
      </x:c>
      <x:c r="M542" s="38" t="n">
        <x:v>645.496</x:v>
      </x:c>
      <x:c r="N542" s="38" t="n">
        <x:v>605.41</x:v>
      </x:c>
      <x:c r="O542" s="38" t="n">
        <x:v>423.9</x:v>
      </x:c>
      <x:c r="P542" s="38" t="n">
        <x:v>550</x:v>
      </x:c>
      <x:c r="Q542" s="38" t="n">
        <x:v>19.88</x:v>
      </x:c>
      <x:c r="R542" s="38" t="n">
        <x:v>43.7475</x:v>
      </x:c>
      <x:c r="S542" s="38" t="n">
        <x:v>111.64</x:v>
      </x:c>
      <x:c r="T542" s="40" t="n">
        <x:v>18.53</x:v>
      </x:c>
      <x:c r="U542" s="40" t="n">
        <x:v>1.31</x:v>
      </x:c>
      <x:c r="V542" s="38" t="n">
        <x:f>L542*(1-T542/100)*(1-U542/100)</x:f>
        <x:v>396.33406523447997</x:v>
      </x:c>
      <x:c r="W542" s="38" t="n">
        <x:f>G542*N542</x:f>
        <x:v>235687.92922999998</x:v>
      </x:c>
      <x:c r="X542" s="38" t="n">
        <x:f>H542*O542</x:f>
        <x:v>29908.6884</x:v>
      </x:c>
      <x:c r="Y542" s="38" t="n">
        <x:f>I542*P542</x:f>
        <x:v>13331.45</x:v>
      </x:c>
      <x:c r="Z542" s="38" t="n">
        <x:f>J542*Q542+K542*P542</x:f>
        <x:v>201.67531999999997</x:v>
      </x:c>
      <x:c r="AA542" s="38" t="n">
        <x:f>M542*R542</x:f>
        <x:v>28238.83626</x:v>
      </x:c>
      <x:c r="AB542" s="38" t="n">
        <x:f>SUM(W542:AA542)</x:f>
        <x:v>307368.57921</x:v>
      </x:c>
      <x:c r="AC542" s="38" t="n">
        <x:v>31.57</x:v>
      </x:c>
      <x:c r="AD542" s="38" t="n">
        <x:v>174.33</x:v>
      </x:c>
      <x:c r="AE542" s="38" t="n">
        <x:v>127.84</x:v>
      </x:c>
      <x:c r="AF542" s="38" t="n">
        <x:v>4.8148</x:v>
      </x:c>
      <x:c r="AG542" s="38" t="n">
        <x:v>5.63</x:v>
      </x:c>
      <x:c r="AH542" s="38" t="n">
        <x:f>IF(E542="Fason",L542*S542,0)</x:f>
        <x:v>55031.37503999999</x:v>
      </x:c>
      <x:c r="AI542" s="38" t="n">
        <x:f>IF(E542="Kurum içi",AC542*AD542+AE542*AF542+AB542*12%,0)</x:f>
        <x:v>0</x:v>
      </x:c>
      <x:c r="AJ542" s="38" t="n">
        <x:f>V542*AG542</x:f>
        <x:v>2231.3607872701223</x:v>
      </x:c>
      <x:c r="AK542" s="38" t="n">
        <x:f>AB542*2%</x:f>
        <x:v>6147.3715842</x:v>
      </x:c>
      <x:c r="AL542" s="38" t="n">
        <x:f>AB542+AH542+AI542+AJ542+AK542</x:f>
        <x:v>370778.68662147014</x:v>
      </x:c>
      <x:c r="AM542" s="38" t="n">
        <x:f>AL542/V542</x:f>
        <x:v>935.5206103772819</x:v>
      </x:c>
      <x:c r="AN542" s="40" t="n">
        <x:f>(W542+X542)/AL542*100</x:f>
        <x:v>71.63211565640744</x:v>
      </x:c>
      <x:c r="AO542" s="28" t="str">
        <x:v>R01-R20; ilgili satırdaki bölgesel fiyat ve maliyet varsayımları</x:v>
      </x:c>
      <x:c r="AP542" s="28" t="str">
        <x:v>Girdi miktarları, alım fiyatı değişimi, fason bedeli ve parti sonucu simüle edilmiştir; işletme kaydı değildir.</x:v>
      </x:c>
    </x:row>
    <x:row r="543" ht="22" customHeight="1">
      <x:c r="A543" t="str">
        <x:v>SUC-0542</x:v>
      </x:c>
      <x:c r="B543" s="36" t="n">
        <x:v>46295</x:v>
      </x:c>
      <x:c r="C543" t="str">
        <x:v>Karadeniz</x:v>
      </x:c>
      <x:c r="D543" t="str">
        <x:v>MEB_STANDART</x:v>
      </x:c>
      <x:c r="E543" t="str">
        <x:v>Kurum içi</x:v>
      </x:c>
      <x:c r="F543" s="42" t="str">
        <x:v>SENTETİK/SİMÜLE — gerçek parti kaydı değildir</x:v>
      </x:c>
      <x:c r="G543" s="38" t="n">
        <x:v>270.399</x:v>
      </x:c>
      <x:c r="H543" s="38" t="n">
        <x:v>84.147</x:v>
      </x:c>
      <x:c r="I543" s="38" t="n">
        <x:v>18.124</x:v>
      </x:c>
      <x:c r="J543" s="38" t="n">
        <x:v>9.255</x:v>
      </x:c>
      <x:c r="K543" s="38" t="n">
        <x:v>3.78</x:v>
      </x:c>
      <x:c r="L543" s="38" t="n">
        <x:f>SUM(G543:K543)</x:f>
        <x:v>385.705</x:v>
      </x:c>
      <x:c r="M543" s="38" t="n">
        <x:v>494.683</x:v>
      </x:c>
      <x:c r="N543" s="38" t="n">
        <x:v>591.77</x:v>
      </x:c>
      <x:c r="O543" s="38" t="n">
        <x:v>447.54</x:v>
      </x:c>
      <x:c r="P543" s="38" t="n">
        <x:v>669.9</x:v>
      </x:c>
      <x:c r="Q543" s="38" t="n">
        <x:v>19.88</x:v>
      </x:c>
      <x:c r="R543" s="38" t="n">
        <x:v>43.7475</x:v>
      </x:c>
      <x:c r="S543" s="38" t="n">
        <x:v>88.9</x:v>
      </x:c>
      <x:c r="T543" s="40" t="n">
        <x:v>15.85</x:v>
      </x:c>
      <x:c r="U543" s="40" t="n">
        <x:v>1.56</x:v>
      </x:c>
      <x:c r="V543" s="38" t="n">
        <x:f>L543*(1-T543/100)*(1-U543/100)</x:f>
        <x:v>319.50745368300005</x:v>
      </x:c>
      <x:c r="W543" s="38" t="n">
        <x:f>G543*N543</x:f>
        <x:v>160014.01623</x:v>
      </x:c>
      <x:c r="X543" s="38" t="n">
        <x:f>H543*O543</x:f>
        <x:v>37659.148380000006</x:v>
      </x:c>
      <x:c r="Y543" s="38" t="n">
        <x:f>I543*P543</x:f>
        <x:v>12141.2676</x:v>
      </x:c>
      <x:c r="Z543" s="38" t="n">
        <x:f>J543*Q543+K543*P543</x:f>
        <x:v>2716.2113999999997</x:v>
      </x:c>
      <x:c r="AA543" s="38" t="n">
        <x:f>M543*R543</x:f>
        <x:v>21641.144542500002</x:v>
      </x:c>
      <x:c r="AB543" s="38" t="n">
        <x:f>SUM(W543:AA543)</x:f>
        <x:v>234171.7881525</x:v>
      </x:c>
      <x:c r="AC543" s="38" t="n">
        <x:v>14.81</x:v>
      </x:c>
      <x:c r="AD543" s="38" t="n">
        <x:v>174.33</x:v>
      </x:c>
      <x:c r="AE543" s="38" t="n">
        <x:v>146.89</x:v>
      </x:c>
      <x:c r="AF543" s="38" t="n">
        <x:v>4.8148</x:v>
      </x:c>
      <x:c r="AG543" s="38" t="n">
        <x:v>5.67</x:v>
      </x:c>
      <x:c r="AH543" s="38" t="n">
        <x:f>IF(E543="Fason",L543*S543,0)</x:f>
        <x:v>0</x:v>
      </x:c>
      <x:c r="AI543" s="38" t="n">
        <x:f>IF(E543="Kurum içi",AC543*AD543+AE543*AF543+AB543*12%,0)</x:f>
        <x:v>31389.6878503</x:v>
      </x:c>
      <x:c r="AJ543" s="38" t="n">
        <x:f>V543*AG543</x:f>
        <x:v>1811.6072623826103</x:v>
      </x:c>
      <x:c r="AK543" s="38" t="n">
        <x:f>AB543*2%</x:f>
        <x:v>4683.43576305</x:v>
      </x:c>
      <x:c r="AL543" s="38" t="n">
        <x:f>AB543+AH543+AI543+AJ543+AK543</x:f>
        <x:v>272056.5190282326</x:v>
      </x:c>
      <x:c r="AM543" s="38" t="n">
        <x:f>AL543/V543</x:f>
        <x:v>851.4872372841543</x:v>
      </x:c>
      <x:c r="AN543" s="40" t="n">
        <x:f>(W543+X543)/AL543*100</x:f>
        <x:v>72.65885975314067</x:v>
      </x:c>
      <x:c r="AO543" s="28" t="str">
        <x:v>R01-R20; ilgili satırdaki bölgesel fiyat ve maliyet varsayımları</x:v>
      </x:c>
      <x:c r="AP543" s="28" t="str">
        <x:v>Girdi miktarları, alım fiyatı değişimi, fason bedeli ve parti sonucu simüle edilmiştir; işletme kaydı değildir.</x:v>
      </x:c>
    </x:row>
    <x:row r="544" ht="22" customHeight="1">
      <x:c r="A544" t="str">
        <x:v>SUC-0543</x:v>
      </x:c>
      <x:c r="B544" s="36" t="n">
        <x:v>46299</x:v>
      </x:c>
      <x:c r="C544" t="str">
        <x:v>Doğu Anadolu</x:v>
      </x:c>
      <x:c r="D544" t="str">
        <x:v>MEB_STANDART</x:v>
      </x:c>
      <x:c r="E544" t="str">
        <x:v>Kurum içi</x:v>
      </x:c>
      <x:c r="F544" s="42" t="str">
        <x:v>SENTETİK/SİMÜLE — gerçek parti kaydı değildir</x:v>
      </x:c>
      <x:c r="G544" s="38" t="n">
        <x:v>111.157</x:v>
      </x:c>
      <x:c r="H544" s="38" t="n">
        <x:v>35.577</x:v>
      </x:c>
      <x:c r="I544" s="38" t="n">
        <x:v>7.58</x:v>
      </x:c>
      <x:c r="J544" s="38" t="n">
        <x:v>3.791</x:v>
      </x:c>
      <x:c r="K544" s="38" t="n">
        <x:v>1.516</x:v>
      </x:c>
      <x:c r="L544" s="38" t="n">
        <x:f>SUM(G544:K544)</x:f>
        <x:v>159.62099999999998</x:v>
      </x:c>
      <x:c r="M544" s="38" t="n">
        <x:v>203.044</x:v>
      </x:c>
      <x:c r="N544" s="38" t="n">
        <x:v>607.04</x:v>
      </x:c>
      <x:c r="O544" s="38" t="n">
        <x:v>411.61</x:v>
      </x:c>
      <x:c r="P544" s="38" t="n">
        <x:v>400</x:v>
      </x:c>
      <x:c r="Q544" s="38" t="n">
        <x:v>19.88</x:v>
      </x:c>
      <x:c r="R544" s="38" t="n">
        <x:v>43.7475</x:v>
      </x:c>
      <x:c r="S544" s="38" t="n">
        <x:v>102.68</x:v>
      </x:c>
      <x:c r="T544" s="40" t="n">
        <x:v>19.16</x:v>
      </x:c>
      <x:c r="U544" s="40" t="n">
        <x:v>1.41</x:v>
      </x:c>
      <x:c r="V544" s="38" t="n">
        <x:f>L544*(1-T544/100)*(1-U544/100)</x:f>
        <x:v>127.21818600875999</x:v>
      </x:c>
      <x:c r="W544" s="38" t="n">
        <x:f>G544*N544</x:f>
        <x:v>67476.74527999999</x:v>
      </x:c>
      <x:c r="X544" s="38" t="n">
        <x:f>H544*O544</x:f>
        <x:v>14643.84897</x:v>
      </x:c>
      <x:c r="Y544" s="38" t="n">
        <x:f>I544*P544</x:f>
        <x:v>3032</x:v>
      </x:c>
      <x:c r="Z544" s="38" t="n">
        <x:f>J544*Q544+K544*P544</x:f>
        <x:v>681.76508</x:v>
      </x:c>
      <x:c r="AA544" s="38" t="n">
        <x:f>M544*R544</x:f>
        <x:v>8882.66739</x:v>
      </x:c>
      <x:c r="AB544" s="38" t="n">
        <x:f>SUM(W544:AA544)</x:f>
        <x:v>94717.02672</x:v>
      </x:c>
      <x:c r="AC544" s="38" t="n">
        <x:v>9.76</x:v>
      </x:c>
      <x:c r="AD544" s="38" t="n">
        <x:v>174.33</x:v>
      </x:c>
      <x:c r="AE544" s="38" t="n">
        <x:v>48.09</x:v>
      </x:c>
      <x:c r="AF544" s="38" t="n">
        <x:v>4.8148</x:v>
      </x:c>
      <x:c r="AG544" s="38" t="n">
        <x:v>5.13</x:v>
      </x:c>
      <x:c r="AH544" s="38" t="n">
        <x:f>IF(E544="Fason",L544*S544,0)</x:f>
        <x:v>0</x:v>
      </x:c>
      <x:c r="AI544" s="38" t="n">
        <x:f>IF(E544="Kurum içi",AC544*AD544+AE544*AF544+AB544*12%,0)</x:f>
        <x:v>13299.0477384</x:v>
      </x:c>
      <x:c r="AJ544" s="38" t="n">
        <x:f>V544*AG544</x:f>
        <x:v>652.6292942249387</x:v>
      </x:c>
      <x:c r="AK544" s="38" t="n">
        <x:f>AB544*2%</x:f>
        <x:v>1894.3405344</x:v>
      </x:c>
      <x:c r="AL544" s="38" t="n">
        <x:f>AB544+AH544+AI544+AJ544+AK544</x:f>
        <x:v>110563.04428702494</x:v>
      </x:c>
      <x:c r="AM544" s="38" t="n">
        <x:f>AL544/V544</x:f>
        <x:v>869.0820688121728</x:v>
      </x:c>
      <x:c r="AN544" s="40" t="n">
        <x:f>(W544+X544)/AL544*100</x:f>
        <x:v>74.2749033183389</x:v>
      </x:c>
      <x:c r="AO544" s="28" t="str">
        <x:v>R01-R20; ilgili satırdaki bölgesel fiyat ve maliyet varsayımları</x:v>
      </x:c>
      <x:c r="AP544" s="28" t="str">
        <x:v>Girdi miktarları, alım fiyatı değişimi, fason bedeli ve parti sonucu simüle edilmiştir; işletme kaydı değildir.</x:v>
      </x:c>
    </x:row>
    <x:row r="545" ht="22" customHeight="1">
      <x:c r="A545" t="str">
        <x:v>SUC-0544</x:v>
      </x:c>
      <x:c r="B545" s="36" t="n">
        <x:v>46303</x:v>
      </x:c>
      <x:c r="C545" t="str">
        <x:v>Karadeniz</x:v>
      </x:c>
      <x:c r="D545" t="str">
        <x:v>ERZURUM_CI</x:v>
      </x:c>
      <x:c r="E545" t="str">
        <x:v>Kurum içi</x:v>
      </x:c>
      <x:c r="F545" s="42" t="str">
        <x:v>SENTETİK/SİMÜLE — gerçek parti kaydı değildir</x:v>
      </x:c>
      <x:c r="G545" s="38" t="n">
        <x:v>168.727</x:v>
      </x:c>
      <x:c r="H545" s="38" t="n">
        <x:v>29.554</x:v>
      </x:c>
      <x:c r="I545" s="38" t="n">
        <x:v>10.405</x:v>
      </x:c>
      <x:c r="J545" s="38" t="n">
        <x:v>3.38</x:v>
      </x:c>
      <x:c r="K545" s="38" t="n">
        <x:v>0.336</x:v>
      </x:c>
      <x:c r="L545" s="38" t="n">
        <x:f>SUM(G545:K545)</x:f>
        <x:v>212.40200000000002</x:v>
      </x:c>
      <x:c r="M545" s="38" t="n">
        <x:v>265.485</x:v>
      </x:c>
      <x:c r="N545" s="38" t="n">
        <x:v>601.02</x:v>
      </x:c>
      <x:c r="O545" s="38" t="n">
        <x:v>467.02</x:v>
      </x:c>
      <x:c r="P545" s="38" t="n">
        <x:v>400</x:v>
      </x:c>
      <x:c r="Q545" s="38" t="n">
        <x:v>19.88</x:v>
      </x:c>
      <x:c r="R545" s="38" t="n">
        <x:v>43.7475</x:v>
      </x:c>
      <x:c r="S545" s="38" t="n">
        <x:v>93.83</x:v>
      </x:c>
      <x:c r="T545" s="40" t="n">
        <x:v>15.9</x:v>
      </x:c>
      <x:c r="U545" s="40" t="n">
        <x:v>1.42</x:v>
      </x:c>
      <x:c r="V545" s="38" t="n">
        <x:f>L545*(1-T545/100)*(1-U545/100)</x:f>
        <x:v>176.09353483560002</x:v>
      </x:c>
      <x:c r="W545" s="38" t="n">
        <x:f>G545*N545</x:f>
        <x:v>101408.30154</x:v>
      </x:c>
      <x:c r="X545" s="38" t="n">
        <x:f>H545*O545</x:f>
        <x:v>13802.309079999999</x:v>
      </x:c>
      <x:c r="Y545" s="38" t="n">
        <x:f>I545*P545</x:f>
        <x:v>4162</x:v>
      </x:c>
      <x:c r="Z545" s="38" t="n">
        <x:f>J545*Q545+K545*P545</x:f>
        <x:v>201.5944</x:v>
      </x:c>
      <x:c r="AA545" s="38" t="n">
        <x:f>M545*R545</x:f>
        <x:v>11614.305037500002</x:v>
      </x:c>
      <x:c r="AB545" s="38" t="n">
        <x:f>SUM(W545:AA545)</x:f>
        <x:v>131188.51005749998</x:v>
      </x:c>
      <x:c r="AC545" s="38" t="n">
        <x:v>12.68</x:v>
      </x:c>
      <x:c r="AD545" s="38" t="n">
        <x:v>174.33</x:v>
      </x:c>
      <x:c r="AE545" s="38" t="n">
        <x:v>60.79</x:v>
      </x:c>
      <x:c r="AF545" s="38" t="n">
        <x:v>4.8148</x:v>
      </x:c>
      <x:c r="AG545" s="38" t="n">
        <x:v>5.74</x:v>
      </x:c>
      <x:c r="AH545" s="38" t="n">
        <x:f>IF(E545="Fason",L545*S545,0)</x:f>
        <x:v>0</x:v>
      </x:c>
      <x:c r="AI545" s="38" t="n">
        <x:f>IF(E545="Kurum içi",AC545*AD545+AE545*AF545+AB545*12%,0)</x:f>
        <x:v>18245.817298899998</x:v>
      </x:c>
      <x:c r="AJ545" s="38" t="n">
        <x:f>V545*AG545</x:f>
        <x:v>1010.7768899563442</x:v>
      </x:c>
      <x:c r="AK545" s="38" t="n">
        <x:f>AB545*2%</x:f>
        <x:v>2623.7702011499996</x:v>
      </x:c>
      <x:c r="AL545" s="38" t="n">
        <x:f>AB545+AH545+AI545+AJ545+AK545</x:f>
        <x:v>153068.87444750633</x:v>
      </x:c>
      <x:c r="AM545" s="38" t="n">
        <x:f>AL545/V545</x:f>
        <x:v>869.2475540934005</x:v>
      </x:c>
      <x:c r="AN545" s="40" t="n">
        <x:f>(W545+X545)/AL545*100</x:f>
        <x:v>75.26717043935048</x:v>
      </x:c>
      <x:c r="AO545" s="28" t="str">
        <x:v>R01-R20; ilgili satırdaki bölgesel fiyat ve maliyet varsayımları</x:v>
      </x:c>
      <x:c r="AP545" s="28" t="str">
        <x:v>Girdi miktarları, alım fiyatı değişimi, fason bedeli ve parti sonucu simüle edilmiştir; işletme kaydı değildir.</x:v>
      </x:c>
    </x:row>
    <x:row r="546" ht="22" customHeight="1">
      <x:c r="A546" t="str">
        <x:v>SUC-0545</x:v>
      </x:c>
      <x:c r="B546" s="36" t="n">
        <x:v>46294</x:v>
      </x:c>
      <x:c r="C546" t="str">
        <x:v>Karadeniz</x:v>
      </x:c>
      <x:c r="D546" t="str">
        <x:v>MEB_STANDART</x:v>
      </x:c>
      <x:c r="E546" t="str">
        <x:v>Kurum içi</x:v>
      </x:c>
      <x:c r="F546" s="42" t="str">
        <x:v>SENTETİK/SİMÜLE — gerçek parti kaydı değildir</x:v>
      </x:c>
      <x:c r="G546" s="38" t="n">
        <x:v>125.522</x:v>
      </x:c>
      <x:c r="H546" s="38" t="n">
        <x:v>37.805</x:v>
      </x:c>
      <x:c r="I546" s="38" t="n">
        <x:v>7.612</x:v>
      </x:c>
      <x:c r="J546" s="38" t="n">
        <x:v>4.719</x:v>
      </x:c>
      <x:c r="K546" s="38" t="n">
        <x:v>1.688</x:v>
      </x:c>
      <x:c r="L546" s="38" t="n">
        <x:f>SUM(G546:K546)</x:f>
        <x:v>177.34599999999998</x:v>
      </x:c>
      <x:c r="M546" s="38" t="n">
        <x:v>227.07</x:v>
      </x:c>
      <x:c r="N546" s="38" t="n">
        <x:v>599.45</x:v>
      </x:c>
      <x:c r="O546" s="38" t="n">
        <x:v>436.25</x:v>
      </x:c>
      <x:c r="P546" s="38" t="n">
        <x:v>550</x:v>
      </x:c>
      <x:c r="Q546" s="38" t="n">
        <x:v>19.88</x:v>
      </x:c>
      <x:c r="R546" s="38" t="n">
        <x:v>43.7475</x:v>
      </x:c>
      <x:c r="S546" s="38" t="n">
        <x:v>73.42</x:v>
      </x:c>
      <x:c r="T546" s="40" t="n">
        <x:v>18.48</x:v>
      </x:c>
      <x:c r="U546" s="40" t="n">
        <x:v>0.43</x:v>
      </x:c>
      <x:c r="V546" s="38" t="n">
        <x:f>L546*(1-T546/100)*(1-U546/100)</x:f>
        <x:v>143.95079762544</x:v>
      </x:c>
      <x:c r="W546" s="38" t="n">
        <x:f>G546*N546</x:f>
        <x:v>75244.16290000001</x:v>
      </x:c>
      <x:c r="X546" s="38" t="n">
        <x:f>H546*O546</x:f>
        <x:v>16492.43125</x:v>
      </x:c>
      <x:c r="Y546" s="38" t="n">
        <x:f>I546*P546</x:f>
        <x:v>4186.6</x:v>
      </x:c>
      <x:c r="Z546" s="38" t="n">
        <x:f>J546*Q546+K546*P546</x:f>
        <x:v>1022.21372</x:v>
      </x:c>
      <x:c r="AA546" s="38" t="n">
        <x:f>M546*R546</x:f>
        <x:v>9933.744825</x:v>
      </x:c>
      <x:c r="AB546" s="38" t="n">
        <x:f>SUM(W546:AA546)</x:f>
        <x:v>106879.15269500003</x:v>
      </x:c>
      <x:c r="AC546" s="38" t="n">
        <x:v>10.11</x:v>
      </x:c>
      <x:c r="AD546" s="38" t="n">
        <x:v>174.33</x:v>
      </x:c>
      <x:c r="AE546" s="38" t="n">
        <x:v>66.72</x:v>
      </x:c>
      <x:c r="AF546" s="38" t="n">
        <x:v>4.8148</x:v>
      </x:c>
      <x:c r="AG546" s="38" t="n">
        <x:v>5.4</x:v>
      </x:c>
      <x:c r="AH546" s="38" t="n">
        <x:f>IF(E546="Fason",L546*S546,0)</x:f>
        <x:v>0</x:v>
      </x:c>
      <x:c r="AI546" s="38" t="n">
        <x:f>IF(E546="Kurum içi",AC546*AD546+AE546*AF546+AB546*12%,0)</x:f>
        <x:v>14909.218079400003</x:v>
      </x:c>
      <x:c r="AJ546" s="38" t="n">
        <x:f>V546*AG546</x:f>
        <x:v>777.3343071773761</x:v>
      </x:c>
      <x:c r="AK546" s="38" t="n">
        <x:f>AB546*2%</x:f>
        <x:v>2137.583053900001</x:v>
      </x:c>
      <x:c r="AL546" s="38" t="n">
        <x:f>AB546+AH546+AI546+AJ546+AK546</x:f>
        <x:v>124703.2881354774</x:v>
      </x:c>
      <x:c r="AM546" s="38" t="n">
        <x:f>AL546/V546</x:f>
        <x:v>866.2910535581426</x:v>
      </x:c>
      <x:c r="AN546" s="40" t="n">
        <x:f>(W546+X546)/AL546*100</x:f>
        <x:v>73.56389356015823</x:v>
      </x:c>
      <x:c r="AO546" s="28" t="str">
        <x:v>R01-R20; ilgili satırdaki bölgesel fiyat ve maliyet varsayımları</x:v>
      </x:c>
      <x:c r="AP546" s="28" t="str">
        <x:v>Girdi miktarları, alım fiyatı değişimi, fason bedeli ve parti sonucu simüle edilmiştir; işletme kaydı değildir.</x:v>
      </x:c>
    </x:row>
    <x:row r="547" ht="22" customHeight="1">
      <x:c r="A547" t="str">
        <x:v>SUC-0546</x:v>
      </x:c>
      <x:c r="B547" s="36" t="n">
        <x:v>46316</x:v>
      </x:c>
      <x:c r="C547" t="str">
        <x:v>Karadeniz</x:v>
      </x:c>
      <x:c r="D547" t="str">
        <x:v>MEB_STANDART</x:v>
      </x:c>
      <x:c r="E547" t="str">
        <x:v>Kurum içi</x:v>
      </x:c>
      <x:c r="F547" s="42" t="str">
        <x:v>SENTETİK/SİMÜLE — gerçek parti kaydı değildir</x:v>
      </x:c>
      <x:c r="G547" s="38" t="n">
        <x:v>275.52</x:v>
      </x:c>
      <x:c r="H547" s="38" t="n">
        <x:v>83.406</x:v>
      </x:c>
      <x:c r="I547" s="38" t="n">
        <x:v>17.804</x:v>
      </x:c>
      <x:c r="J547" s="38" t="n">
        <x:v>10.249</x:v>
      </x:c>
      <x:c r="K547" s="38" t="n">
        <x:v>4.405</x:v>
      </x:c>
      <x:c r="L547" s="38" t="n">
        <x:f>SUM(G547:K547)</x:f>
        <x:v>391.38399999999996</x:v>
      </x:c>
      <x:c r="M547" s="38" t="n">
        <x:v>488.333</x:v>
      </x:c>
      <x:c r="N547" s="38" t="n">
        <x:v>599.06</x:v>
      </x:c>
      <x:c r="O547" s="38" t="n">
        <x:v>419.01</x:v>
      </x:c>
      <x:c r="P547" s="38" t="n">
        <x:v>550</x:v>
      </x:c>
      <x:c r="Q547" s="38" t="n">
        <x:v>19.88</x:v>
      </x:c>
      <x:c r="R547" s="38" t="n">
        <x:v>43.7475</x:v>
      </x:c>
      <x:c r="S547" s="38" t="n">
        <x:v>109.61</x:v>
      </x:c>
      <x:c r="T547" s="40" t="n">
        <x:v>15.95</x:v>
      </x:c>
      <x:c r="U547" s="40" t="n">
        <x:v>0.44</x:v>
      </x:c>
      <x:c r="V547" s="38" t="n">
        <x:f>L547*(1-T547/100)*(1-U547/100)</x:f>
        <x:v>327.5108356912</x:v>
      </x:c>
      <x:c r="W547" s="38" t="n">
        <x:f>G547*N547</x:f>
        <x:v>165053.01119999998</x:v>
      </x:c>
      <x:c r="X547" s="38" t="n">
        <x:f>H547*O547</x:f>
        <x:v>34947.94806</x:v>
      </x:c>
      <x:c r="Y547" s="38" t="n">
        <x:f>I547*P547</x:f>
        <x:v>9792.199999999999</x:v>
      </x:c>
      <x:c r="Z547" s="38" t="n">
        <x:f>J547*Q547+K547*P547</x:f>
        <x:v>2626.50012</x:v>
      </x:c>
      <x:c r="AA547" s="38" t="n">
        <x:f>M547*R547</x:f>
        <x:v>21363.347917500003</x:v>
      </x:c>
      <x:c r="AB547" s="38" t="n">
        <x:f>SUM(W547:AA547)</x:f>
        <x:v>233783.0072975</x:v>
      </x:c>
      <x:c r="AC547" s="38" t="n">
        <x:v>24</x:v>
      </x:c>
      <x:c r="AD547" s="38" t="n">
        <x:v>174.33</x:v>
      </x:c>
      <x:c r="AE547" s="38" t="n">
        <x:v>185.86</x:v>
      </x:c>
      <x:c r="AF547" s="38" t="n">
        <x:v>4.8148</x:v>
      </x:c>
      <x:c r="AG547" s="38" t="n">
        <x:v>5.47</x:v>
      </x:c>
      <x:c r="AH547" s="38" t="n">
        <x:f>IF(E547="Fason",L547*S547,0)</x:f>
        <x:v>0</x:v>
      </x:c>
      <x:c r="AI547" s="38" t="n">
        <x:f>IF(E547="Kurum içi",AC547*AD547+AE547*AF547+AB547*12%,0)</x:f>
        <x:v>33132.7596037</x:v>
      </x:c>
      <x:c r="AJ547" s="38" t="n">
        <x:f>V547*AG547</x:f>
        <x:v>1791.484271230864</x:v>
      </x:c>
      <x:c r="AK547" s="38" t="n">
        <x:f>AB547*2%</x:f>
        <x:v>4675.660145950001</x:v>
      </x:c>
      <x:c r="AL547" s="38" t="n">
        <x:f>AB547+AH547+AI547+AJ547+AK547</x:f>
        <x:v>273382.91131838085</x:v>
      </x:c>
      <x:c r="AM547" s="38" t="n">
        <x:f>AL547/V547</x:f>
        <x:v>834.7293632023378</x:v>
      </x:c>
      <x:c r="AN547" s="40" t="n">
        <x:f>(W547+X547)/AL547*100</x:f>
        <x:v>73.15781308184238</x:v>
      </x:c>
      <x:c r="AO547" s="28" t="str">
        <x:v>R01-R20; ilgili satırdaki bölgesel fiyat ve maliyet varsayımları</x:v>
      </x:c>
      <x:c r="AP547" s="28" t="str">
        <x:v>Girdi miktarları, alım fiyatı değişimi, fason bedeli ve parti sonucu simüle edilmiştir; işletme kaydı değildir.</x:v>
      </x:c>
    </x:row>
    <x:row r="548" ht="22" customHeight="1">
      <x:c r="A548" t="str">
        <x:v>SUC-0547</x:v>
      </x:c>
      <x:c r="B548" s="36" t="n">
        <x:v>46313</x:v>
      </x:c>
      <x:c r="C548" t="str">
        <x:v>Doğu Anadolu</x:v>
      </x:c>
      <x:c r="D548" t="str">
        <x:v>MEB_STANDART</x:v>
      </x:c>
      <x:c r="E548" t="str">
        <x:v>Kurum içi</x:v>
      </x:c>
      <x:c r="F548" s="42" t="str">
        <x:v>SENTETİK/SİMÜLE — gerçek parti kaydı değildir</x:v>
      </x:c>
      <x:c r="G548" s="38" t="n">
        <x:v>64.707</x:v>
      </x:c>
      <x:c r="H548" s="38" t="n">
        <x:v>20.24</x:v>
      </x:c>
      <x:c r="I548" s="38" t="n">
        <x:v>4.381</x:v>
      </x:c>
      <x:c r="J548" s="38" t="n">
        <x:v>2.144</x:v>
      </x:c>
      <x:c r="K548" s="38" t="n">
        <x:v>0.929</x:v>
      </x:c>
      <x:c r="L548" s="38" t="n">
        <x:f>SUM(G548:K548)</x:f>
        <x:v>92.401</x:v>
      </x:c>
      <x:c r="M548" s="38" t="n">
        <x:v>114.607</x:v>
      </x:c>
      <x:c r="N548" s="38" t="n">
        <x:v>586.79</x:v>
      </x:c>
      <x:c r="O548" s="38" t="n">
        <x:v>416.93</x:v>
      </x:c>
      <x:c r="P548" s="38" t="n">
        <x:v>669.9</x:v>
      </x:c>
      <x:c r="Q548" s="38" t="n">
        <x:v>19.88</x:v>
      </x:c>
      <x:c r="R548" s="38" t="n">
        <x:v>43.7475</x:v>
      </x:c>
      <x:c r="S548" s="38" t="n">
        <x:v>97.65</x:v>
      </x:c>
      <x:c r="T548" s="40" t="n">
        <x:v>25.34</x:v>
      </x:c>
      <x:c r="U548" s="40" t="n">
        <x:v>1.17</x:v>
      </x:c>
      <x:c r="V548" s="38" t="n">
        <x:f>L548*(1-T548/100)*(1-U548/100)</x:f>
        <x:v>68.17944353678</x:v>
      </x:c>
      <x:c r="W548" s="38" t="n">
        <x:f>G548*N548</x:f>
        <x:v>37969.420529999996</x:v>
      </x:c>
      <x:c r="X548" s="38" t="n">
        <x:f>H548*O548</x:f>
        <x:v>8438.663199999999</x:v>
      </x:c>
      <x:c r="Y548" s="38" t="n">
        <x:f>I548*P548</x:f>
        <x:v>2934.8319</x:v>
      </x:c>
      <x:c r="Z548" s="38" t="n">
        <x:f>J548*Q548+K548*P548</x:f>
        <x:v>664.9598199999999</x:v>
      </x:c>
      <x:c r="AA548" s="38" t="n">
        <x:f>M548*R548</x:f>
        <x:v>5013.7697325</x:v>
      </x:c>
      <x:c r="AB548" s="38" t="n">
        <x:f>SUM(W548:AA548)</x:f>
        <x:v>55021.64518249999</x:v>
      </x:c>
      <x:c r="AC548" s="38" t="n">
        <x:v>3.73</x:v>
      </x:c>
      <x:c r="AD548" s="38" t="n">
        <x:v>174.33</x:v>
      </x:c>
      <x:c r="AE548" s="38" t="n">
        <x:v>26.86</x:v>
      </x:c>
      <x:c r="AF548" s="38" t="n">
        <x:v>4.8148</x:v>
      </x:c>
      <x:c r="AG548" s="38" t="n">
        <x:v>5.45</x:v>
      </x:c>
      <x:c r="AH548" s="38" t="n">
        <x:f>IF(E548="Fason",L548*S548,0)</x:f>
        <x:v>0</x:v>
      </x:c>
      <x:c r="AI548" s="38" t="n">
        <x:f>IF(E548="Kurum içi",AC548*AD548+AE548*AF548+AB548*12%,0)</x:f>
        <x:v>7382.1738498999985</x:v>
      </x:c>
      <x:c r="AJ548" s="38" t="n">
        <x:f>V548*AG548</x:f>
        <x:v>371.577967275451</x:v>
      </x:c>
      <x:c r="AK548" s="38" t="n">
        <x:f>AB548*2%</x:f>
        <x:v>1100.4329036499998</x:v>
      </x:c>
      <x:c r="AL548" s="38" t="n">
        <x:f>AB548+AH548+AI548+AJ548+AK548</x:f>
        <x:v>63875.82990332544</x:v>
      </x:c>
      <x:c r="AM548" s="38" t="n">
        <x:f>AL548/V548</x:f>
        <x:v>936.8781349596534</x:v>
      </x:c>
      <x:c r="AN548" s="40" t="n">
        <x:f>(W548+X548)/AL548*100</x:f>
        <x:v>72.65359025508951</x:v>
      </x:c>
      <x:c r="AO548" s="28" t="str">
        <x:v>R01-R20; ilgili satırdaki bölgesel fiyat ve maliyet varsayımları</x:v>
      </x:c>
      <x:c r="AP548" s="28" t="str">
        <x:v>Girdi miktarları, alım fiyatı değişimi, fason bedeli ve parti sonucu simüle edilmiştir; işletme kaydı değildir.</x:v>
      </x:c>
    </x:row>
    <x:row r="549" ht="22" customHeight="1">
      <x:c r="A549" t="str">
        <x:v>SUC-0548</x:v>
      </x:c>
      <x:c r="B549" s="36" t="n">
        <x:v>46310</x:v>
      </x:c>
      <x:c r="C549" t="str">
        <x:v>Karadeniz</x:v>
      </x:c>
      <x:c r="D549" t="str">
        <x:v>MEB_STANDART</x:v>
      </x:c>
      <x:c r="E549" t="str">
        <x:v>Kurum içi</x:v>
      </x:c>
      <x:c r="F549" s="42" t="str">
        <x:v>SENTETİK/SİMÜLE — gerçek parti kaydı değildir</x:v>
      </x:c>
      <x:c r="G549" s="38" t="n">
        <x:v>267.669</x:v>
      </x:c>
      <x:c r="H549" s="38" t="n">
        <x:v>82.232</x:v>
      </x:c>
      <x:c r="I549" s="38" t="n">
        <x:v>18.634</x:v>
      </x:c>
      <x:c r="J549" s="38" t="n">
        <x:v>10.446</x:v>
      </x:c>
      <x:c r="K549" s="38" t="n">
        <x:v>4.163</x:v>
      </x:c>
      <x:c r="L549" s="38" t="n">
        <x:f>SUM(G549:K549)</x:f>
        <x:v>383.144</x:v>
      </x:c>
      <x:c r="M549" s="38" t="n">
        <x:v>480.597</x:v>
      </x:c>
      <x:c r="N549" s="38" t="n">
        <x:v>597.48</x:v>
      </x:c>
      <x:c r="O549" s="38" t="n">
        <x:v>476.73</x:v>
      </x:c>
      <x:c r="P549" s="38" t="n">
        <x:v>550</x:v>
      </x:c>
      <x:c r="Q549" s="38" t="n">
        <x:v>19.88</x:v>
      </x:c>
      <x:c r="R549" s="38" t="n">
        <x:v>43.7475</x:v>
      </x:c>
      <x:c r="S549" s="38" t="n">
        <x:v>92.66</x:v>
      </x:c>
      <x:c r="T549" s="40" t="n">
        <x:v>26.07</x:v>
      </x:c>
      <x:c r="U549" s="40" t="n">
        <x:v>1.77</x:v>
      </x:c>
      <x:c r="V549" s="38" t="n">
        <x:f>L549*(1-T549/100)*(1-U549/100)</x:f>
        <x:v>278.24468624216</x:v>
      </x:c>
      <x:c r="W549" s="38" t="n">
        <x:f>G549*N549</x:f>
        <x:v>159926.87412</x:v>
      </x:c>
      <x:c r="X549" s="38" t="n">
        <x:f>H549*O549</x:f>
        <x:v>39202.46136</x:v>
      </x:c>
      <x:c r="Y549" s="38" t="n">
        <x:f>I549*P549</x:f>
        <x:v>10248.7</x:v>
      </x:c>
      <x:c r="Z549" s="38" t="n">
        <x:f>J549*Q549+K549*P549</x:f>
        <x:v>2497.31648</x:v>
      </x:c>
      <x:c r="AA549" s="38" t="n">
        <x:f>M549*R549</x:f>
        <x:v>21024.9172575</x:v>
      </x:c>
      <x:c r="AB549" s="38" t="n">
        <x:f>SUM(W549:AA549)</x:f>
        <x:v>232900.26921750003</x:v>
      </x:c>
      <x:c r="AC549" s="38" t="n">
        <x:v>21.33</x:v>
      </x:c>
      <x:c r="AD549" s="38" t="n">
        <x:v>174.33</x:v>
      </x:c>
      <x:c r="AE549" s="38" t="n">
        <x:v>96.69</x:v>
      </x:c>
      <x:c r="AF549" s="38" t="n">
        <x:v>4.8148</x:v>
      </x:c>
      <x:c r="AG549" s="38" t="n">
        <x:v>5.71</x:v>
      </x:c>
      <x:c r="AH549" s="38" t="n">
        <x:f>IF(E549="Fason",L549*S549,0)</x:f>
        <x:v>0</x:v>
      </x:c>
      <x:c r="AI549" s="38" t="n">
        <x:f>IF(E549="Kurum içi",AC549*AD549+AE549*AF549+AB549*12%,0)</x:f>
        <x:v>32132.0342181</x:v>
      </x:c>
      <x:c r="AJ549" s="38" t="n">
        <x:f>V549*AG549</x:f>
        <x:v>1588.7771584427337</x:v>
      </x:c>
      <x:c r="AK549" s="38" t="n">
        <x:f>AB549*2%</x:f>
        <x:v>4658.005384350001</x:v>
      </x:c>
      <x:c r="AL549" s="38" t="n">
        <x:f>AB549+AH549+AI549+AJ549+AK549</x:f>
        <x:v>271279.08597839274</x:v>
      </x:c>
      <x:c r="AM549" s="38" t="n">
        <x:f>AL549/V549</x:f>
        <x:v>974.9659180994925</x:v>
      </x:c>
      <x:c r="AN549" s="40" t="n">
        <x:f>(W549+X549)/AL549*100</x:f>
        <x:v>73.40386552904434</x:v>
      </x:c>
      <x:c r="AO549" s="28" t="str">
        <x:v>R01-R20; ilgili satırdaki bölgesel fiyat ve maliyet varsayımları</x:v>
      </x:c>
      <x:c r="AP549" s="28" t="str">
        <x:v>Girdi miktarları, alım fiyatı değişimi, fason bedeli ve parti sonucu simüle edilmiştir; işletme kaydı değildir.</x:v>
      </x:c>
    </x:row>
    <x:row r="550" ht="22" customHeight="1">
      <x:c r="A550" t="str">
        <x:v>SUC-0549</x:v>
      </x:c>
      <x:c r="B550" s="36" t="n">
        <x:v>46295</x:v>
      </x:c>
      <x:c r="C550" t="str">
        <x:v>Karadeniz</x:v>
      </x:c>
      <x:c r="D550" t="str">
        <x:v>ERZURUM_CI</x:v>
      </x:c>
      <x:c r="E550" t="str">
        <x:v>Kurum içi</x:v>
      </x:c>
      <x:c r="F550" s="42" t="str">
        <x:v>SENTETİK/SİMÜLE — gerçek parti kaydı değildir</x:v>
      </x:c>
      <x:c r="G550" s="38" t="n">
        <x:v>255.207</x:v>
      </x:c>
      <x:c r="H550" s="38" t="n">
        <x:v>44.972</x:v>
      </x:c>
      <x:c r="I550" s="38" t="n">
        <x:v>15.269</x:v>
      </x:c>
      <x:c r="J550" s="38" t="n">
        <x:v>4.539</x:v>
      </x:c>
      <x:c r="K550" s="38" t="n">
        <x:v>0.499</x:v>
      </x:c>
      <x:c r="L550" s="38" t="n">
        <x:f>SUM(G550:K550)</x:f>
        <x:v>320.486</x:v>
      </x:c>
      <x:c r="M550" s="38" t="n">
        <x:v>375.801</x:v>
      </x:c>
      <x:c r="N550" s="38" t="n">
        <x:v>609.06</x:v>
      </x:c>
      <x:c r="O550" s="38" t="n">
        <x:v>473.7</x:v>
      </x:c>
      <x:c r="P550" s="38" t="n">
        <x:v>400</x:v>
      </x:c>
      <x:c r="Q550" s="38" t="n">
        <x:v>19.88</x:v>
      </x:c>
      <x:c r="R550" s="38" t="n">
        <x:v>43.7475</x:v>
      </x:c>
      <x:c r="S550" s="38" t="n">
        <x:v>98.21</x:v>
      </x:c>
      <x:c r="T550" s="40" t="n">
        <x:v>26.23</x:v>
      </x:c>
      <x:c r="U550" s="40" t="n">
        <x:v>1.25</x:v>
      </x:c>
      <x:c r="V550" s="38" t="n">
        <x:f>L550*(1-T550/100)*(1-U550/100)</x:f>
        <x:v>233.46724067250003</x:v>
      </x:c>
      <x:c r="W550" s="38" t="n">
        <x:f>G550*N550</x:f>
        <x:v>155436.37542</x:v>
      </x:c>
      <x:c r="X550" s="38" t="n">
        <x:f>H550*O550</x:f>
        <x:v>21303.2364</x:v>
      </x:c>
      <x:c r="Y550" s="38" t="n">
        <x:f>I550*P550</x:f>
        <x:v>6107.6</x:v>
      </x:c>
      <x:c r="Z550" s="38" t="n">
        <x:f>J550*Q550+K550*P550</x:f>
        <x:v>289.83531999999997</x:v>
      </x:c>
      <x:c r="AA550" s="38" t="n">
        <x:f>M550*R550</x:f>
        <x:v>16440.3542475</x:v>
      </x:c>
      <x:c r="AB550" s="38" t="n">
        <x:f>SUM(W550:AA550)</x:f>
        <x:v>199577.4013875</x:v>
      </x:c>
      <x:c r="AC550" s="38" t="n">
        <x:v>19.13</x:v>
      </x:c>
      <x:c r="AD550" s="38" t="n">
        <x:v>174.33</x:v>
      </x:c>
      <x:c r="AE550" s="38" t="n">
        <x:v>137.26</x:v>
      </x:c>
      <x:c r="AF550" s="38" t="n">
        <x:v>4.8148</x:v>
      </x:c>
      <x:c r="AG550" s="38" t="n">
        <x:v>5.28</x:v>
      </x:c>
      <x:c r="AH550" s="38" t="n">
        <x:f>IF(E550="Fason",L550*S550,0)</x:f>
        <x:v>0</x:v>
      </x:c>
      <x:c r="AI550" s="38" t="n">
        <x:f>IF(E550="Kurum içi",AC550*AD550+AE550*AF550+AB550*12%,0)</x:f>
        <x:v>27945.100514499998</x:v>
      </x:c>
      <x:c r="AJ550" s="38" t="n">
        <x:f>V550*AG550</x:f>
        <x:v>1232.7070307508002</x:v>
      </x:c>
      <x:c r="AK550" s="38" t="n">
        <x:f>AB550*2%</x:f>
        <x:v>3991.54802775</x:v>
      </x:c>
      <x:c r="AL550" s="38" t="n">
        <x:f>AB550+AH550+AI550+AJ550+AK550</x:f>
        <x:v>232746.7569605008</x:v>
      </x:c>
      <x:c r="AM550" s="38" t="n">
        <x:f>AL550/V550</x:f>
        <x:v>996.9139836924277</x:v>
      </x:c>
      <x:c r="AN550" s="40" t="n">
        <x:f>(W550+X550)/AL550*100</x:f>
        <x:v>75.9364444549465</x:v>
      </x:c>
      <x:c r="AO550" s="28" t="str">
        <x:v>R01-R20; ilgili satırdaki bölgesel fiyat ve maliyet varsayımları</x:v>
      </x:c>
      <x:c r="AP550" s="28" t="str">
        <x:v>Girdi miktarları, alım fiyatı değişimi, fason bedeli ve parti sonucu simüle edilmiştir; işletme kaydı değildir.</x:v>
      </x:c>
    </x:row>
    <x:row r="551" ht="22" customHeight="1">
      <x:c r="A551" t="str">
        <x:v>SUC-0550</x:v>
      </x:c>
      <x:c r="B551" s="36" t="n">
        <x:v>46304</x:v>
      </x:c>
      <x:c r="C551" t="str">
        <x:v>İç Anadolu</x:v>
      </x:c>
      <x:c r="D551" t="str">
        <x:v>MEB_STANDART</x:v>
      </x:c>
      <x:c r="E551" t="str">
        <x:v>Kurum içi</x:v>
      </x:c>
      <x:c r="F551" s="42" t="str">
        <x:v>SENTETİK/SİMÜLE — gerçek parti kaydı değildir</x:v>
      </x:c>
      <x:c r="G551" s="38" t="n">
        <x:v>243.238</x:v>
      </x:c>
      <x:c r="H551" s="38" t="n">
        <x:v>75.891</x:v>
      </x:c>
      <x:c r="I551" s="38" t="n">
        <x:v>16.424</x:v>
      </x:c>
      <x:c r="J551" s="38" t="n">
        <x:v>8.38</x:v>
      </x:c>
      <x:c r="K551" s="38" t="n">
        <x:v>3.592</x:v>
      </x:c>
      <x:c r="L551" s="38" t="n">
        <x:f>SUM(G551:K551)</x:f>
        <x:v>347.525</x:v>
      </x:c>
      <x:c r="M551" s="38" t="n">
        <x:v>424.862</x:v>
      </x:c>
      <x:c r="N551" s="38" t="n">
        <x:v>585.35</x:v>
      </x:c>
      <x:c r="O551" s="38" t="n">
        <x:v>466.77</x:v>
      </x:c>
      <x:c r="P551" s="38" t="n">
        <x:v>669.9</x:v>
      </x:c>
      <x:c r="Q551" s="38" t="n">
        <x:v>19.88</x:v>
      </x:c>
      <x:c r="R551" s="38" t="n">
        <x:v>43.7475</x:v>
      </x:c>
      <x:c r="S551" s="38" t="n">
        <x:v>76.47</x:v>
      </x:c>
      <x:c r="T551" s="40" t="n">
        <x:v>31.98</x:v>
      </x:c>
      <x:c r="U551" s="40" t="n">
        <x:v>0.97</x:v>
      </x:c>
      <x:c r="V551" s="38" t="n">
        <x:f>L551*(1-T551/100)*(1-U551/100)</x:f>
        <x:v>234.09355590149994</x:v>
      </x:c>
      <x:c r="W551" s="38" t="n">
        <x:f>G551*N551</x:f>
        <x:v>142379.3633</x:v>
      </x:c>
      <x:c r="X551" s="38" t="n">
        <x:f>H551*O551</x:f>
        <x:v>35423.64207</x:v>
      </x:c>
      <x:c r="Y551" s="38" t="n">
        <x:f>I551*P551</x:f>
        <x:v>11002.4376</x:v>
      </x:c>
      <x:c r="Z551" s="38" t="n">
        <x:f>J551*Q551+K551*P551</x:f>
        <x:v>2572.8752</x:v>
      </x:c>
      <x:c r="AA551" s="38" t="n">
        <x:f>M551*R551</x:f>
        <x:v>18586.650345000002</x:v>
      </x:c>
      <x:c r="AB551" s="38" t="n">
        <x:f>SUM(W551:AA551)</x:f>
        <x:v>209964.96851500002</x:v>
      </x:c>
      <x:c r="AC551" s="38" t="n">
        <x:v>19.58</x:v>
      </x:c>
      <x:c r="AD551" s="38" t="n">
        <x:v>174.33</x:v>
      </x:c>
      <x:c r="AE551" s="38" t="n">
        <x:v>80.07</x:v>
      </x:c>
      <x:c r="AF551" s="38" t="n">
        <x:v>4.8148</x:v>
      </x:c>
      <x:c r="AG551" s="38" t="n">
        <x:v>5.46</x:v>
      </x:c>
      <x:c r="AH551" s="38" t="n">
        <x:f>IF(E551="Fason",L551*S551,0)</x:f>
        <x:v>0</x:v>
      </x:c>
      <x:c r="AI551" s="38" t="n">
        <x:f>IF(E551="Kurum içi",AC551*AD551+AE551*AF551+AB551*12%,0)</x:f>
        <x:v>28994.6986578</x:v>
      </x:c>
      <x:c r="AJ551" s="38" t="n">
        <x:f>V551*AG551</x:f>
        <x:v>1278.1508152221897</x:v>
      </x:c>
      <x:c r="AK551" s="38" t="n">
        <x:f>AB551*2%</x:f>
        <x:v>4199.2993703</x:v>
      </x:c>
      <x:c r="AL551" s="38" t="n">
        <x:f>AB551+AH551+AI551+AJ551+AK551</x:f>
        <x:v>244437.1173583222</x:v>
      </x:c>
      <x:c r="AM551" s="38" t="n">
        <x:f>AL551/V551</x:f>
        <x:v>1044.1855881807123</x:v>
      </x:c>
      <x:c r="AN551" s="40" t="n">
        <x:f>(W551+X551)/AL551*100</x:f>
        <x:v>72.73977344011844</x:v>
      </x:c>
      <x:c r="AO551" s="28" t="str">
        <x:v>R01-R20; ilgili satırdaki bölgesel fiyat ve maliyet varsayımları</x:v>
      </x:c>
      <x:c r="AP551" s="28" t="str">
        <x:v>Girdi miktarları, alım fiyatı değişimi, fason bedeli ve parti sonucu simüle edilmiştir; işletme kaydı değildir.</x:v>
      </x:c>
    </x:row>
    <x:row r="552" ht="22" customHeight="1">
      <x:c r="A552" t="str">
        <x:v>SUC-0551</x:v>
      </x:c>
      <x:c r="B552" s="36" t="n">
        <x:v>46314</x:v>
      </x:c>
      <x:c r="C552" t="str">
        <x:v>İç Anadolu</x:v>
      </x:c>
      <x:c r="D552" t="str">
        <x:v>MEB_STANDART</x:v>
      </x:c>
      <x:c r="E552" t="str">
        <x:v>Fason</x:v>
      </x:c>
      <x:c r="F552" s="42" t="str">
        <x:v>SENTETİK/SİMÜLE — gerçek parti kaydı değildir</x:v>
      </x:c>
      <x:c r="G552" s="38" t="n">
        <x:v>232.501</x:v>
      </x:c>
      <x:c r="H552" s="38" t="n">
        <x:v>75.697</x:v>
      </x:c>
      <x:c r="I552" s="38" t="n">
        <x:v>14.542</x:v>
      </x:c>
      <x:c r="J552" s="38" t="n">
        <x:v>8.545</x:v>
      </x:c>
      <x:c r="K552" s="38" t="n">
        <x:v>3.579</x:v>
      </x:c>
      <x:c r="L552" s="38" t="n">
        <x:f>SUM(G552:K552)</x:f>
        <x:v>334.864</x:v>
      </x:c>
      <x:c r="M552" s="38" t="n">
        <x:v>428.789</x:v>
      </x:c>
      <x:c r="N552" s="38" t="n">
        <x:v>606.19</x:v>
      </x:c>
      <x:c r="O552" s="38" t="n">
        <x:v>454.79</x:v>
      </x:c>
      <x:c r="P552" s="38" t="n">
        <x:v>400</x:v>
      </x:c>
      <x:c r="Q552" s="38" t="n">
        <x:v>19.88</x:v>
      </x:c>
      <x:c r="R552" s="38" t="n">
        <x:v>43.7475</x:v>
      </x:c>
      <x:c r="S552" s="38" t="n">
        <x:v>99.15</x:v>
      </x:c>
      <x:c r="T552" s="40" t="n">
        <x:v>27.31</x:v>
      </x:c>
      <x:c r="U552" s="40" t="n">
        <x:v>1.02</x:v>
      </x:c>
      <x:c r="V552" s="38" t="n">
        <x:f>L552*(1-T552/100)*(1-U552/100)</x:f>
        <x:v>240.92983265567997</x:v>
      </x:c>
      <x:c r="W552" s="38" t="n">
        <x:f>G552*N552</x:f>
        <x:v>140939.78119</x:v>
      </x:c>
      <x:c r="X552" s="38" t="n">
        <x:f>H552*O552</x:f>
        <x:v>34426.23863</x:v>
      </x:c>
      <x:c r="Y552" s="38" t="n">
        <x:f>I552*P552</x:f>
        <x:v>5816.8</x:v>
      </x:c>
      <x:c r="Z552" s="38" t="n">
        <x:f>J552*Q552+K552*P552</x:f>
        <x:v>1601.4746</x:v>
      </x:c>
      <x:c r="AA552" s="38" t="n">
        <x:f>M552*R552</x:f>
        <x:v>18758.4467775</x:v>
      </x:c>
      <x:c r="AB552" s="38" t="n">
        <x:f>SUM(W552:AA552)</x:f>
        <x:v>201542.7411975</x:v>
      </x:c>
      <x:c r="AC552" s="38" t="n">
        <x:v>15.93</x:v>
      </x:c>
      <x:c r="AD552" s="38" t="n">
        <x:v>174.33</x:v>
      </x:c>
      <x:c r="AE552" s="38" t="n">
        <x:v>137.66</x:v>
      </x:c>
      <x:c r="AF552" s="38" t="n">
        <x:v>4.8148</x:v>
      </x:c>
      <x:c r="AG552" s="38" t="n">
        <x:v>5.59</x:v>
      </x:c>
      <x:c r="AH552" s="38" t="n">
        <x:f>IF(E552="Fason",L552*S552,0)</x:f>
        <x:v>33201.7656</x:v>
      </x:c>
      <x:c r="AI552" s="38" t="n">
        <x:f>IF(E552="Kurum içi",AC552*AD552+AE552*AF552+AB552*12%,0)</x:f>
        <x:v>0</x:v>
      </x:c>
      <x:c r="AJ552" s="38" t="n">
        <x:f>V552*AG552</x:f>
        <x:v>1346.797764545251</x:v>
      </x:c>
      <x:c r="AK552" s="38" t="n">
        <x:f>AB552*2%</x:f>
        <x:v>4030.85482395</x:v>
      </x:c>
      <x:c r="AL552" s="38" t="n">
        <x:f>AB552+AH552+AI552+AJ552+AK552</x:f>
        <x:v>240122.15938599527</x:v>
      </x:c>
      <x:c r="AM552" s="38" t="n">
        <x:f>AL552/V552</x:f>
        <x:v>996.6476826021003</x:v>
      </x:c>
      <x:c r="AN552" s="40" t="n">
        <x:f>(W552+X552)/AL552*100</x:f>
        <x:v>73.03200182291378</x:v>
      </x:c>
      <x:c r="AO552" s="28" t="str">
        <x:v>R01-R20; ilgili satırdaki bölgesel fiyat ve maliyet varsayımları</x:v>
      </x:c>
      <x:c r="AP552" s="28" t="str">
        <x:v>Girdi miktarları, alım fiyatı değişimi, fason bedeli ve parti sonucu simüle edilmiştir; işletme kaydı değildir.</x:v>
      </x:c>
    </x:row>
    <x:row r="553" ht="22" customHeight="1">
      <x:c r="A553" t="str">
        <x:v>SUC-0552</x:v>
      </x:c>
      <x:c r="B553" s="36" t="n">
        <x:v>46313</x:v>
      </x:c>
      <x:c r="C553" t="str">
        <x:v>Akdeniz</x:v>
      </x:c>
      <x:c r="D553" t="str">
        <x:v>MEB_STANDART</x:v>
      </x:c>
      <x:c r="E553" t="str">
        <x:v>Kurum içi</x:v>
      </x:c>
      <x:c r="F553" s="42" t="str">
        <x:v>SENTETİK/SİMÜLE — gerçek parti kaydı değildir</x:v>
      </x:c>
      <x:c r="G553" s="38" t="n">
        <x:v>270.273</x:v>
      </x:c>
      <x:c r="H553" s="38" t="n">
        <x:v>89.204</x:v>
      </x:c>
      <x:c r="I553" s="38" t="n">
        <x:v>16.4</x:v>
      </x:c>
      <x:c r="J553" s="38" t="n">
        <x:v>10.407</x:v>
      </x:c>
      <x:c r="K553" s="38" t="n">
        <x:v>3.544</x:v>
      </x:c>
      <x:c r="L553" s="38" t="n">
        <x:f>SUM(G553:K553)</x:f>
        <x:v>389.828</x:v>
      </x:c>
      <x:c r="M553" s="38" t="n">
        <x:v>449.328</x:v>
      </x:c>
      <x:c r="N553" s="38" t="n">
        <x:v>606.62</x:v>
      </x:c>
      <x:c r="O553" s="38" t="n">
        <x:v>455.64</x:v>
      </x:c>
      <x:c r="P553" s="38" t="n">
        <x:v>550</x:v>
      </x:c>
      <x:c r="Q553" s="38" t="n">
        <x:v>19.88</x:v>
      </x:c>
      <x:c r="R553" s="38" t="n">
        <x:v>43.7475</x:v>
      </x:c>
      <x:c r="S553" s="38" t="n">
        <x:v>112.72</x:v>
      </x:c>
      <x:c r="T553" s="40" t="n">
        <x:v>18.3</x:v>
      </x:c>
      <x:c r="U553" s="40" t="n">
        <x:v>0.88</x:v>
      </x:c>
      <x:c r="V553" s="38" t="n">
        <x:f>L553*(1-T553/100)*(1-U553/100)</x:f>
        <x:v>315.68676861119997</x:v>
      </x:c>
      <x:c r="W553" s="38" t="n">
        <x:f>G553*N553</x:f>
        <x:v>163953.00726</x:v>
      </x:c>
      <x:c r="X553" s="38" t="n">
        <x:f>H553*O553</x:f>
        <x:v>40644.91056</x:v>
      </x:c>
      <x:c r="Y553" s="38" t="n">
        <x:f>I553*P553</x:f>
        <x:v>9020</x:v>
      </x:c>
      <x:c r="Z553" s="38" t="n">
        <x:f>J553*Q553+K553*P553</x:f>
        <x:v>2156.09116</x:v>
      </x:c>
      <x:c r="AA553" s="38" t="n">
        <x:f>M553*R553</x:f>
        <x:v>19656.97668</x:v>
      </x:c>
      <x:c r="AB553" s="38" t="n">
        <x:f>SUM(W553:AA553)</x:f>
        <x:v>235430.98566</x:v>
      </x:c>
      <x:c r="AC553" s="38" t="n">
        <x:v>16.38</x:v>
      </x:c>
      <x:c r="AD553" s="38" t="n">
        <x:v>174.33</x:v>
      </x:c>
      <x:c r="AE553" s="38" t="n">
        <x:v>106.74</x:v>
      </x:c>
      <x:c r="AF553" s="38" t="n">
        <x:v>4.8148</x:v>
      </x:c>
      <x:c r="AG553" s="38" t="n">
        <x:v>5.45</x:v>
      </x:c>
      <x:c r="AH553" s="38" t="n">
        <x:f>IF(E553="Fason",L553*S553,0)</x:f>
        <x:v>0</x:v>
      </x:c>
      <x:c r="AI553" s="38" t="n">
        <x:f>IF(E553="Kurum içi",AC553*AD553+AE553*AF553+AB553*12%,0)</x:f>
        <x:v>31621.175431199998</x:v>
      </x:c>
      <x:c r="AJ553" s="38" t="n">
        <x:f>V553*AG553</x:f>
        <x:v>1720.49288893104</x:v>
      </x:c>
      <x:c r="AK553" s="38" t="n">
        <x:f>AB553*2%</x:f>
        <x:v>4708.619713200001</x:v>
      </x:c>
      <x:c r="AL553" s="38" t="n">
        <x:f>AB553+AH553+AI553+AJ553+AK553</x:f>
        <x:v>273481.2736933311</x:v>
      </x:c>
      <x:c r="AM553" s="38" t="n">
        <x:f>AL553/V553</x:f>
        <x:v>866.3057843585166</x:v>
      </x:c>
      <x:c r="AN553" s="40" t="n">
        <x:f>(W553+X553)/AL553*100</x:f>
        <x:v>74.81240490689918</x:v>
      </x:c>
      <x:c r="AO553" s="28" t="str">
        <x:v>R01-R20; ilgili satırdaki bölgesel fiyat ve maliyet varsayımları</x:v>
      </x:c>
      <x:c r="AP553" s="28" t="str">
        <x:v>Girdi miktarları, alım fiyatı değişimi, fason bedeli ve parti sonucu simüle edilmiştir; işletme kaydı değildir.</x:v>
      </x:c>
    </x:row>
    <x:row r="554" ht="22" customHeight="1">
      <x:c r="A554" t="str">
        <x:v>SUC-0553</x:v>
      </x:c>
      <x:c r="B554" s="36" t="n">
        <x:v>46272</x:v>
      </x:c>
      <x:c r="C554" t="str">
        <x:v>Akdeniz</x:v>
      </x:c>
      <x:c r="D554" t="str">
        <x:v>ERZURUM_CI</x:v>
      </x:c>
      <x:c r="E554" t="str">
        <x:v>Fason</x:v>
      </x:c>
      <x:c r="F554" s="42" t="str">
        <x:v>SENTETİK/SİMÜLE — gerçek parti kaydı değildir</x:v>
      </x:c>
      <x:c r="G554" s="38" t="n">
        <x:v>362.182</x:v>
      </x:c>
      <x:c r="H554" s="38" t="n">
        <x:v>60.7</x:v>
      </x:c>
      <x:c r="I554" s="38" t="n">
        <x:v>20.12</x:v>
      </x:c>
      <x:c r="J554" s="38" t="n">
        <x:v>7.446</x:v>
      </x:c>
      <x:c r="K554" s="38" t="n">
        <x:v>0.045</x:v>
      </x:c>
      <x:c r="L554" s="38" t="n">
        <x:f>SUM(G554:K554)</x:f>
        <x:v>450.49300000000005</x:v>
      </x:c>
      <x:c r="M554" s="38" t="n">
        <x:v>588.67</x:v>
      </x:c>
      <x:c r="N554" s="38" t="n">
        <x:v>584.58</x:v>
      </x:c>
      <x:c r="O554" s="38" t="n">
        <x:v>415.02</x:v>
      </x:c>
      <x:c r="P554" s="38" t="n">
        <x:v>669.9</x:v>
      </x:c>
      <x:c r="Q554" s="38" t="n">
        <x:v>19.88</x:v>
      </x:c>
      <x:c r="R554" s="38" t="n">
        <x:v>43.7475</x:v>
      </x:c>
      <x:c r="S554" s="38" t="n">
        <x:v>122.69</x:v>
      </x:c>
      <x:c r="T554" s="40" t="n">
        <x:v>22.63</x:v>
      </x:c>
      <x:c r="U554" s="40" t="n">
        <x:v>1.1</x:v>
      </x:c>
      <x:c r="V554" s="38" t="n">
        <x:f>L554*(1-T554/100)*(1-U554/100)</x:f>
        <x:v>344.71242332490004</x:v>
      </x:c>
      <x:c r="W554" s="38" t="n">
        <x:f>G554*N554</x:f>
        <x:v>211724.35356000002</x:v>
      </x:c>
      <x:c r="X554" s="38" t="n">
        <x:f>H554*O554</x:f>
        <x:v>25191.714</x:v>
      </x:c>
      <x:c r="Y554" s="38" t="n">
        <x:f>I554*P554</x:f>
        <x:v>13478.388</x:v>
      </x:c>
      <x:c r="Z554" s="38" t="n">
        <x:f>J554*Q554+K554*P554</x:f>
        <x:v>178.17198</x:v>
      </x:c>
      <x:c r="AA554" s="38" t="n">
        <x:f>M554*R554</x:f>
        <x:v>25752.840825</x:v>
      </x:c>
      <x:c r="AB554" s="38" t="n">
        <x:f>SUM(W554:AA554)</x:f>
        <x:v>276325.46836500004</x:v>
      </x:c>
      <x:c r="AC554" s="38" t="n">
        <x:v>18.56</x:v>
      </x:c>
      <x:c r="AD554" s="38" t="n">
        <x:v>174.33</x:v>
      </x:c>
      <x:c r="AE554" s="38" t="n">
        <x:v>178.85</x:v>
      </x:c>
      <x:c r="AF554" s="38" t="n">
        <x:v>4.8148</x:v>
      </x:c>
      <x:c r="AG554" s="38" t="n">
        <x:v>5.18</x:v>
      </x:c>
      <x:c r="AH554" s="38" t="n">
        <x:f>IF(E554="Fason",L554*S554,0)</x:f>
        <x:v>55270.986170000004</x:v>
      </x:c>
      <x:c r="AI554" s="38" t="n">
        <x:f>IF(E554="Kurum içi",AC554*AD554+AE554*AF554+AB554*12%,0)</x:f>
        <x:v>0</x:v>
      </x:c>
      <x:c r="AJ554" s="38" t="n">
        <x:f>V554*AG554</x:f>
        <x:v>1785.6103528229821</x:v>
      </x:c>
      <x:c r="AK554" s="38" t="n">
        <x:f>AB554*2%</x:f>
        <x:v>5526.509367300001</x:v>
      </x:c>
      <x:c r="AL554" s="38" t="n">
        <x:f>AB554+AH554+AI554+AJ554+AK554</x:f>
        <x:v>338908.57425512304</x:v>
      </x:c>
      <x:c r="AM554" s="38" t="n">
        <x:f>AL554/V554</x:f>
        <x:v>983.1632146767547</x:v>
      </x:c>
      <x:c r="AN554" s="40" t="n">
        <x:f>(W554+X554)/AL554*100</x:f>
        <x:v>69.90559860596939</x:v>
      </x:c>
      <x:c r="AO554" s="28" t="str">
        <x:v>R01-R20; ilgili satırdaki bölgesel fiyat ve maliyet varsayımları</x:v>
      </x:c>
      <x:c r="AP554" s="28" t="str">
        <x:v>Girdi miktarları, alım fiyatı değişimi, fason bedeli ve parti sonucu simüle edilmiştir; işletme kaydı değildir.</x:v>
      </x:c>
    </x:row>
    <x:row r="555" ht="22" customHeight="1">
      <x:c r="A555" t="str">
        <x:v>SUC-0554</x:v>
      </x:c>
      <x:c r="B555" s="36" t="n">
        <x:v>46302</x:v>
      </x:c>
      <x:c r="C555" t="str">
        <x:v>Akdeniz</x:v>
      </x:c>
      <x:c r="D555" t="str">
        <x:v>MEB_STANDART</x:v>
      </x:c>
      <x:c r="E555" t="str">
        <x:v>Kurum içi</x:v>
      </x:c>
      <x:c r="F555" s="42" t="str">
        <x:v>SENTETİK/SİMÜLE — gerçek parti kaydı değildir</x:v>
      </x:c>
      <x:c r="G555" s="38" t="n">
        <x:v>55.42</x:v>
      </x:c>
      <x:c r="H555" s="38" t="n">
        <x:v>17.569</x:v>
      </x:c>
      <x:c r="I555" s="38" t="n">
        <x:v>3.681</x:v>
      </x:c>
      <x:c r="J555" s="38" t="n">
        <x:v>2.128</x:v>
      </x:c>
      <x:c r="K555" s="38" t="n">
        <x:v>0.918</x:v>
      </x:c>
      <x:c r="L555" s="38" t="n">
        <x:f>SUM(G555:K555)</x:f>
        <x:v>79.71600000000001</x:v>
      </x:c>
      <x:c r="M555" s="38" t="n">
        <x:v>101.759</x:v>
      </x:c>
      <x:c r="N555" s="38" t="n">
        <x:v>606.71</x:v>
      </x:c>
      <x:c r="O555" s="38" t="n">
        <x:v>431.07</x:v>
      </x:c>
      <x:c r="P555" s="38" t="n">
        <x:v>669.9</x:v>
      </x:c>
      <x:c r="Q555" s="38" t="n">
        <x:v>19.88</x:v>
      </x:c>
      <x:c r="R555" s="38" t="n">
        <x:v>43.7475</x:v>
      </x:c>
      <x:c r="S555" s="38" t="n">
        <x:v>69.94</x:v>
      </x:c>
      <x:c r="T555" s="40" t="n">
        <x:v>26.56</x:v>
      </x:c>
      <x:c r="U555" s="40" t="n">
        <x:v>0.41</x:v>
      </x:c>
      <x:c r="V555" s="38" t="n">
        <x:f>L555*(1-T555/100)*(1-U555/100)</x:f>
        <x:v>58.30340233536</x:v>
      </x:c>
      <x:c r="W555" s="38" t="n">
        <x:f>G555*N555</x:f>
        <x:v>33623.868200000004</x:v>
      </x:c>
      <x:c r="X555" s="38" t="n">
        <x:f>H555*O555</x:f>
        <x:v>7573.46883</x:v>
      </x:c>
      <x:c r="Y555" s="38" t="n">
        <x:f>I555*P555</x:f>
        <x:v>2465.9019</x:v>
      </x:c>
      <x:c r="Z555" s="38" t="n">
        <x:f>J555*Q555+K555*P555</x:f>
        <x:v>657.27284</x:v>
      </x:c>
      <x:c r="AA555" s="38" t="n">
        <x:f>M555*R555</x:f>
        <x:v>4451.7018525</x:v>
      </x:c>
      <x:c r="AB555" s="38" t="n">
        <x:f>SUM(W555:AA555)</x:f>
        <x:v>48772.2136225</x:v>
      </x:c>
      <x:c r="AC555" s="38" t="n">
        <x:v>4.06</x:v>
      </x:c>
      <x:c r="AD555" s="38" t="n">
        <x:v>174.33</x:v>
      </x:c>
      <x:c r="AE555" s="38" t="n">
        <x:v>28.66</x:v>
      </x:c>
      <x:c r="AF555" s="38" t="n">
        <x:v>4.8148</x:v>
      </x:c>
      <x:c r="AG555" s="38" t="n">
        <x:v>5.83</x:v>
      </x:c>
      <x:c r="AH555" s="38" t="n">
        <x:f>IF(E555="Fason",L555*S555,0)</x:f>
        <x:v>0</x:v>
      </x:c>
      <x:c r="AI555" s="38" t="n">
        <x:f>IF(E555="Kurum içi",AC555*AD555+AE555*AF555+AB555*12%,0)</x:f>
        <x:v>6698.4376027</x:v>
      </x:c>
      <x:c r="AJ555" s="38" t="n">
        <x:f>V555*AG555</x:f>
        <x:v>339.9088356151488</x:v>
      </x:c>
      <x:c r="AK555" s="38" t="n">
        <x:f>AB555*2%</x:f>
        <x:v>975.44427245</x:v>
      </x:c>
      <x:c r="AL555" s="38" t="n">
        <x:f>AB555+AH555+AI555+AJ555+AK555</x:f>
        <x:v>56786.00433326514</x:v>
      </x:c>
      <x:c r="AM555" s="38" t="n">
        <x:f>AL555/V555</x:f>
        <x:v>973.9741088630332</x:v>
      </x:c>
      <x:c r="AN555" s="40" t="n">
        <x:f>(W555+X555)/AL555*100</x:f>
        <x:v>72.54839905308617</x:v>
      </x:c>
      <x:c r="AO555" s="28" t="str">
        <x:v>R01-R20; ilgili satırdaki bölgesel fiyat ve maliyet varsayımları</x:v>
      </x:c>
      <x:c r="AP555" s="28" t="str">
        <x:v>Girdi miktarları, alım fiyatı değişimi, fason bedeli ve parti sonucu simüle edilmiştir; işletme kaydı değildir.</x:v>
      </x:c>
    </x:row>
    <x:row r="556" ht="22" customHeight="1">
      <x:c r="A556" t="str">
        <x:v>SUC-0555</x:v>
      </x:c>
      <x:c r="B556" s="36" t="n">
        <x:v>46278</x:v>
      </x:c>
      <x:c r="C556" t="str">
        <x:v>Ege</x:v>
      </x:c>
      <x:c r="D556" t="str">
        <x:v>ERZURUM_CI</x:v>
      </x:c>
      <x:c r="E556" t="str">
        <x:v>Fason</x:v>
      </x:c>
      <x:c r="F556" s="42" t="str">
        <x:v>SENTETİK/SİMÜLE — gerçek parti kaydı değildir</x:v>
      </x:c>
      <x:c r="G556" s="38" t="n">
        <x:v>175.238</x:v>
      </x:c>
      <x:c r="H556" s="38" t="n">
        <x:v>31.213</x:v>
      </x:c>
      <x:c r="I556" s="38" t="n">
        <x:v>10.812</x:v>
      </x:c>
      <x:c r="J556" s="38" t="n">
        <x:v>3.571</x:v>
      </x:c>
      <x:c r="K556" s="38" t="n">
        <x:v>0.341</x:v>
      </x:c>
      <x:c r="L556" s="38" t="n">
        <x:f>SUM(G556:K556)</x:f>
        <x:v>221.175</x:v>
      </x:c>
      <x:c r="M556" s="38" t="n">
        <x:v>290.427</x:v>
      </x:c>
      <x:c r="N556" s="38" t="n">
        <x:v>599.08</x:v>
      </x:c>
      <x:c r="O556" s="38" t="n">
        <x:v>469.74</x:v>
      </x:c>
      <x:c r="P556" s="38" t="n">
        <x:v>550</x:v>
      </x:c>
      <x:c r="Q556" s="38" t="n">
        <x:v>19.88</x:v>
      </x:c>
      <x:c r="R556" s="38" t="n">
        <x:v>43.7475</x:v>
      </x:c>
      <x:c r="S556" s="38" t="n">
        <x:v>102.86</x:v>
      </x:c>
      <x:c r="T556" s="40" t="n">
        <x:v>24.7</x:v>
      </x:c>
      <x:c r="U556" s="40" t="n">
        <x:v>0.36</x:v>
      </x:c>
      <x:c r="V556" s="38" t="n">
        <x:f>L556*(1-T556/100)*(1-U556/100)</x:f>
        <x:v>165.94521381</x:v>
      </x:c>
      <x:c r="W556" s="38" t="n">
        <x:f>G556*N556</x:f>
        <x:v>104981.58104</x:v>
      </x:c>
      <x:c r="X556" s="38" t="n">
        <x:f>H556*O556</x:f>
        <x:v>14661.994620000001</x:v>
      </x:c>
      <x:c r="Y556" s="38" t="n">
        <x:f>I556*P556</x:f>
        <x:v>5946.599999999999</x:v>
      </x:c>
      <x:c r="Z556" s="38" t="n">
        <x:f>J556*Q556+K556*P556</x:f>
        <x:v>258.54148</x:v>
      </x:c>
      <x:c r="AA556" s="38" t="n">
        <x:f>M556*R556</x:f>
        <x:v>12705.455182500002</x:v>
      </x:c>
      <x:c r="AB556" s="38" t="n">
        <x:f>SUM(W556:AA556)</x:f>
        <x:v>138554.1723225</x:v>
      </x:c>
      <x:c r="AC556" s="38" t="n">
        <x:v>12.02</x:v>
      </x:c>
      <x:c r="AD556" s="38" t="n">
        <x:v>174.33</x:v>
      </x:c>
      <x:c r="AE556" s="38" t="n">
        <x:v>102.66</x:v>
      </x:c>
      <x:c r="AF556" s="38" t="n">
        <x:v>4.8148</x:v>
      </x:c>
      <x:c r="AG556" s="38" t="n">
        <x:v>5.2</x:v>
      </x:c>
      <x:c r="AH556" s="38" t="n">
        <x:f>IF(E556="Fason",L556*S556,0)</x:f>
        <x:v>22750.0605</x:v>
      </x:c>
      <x:c r="AI556" s="38" t="n">
        <x:f>IF(E556="Kurum içi",AC556*AD556+AE556*AF556+AB556*12%,0)</x:f>
        <x:v>0</x:v>
      </x:c>
      <x:c r="AJ556" s="38" t="n">
        <x:f>V556*AG556</x:f>
        <x:v>862.9151118120001</x:v>
      </x:c>
      <x:c r="AK556" s="38" t="n">
        <x:f>AB556*2%</x:f>
        <x:v>2771.08344645</x:v>
      </x:c>
      <x:c r="AL556" s="38" t="n">
        <x:f>AB556+AH556+AI556+AJ556+AK556</x:f>
        <x:v>164938.231380762</x:v>
      </x:c>
      <x:c r="AM556" s="38" t="n">
        <x:f>AL556/V556</x:f>
        <x:v>993.9318380680087</x:v>
      </x:c>
      <x:c r="AN556" s="40" t="n">
        <x:f>(W556+X556)/AL556*100</x:f>
        <x:v>72.53841311284664</x:v>
      </x:c>
      <x:c r="AO556" s="28" t="str">
        <x:v>R01-R20; ilgili satırdaki bölgesel fiyat ve maliyet varsayımları</x:v>
      </x:c>
      <x:c r="AP556" s="28" t="str">
        <x:v>Girdi miktarları, alım fiyatı değişimi, fason bedeli ve parti sonucu simüle edilmiştir; işletme kaydı değildir.</x:v>
      </x:c>
    </x:row>
    <x:row r="557" ht="22" customHeight="1">
      <x:c r="A557" t="str">
        <x:v>SUC-0556</x:v>
      </x:c>
      <x:c r="B557" s="36" t="n">
        <x:v>46271</x:v>
      </x:c>
      <x:c r="C557" t="str">
        <x:v>Güneydoğu Anadolu</x:v>
      </x:c>
      <x:c r="D557" t="str">
        <x:v>ERZURUM_CI</x:v>
      </x:c>
      <x:c r="E557" t="str">
        <x:v>Kurum içi</x:v>
      </x:c>
      <x:c r="F557" s="42" t="str">
        <x:v>SENTETİK/SİMÜLE — gerçek parti kaydı değildir</x:v>
      </x:c>
      <x:c r="G557" s="38" t="n">
        <x:v>288.379</x:v>
      </x:c>
      <x:c r="H557" s="38" t="n">
        <x:v>50.312</x:v>
      </x:c>
      <x:c r="I557" s="38" t="n">
        <x:v>16.551</x:v>
      </x:c>
      <x:c r="J557" s="38" t="n">
        <x:v>6.099</x:v>
      </x:c>
      <x:c r="K557" s="38" t="n">
        <x:v>0.457</x:v>
      </x:c>
      <x:c r="L557" s="38" t="n">
        <x:f>SUM(G557:K557)</x:f>
        <x:v>361.798</x:v>
      </x:c>
      <x:c r="M557" s="38" t="n">
        <x:v>478.279</x:v>
      </x:c>
      <x:c r="N557" s="38" t="n">
        <x:v>585.62</x:v>
      </x:c>
      <x:c r="O557" s="38" t="n">
        <x:v>435.79</x:v>
      </x:c>
      <x:c r="P557" s="38" t="n">
        <x:v>669.9</x:v>
      </x:c>
      <x:c r="Q557" s="38" t="n">
        <x:v>19.88</x:v>
      </x:c>
      <x:c r="R557" s="38" t="n">
        <x:v>43.7475</x:v>
      </x:c>
      <x:c r="S557" s="38" t="n">
        <x:v>95.78</x:v>
      </x:c>
      <x:c r="T557" s="40" t="n">
        <x:v>23.17</x:v>
      </x:c>
      <x:c r="U557" s="40" t="n">
        <x:v>0.43</x:v>
      </x:c>
      <x:c r="V557" s="38" t="n">
        <x:f>L557*(1-T557/100)*(1-U557/100)</x:f>
        <x:v>276.77413496538</x:v>
      </x:c>
      <x:c r="W557" s="38" t="n">
        <x:f>G557*N557</x:f>
        <x:v>168880.50998</x:v>
      </x:c>
      <x:c r="X557" s="38" t="n">
        <x:f>H557*O557</x:f>
        <x:v>21925.46648</x:v>
      </x:c>
      <x:c r="Y557" s="38" t="n">
        <x:f>I557*P557</x:f>
        <x:v>11087.514899999998</x:v>
      </x:c>
      <x:c r="Z557" s="38" t="n">
        <x:f>J557*Q557+K557*P557</x:f>
        <x:v>427.39242</x:v>
      </x:c>
      <x:c r="AA557" s="38" t="n">
        <x:f>M557*R557</x:f>
        <x:v>20923.5105525</x:v>
      </x:c>
      <x:c r="AB557" s="38" t="n">
        <x:f>SUM(W557:AA557)</x:f>
        <x:v>223244.3943325</x:v>
      </x:c>
      <x:c r="AC557" s="38" t="n">
        <x:v>20.24</x:v>
      </x:c>
      <x:c r="AD557" s="38" t="n">
        <x:v>174.33</x:v>
      </x:c>
      <x:c r="AE557" s="38" t="n">
        <x:v>146.85</x:v>
      </x:c>
      <x:c r="AF557" s="38" t="n">
        <x:v>4.8148</x:v>
      </x:c>
      <x:c r="AG557" s="38" t="n">
        <x:v>5.36</x:v>
      </x:c>
      <x:c r="AH557" s="38" t="n">
        <x:f>IF(E557="Fason",L557*S557,0)</x:f>
        <x:v>0</x:v>
      </x:c>
      <x:c r="AI557" s="38" t="n">
        <x:f>IF(E557="Kurum içi",AC557*AD557+AE557*AF557+AB557*12%,0)</x:f>
        <x:v>31024.8198999</x:v>
      </x:c>
      <x:c r="AJ557" s="38" t="n">
        <x:f>V557*AG557</x:f>
        <x:v>1483.5093634144368</x:v>
      </x:c>
      <x:c r="AK557" s="38" t="n">
        <x:f>AB557*2%</x:f>
        <x:v>4464.88788665</x:v>
      </x:c>
      <x:c r="AL557" s="38" t="n">
        <x:f>AB557+AH557+AI557+AJ557+AK557</x:f>
        <x:v>260217.61148246442</x:v>
      </x:c>
      <x:c r="AM557" s="38" t="n">
        <x:f>AL557/V557</x:f>
        <x:v>940.1803803488122</x:v>
      </x:c>
      <x:c r="AN557" s="40" t="n">
        <x:f>(W557+X557)/AL557*100</x:f>
        <x:v>73.32554294575795</x:v>
      </x:c>
      <x:c r="AO557" s="28" t="str">
        <x:v>R01-R20; ilgili satırdaki bölgesel fiyat ve maliyet varsayımları</x:v>
      </x:c>
      <x:c r="AP557" s="28" t="str">
        <x:v>Girdi miktarları, alım fiyatı değişimi, fason bedeli ve parti sonucu simüle edilmiştir; işletme kaydı değildir.</x:v>
      </x:c>
    </x:row>
    <x:row r="558" ht="22" customHeight="1">
      <x:c r="A558" t="str">
        <x:v>SUC-0557</x:v>
      </x:c>
      <x:c r="B558" s="36" t="n">
        <x:v>46314</x:v>
      </x:c>
      <x:c r="C558" t="str">
        <x:v>Akdeniz</x:v>
      </x:c>
      <x:c r="D558" t="str">
        <x:v>MEB_STANDART</x:v>
      </x:c>
      <x:c r="E558" t="str">
        <x:v>Kurum içi</x:v>
      </x:c>
      <x:c r="F558" s="42" t="str">
        <x:v>SENTETİK/SİMÜLE — gerçek parti kaydı değildir</x:v>
      </x:c>
      <x:c r="G558" s="38" t="n">
        <x:v>77.782</x:v>
      </x:c>
      <x:c r="H558" s="38" t="n">
        <x:v>24.279</x:v>
      </x:c>
      <x:c r="I558" s="38" t="n">
        <x:v>4.876</x:v>
      </x:c>
      <x:c r="J558" s="38" t="n">
        <x:v>2.67</x:v>
      </x:c>
      <x:c r="K558" s="38" t="n">
        <x:v>1.158</x:v>
      </x:c>
      <x:c r="L558" s="38" t="n">
        <x:f>SUM(G558:K558)</x:f>
        <x:v>110.765</x:v>
      </x:c>
      <x:c r="M558" s="38" t="n">
        <x:v>146.723</x:v>
      </x:c>
      <x:c r="N558" s="38" t="n">
        <x:v>597.87</x:v>
      </x:c>
      <x:c r="O558" s="38" t="n">
        <x:v>481.88</x:v>
      </x:c>
      <x:c r="P558" s="38" t="n">
        <x:v>400</x:v>
      </x:c>
      <x:c r="Q558" s="38" t="n">
        <x:v>19.88</x:v>
      </x:c>
      <x:c r="R558" s="38" t="n">
        <x:v>43.7475</x:v>
      </x:c>
      <x:c r="S558" s="38" t="n">
        <x:v>120.04</x:v>
      </x:c>
      <x:c r="T558" s="40" t="n">
        <x:v>18.41</x:v>
      </x:c>
      <x:c r="U558" s="40" t="n">
        <x:v>1.36</x:v>
      </x:c>
      <x:c r="V558" s="38" t="n">
        <x:f>L558*(1-T558/100)*(1-U558/100)</x:f>
        <x:v>89.14408847639999</x:v>
      </x:c>
      <x:c r="W558" s="38" t="n">
        <x:f>G558*N558</x:f>
        <x:v>46503.524339999996</x:v>
      </x:c>
      <x:c r="X558" s="38" t="n">
        <x:f>H558*O558</x:f>
        <x:v>11699.56452</x:v>
      </x:c>
      <x:c r="Y558" s="38" t="n">
        <x:f>I558*P558</x:f>
        <x:v>1950.4</x:v>
      </x:c>
      <x:c r="Z558" s="38" t="n">
        <x:f>J558*Q558+K558*P558</x:f>
        <x:v>516.2796</x:v>
      </x:c>
      <x:c r="AA558" s="38" t="n">
        <x:f>M558*R558</x:f>
        <x:v>6418.764442500001</x:v>
      </x:c>
      <x:c r="AB558" s="38" t="n">
        <x:f>SUM(W558:AA558)</x:f>
        <x:v>67088.5329025</x:v>
      </x:c>
      <x:c r="AC558" s="38" t="n">
        <x:v>6.1</x:v>
      </x:c>
      <x:c r="AD558" s="38" t="n">
        <x:v>174.33</x:v>
      </x:c>
      <x:c r="AE558" s="38" t="n">
        <x:v>49.69</x:v>
      </x:c>
      <x:c r="AF558" s="38" t="n">
        <x:v>4.8148</x:v>
      </x:c>
      <x:c r="AG558" s="38" t="n">
        <x:v>5.82</x:v>
      </x:c>
      <x:c r="AH558" s="38" t="n">
        <x:f>IF(E558="Fason",L558*S558,0)</x:f>
        <x:v>0</x:v>
      </x:c>
      <x:c r="AI558" s="38" t="n">
        <x:f>IF(E558="Kurum içi",AC558*AD558+AE558*AF558+AB558*12%,0)</x:f>
        <x:v>9353.284360299998</x:v>
      </x:c>
      <x:c r="AJ558" s="38" t="n">
        <x:f>V558*AG558</x:f>
        <x:v>518.8185949326479</x:v>
      </x:c>
      <x:c r="AK558" s="38" t="n">
        <x:f>AB558*2%</x:f>
        <x:v>1341.7706580499998</x:v>
      </x:c>
      <x:c r="AL558" s="38" t="n">
        <x:f>AB558+AH558+AI558+AJ558+AK558</x:f>
        <x:v>78302.40651578263</x:v>
      </x:c>
      <x:c r="AM558" s="38" t="n">
        <x:f>AL558/V558</x:f>
        <x:v>878.3802476875672</x:v>
      </x:c>
      <x:c r="AN558" s="40" t="n">
        <x:f>(W558+X558)/AL558*100</x:f>
        <x:v>74.33116228460818</x:v>
      </x:c>
      <x:c r="AO558" s="28" t="str">
        <x:v>R01-R20; ilgili satırdaki bölgesel fiyat ve maliyet varsayımları</x:v>
      </x:c>
      <x:c r="AP558" s="28" t="str">
        <x:v>Girdi miktarları, alım fiyatı değişimi, fason bedeli ve parti sonucu simüle edilmiştir; işletme kaydı değildir.</x:v>
      </x:c>
    </x:row>
    <x:row r="559" ht="22" customHeight="1">
      <x:c r="A559" t="str">
        <x:v>SUC-0558</x:v>
      </x:c>
      <x:c r="B559" s="36" t="n">
        <x:v>46273</x:v>
      </x:c>
      <x:c r="C559" t="str">
        <x:v>İç Anadolu</x:v>
      </x:c>
      <x:c r="D559" t="str">
        <x:v>MEB_STANDART</x:v>
      </x:c>
      <x:c r="E559" t="str">
        <x:v>Kurum içi</x:v>
      </x:c>
      <x:c r="F559" s="42" t="str">
        <x:v>SENTETİK/SİMÜLE — gerçek parti kaydı değildir</x:v>
      </x:c>
      <x:c r="G559" s="38" t="n">
        <x:v>45.336</x:v>
      </x:c>
      <x:c r="H559" s="38" t="n">
        <x:v>14.352</x:v>
      </x:c>
      <x:c r="I559" s="38" t="n">
        <x:v>2.698</x:v>
      </x:c>
      <x:c r="J559" s="38" t="n">
        <x:v>1.619</x:v>
      </x:c>
      <x:c r="K559" s="38" t="n">
        <x:v>0.662</x:v>
      </x:c>
      <x:c r="L559" s="38" t="n">
        <x:f>SUM(G559:K559)</x:f>
        <x:v>64.66700000000002</x:v>
      </x:c>
      <x:c r="M559" s="38" t="n">
        <x:v>76.114</x:v>
      </x:c>
      <x:c r="N559" s="38" t="n">
        <x:v>573.64</x:v>
      </x:c>
      <x:c r="O559" s="38" t="n">
        <x:v>465.98</x:v>
      </x:c>
      <x:c r="P559" s="38" t="n">
        <x:v>400</x:v>
      </x:c>
      <x:c r="Q559" s="38" t="n">
        <x:v>19.88</x:v>
      </x:c>
      <x:c r="R559" s="38" t="n">
        <x:v>43.7475</x:v>
      </x:c>
      <x:c r="S559" s="38" t="n">
        <x:v>78.82</x:v>
      </x:c>
      <x:c r="T559" s="40" t="n">
        <x:v>23.46</x:v>
      </x:c>
      <x:c r="U559" s="40" t="n">
        <x:v>1.43</x:v>
      </x:c>
      <x:c r="V559" s="38" t="n">
        <x:f>L559*(1-T559/100)*(1-U559/100)</x:f>
        <x:v>48.78832725826001</x:v>
      </x:c>
      <x:c r="W559" s="38" t="n">
        <x:f>G559*N559</x:f>
        <x:v>26006.543039999997</x:v>
      </x:c>
      <x:c r="X559" s="38" t="n">
        <x:f>H559*O559</x:f>
        <x:v>6687.74496</x:v>
      </x:c>
      <x:c r="Y559" s="38" t="n">
        <x:f>I559*P559</x:f>
        <x:v>1079.2</x:v>
      </x:c>
      <x:c r="Z559" s="38" t="n">
        <x:f>J559*Q559+K559*P559</x:f>
        <x:v>296.98572</x:v>
      </x:c>
      <x:c r="AA559" s="38" t="n">
        <x:f>M559*R559</x:f>
        <x:v>3329.7972150000005</x:v>
      </x:c>
      <x:c r="AB559" s="38" t="n">
        <x:f>SUM(W559:AA559)</x:f>
        <x:v>37400.27093499999</x:v>
      </x:c>
      <x:c r="AC559" s="38" t="n">
        <x:v>3.98</x:v>
      </x:c>
      <x:c r="AD559" s="38" t="n">
        <x:v>174.33</x:v>
      </x:c>
      <x:c r="AE559" s="38" t="n">
        <x:v>30.46</x:v>
      </x:c>
      <x:c r="AF559" s="38" t="n">
        <x:v>4.8148</x:v>
      </x:c>
      <x:c r="AG559" s="38" t="n">
        <x:v>5.39</x:v>
      </x:c>
      <x:c r="AH559" s="38" t="n">
        <x:f>IF(E559="Fason",L559*S559,0)</x:f>
        <x:v>0</x:v>
      </x:c>
      <x:c r="AI559" s="38" t="n">
        <x:f>IF(E559="Kurum içi",AC559*AD559+AE559*AF559+AB559*12%,0)</x:f>
        <x:v>5328.524720199999</x:v>
      </x:c>
      <x:c r="AJ559" s="38" t="n">
        <x:f>V559*AG559</x:f>
        <x:v>262.96908392202147</x:v>
      </x:c>
      <x:c r="AK559" s="38" t="n">
        <x:f>AB559*2%</x:f>
        <x:v>748.0054186999998</x:v>
      </x:c>
      <x:c r="AL559" s="38" t="n">
        <x:f>AB559+AH559+AI559+AJ559+AK559</x:f>
        <x:v>43739.770157822015</x:v>
      </x:c>
      <x:c r="AM559" s="38" t="n">
        <x:f>AL559/V559</x:f>
        <x:v>896.5212093926983</x:v>
      </x:c>
      <x:c r="AN559" s="40" t="n">
        <x:f>(W559+X559)/AL559*100</x:f>
        <x:v>74.74727892266543</x:v>
      </x:c>
      <x:c r="AO559" s="28" t="str">
        <x:v>R01-R20; ilgili satırdaki bölgesel fiyat ve maliyet varsayımları</x:v>
      </x:c>
      <x:c r="AP559" s="28" t="str">
        <x:v>Girdi miktarları, alım fiyatı değişimi, fason bedeli ve parti sonucu simüle edilmiştir; işletme kaydı değildir.</x:v>
      </x:c>
    </x:row>
    <x:row r="560" ht="22" customHeight="1">
      <x:c r="A560" t="str">
        <x:v>SUC-0559</x:v>
      </x:c>
      <x:c r="B560" s="36" t="n">
        <x:v>46287</x:v>
      </x:c>
      <x:c r="C560" t="str">
        <x:v>İç Anadolu</x:v>
      </x:c>
      <x:c r="D560" t="str">
        <x:v>ERZURUM_CI</x:v>
      </x:c>
      <x:c r="E560" t="str">
        <x:v>Kurum içi</x:v>
      </x:c>
      <x:c r="F560" s="42" t="str">
        <x:v>SENTETİK/SİMÜLE — gerçek parti kaydı değildir</x:v>
      </x:c>
      <x:c r="G560" s="38" t="n">
        <x:v>211.535</x:v>
      </x:c>
      <x:c r="H560" s="38" t="n">
        <x:v>35.241</x:v>
      </x:c>
      <x:c r="I560" s="38" t="n">
        <x:v>12.889</x:v>
      </x:c>
      <x:c r="J560" s="38" t="n">
        <x:v>4.036</x:v>
      </x:c>
      <x:c r="K560" s="38" t="n">
        <x:v>0.099</x:v>
      </x:c>
      <x:c r="L560" s="38" t="n">
        <x:f>SUM(G560:K560)</x:f>
        <x:v>263.8</x:v>
      </x:c>
      <x:c r="M560" s="38" t="n">
        <x:v>315.309</x:v>
      </x:c>
      <x:c r="N560" s="38" t="n">
        <x:v>602.06</x:v>
      </x:c>
      <x:c r="O560" s="38" t="n">
        <x:v>451.96</x:v>
      </x:c>
      <x:c r="P560" s="38" t="n">
        <x:v>669.9</x:v>
      </x:c>
      <x:c r="Q560" s="38" t="n">
        <x:v>19.88</x:v>
      </x:c>
      <x:c r="R560" s="38" t="n">
        <x:v>43.7475</x:v>
      </x:c>
      <x:c r="S560" s="38" t="n">
        <x:v>105.85</x:v>
      </x:c>
      <x:c r="T560" s="40" t="n">
        <x:v>23.54</x:v>
      </x:c>
      <x:c r="U560" s="40" t="n">
        <x:v>0.36</x:v>
      </x:c>
      <x:c r="V560" s="38" t="n">
        <x:f>L560*(1-T560/100)*(1-U560/100)</x:f>
        <x:v>200.97535467199998</x:v>
      </x:c>
      <x:c r="W560" s="38" t="n">
        <x:f>G560*N560</x:f>
        <x:v>127356.76209999999</x:v>
      </x:c>
      <x:c r="X560" s="38" t="n">
        <x:f>H560*O560</x:f>
        <x:v>15927.522359999999</x:v>
      </x:c>
      <x:c r="Y560" s="38" t="n">
        <x:f>I560*P560</x:f>
        <x:v>8634.3411</x:v>
      </x:c>
      <x:c r="Z560" s="38" t="n">
        <x:f>J560*Q560+K560*P560</x:f>
        <x:v>146.55577999999997</x:v>
      </x:c>
      <x:c r="AA560" s="38" t="n">
        <x:f>M560*R560</x:f>
        <x:v>13793.980477500001</x:v>
      </x:c>
      <x:c r="AB560" s="38" t="n">
        <x:f>SUM(W560:AA560)</x:f>
        <x:v>165859.1618175</x:v>
      </x:c>
      <x:c r="AC560" s="38" t="n">
        <x:v>13.08</x:v>
      </x:c>
      <x:c r="AD560" s="38" t="n">
        <x:v>174.33</x:v>
      </x:c>
      <x:c r="AE560" s="38" t="n">
        <x:v>74.41</x:v>
      </x:c>
      <x:c r="AF560" s="38" t="n">
        <x:v>4.8148</x:v>
      </x:c>
      <x:c r="AG560" s="38" t="n">
        <x:v>5.19</x:v>
      </x:c>
      <x:c r="AH560" s="38" t="n">
        <x:f>IF(E560="Fason",L560*S560,0)</x:f>
        <x:v>0</x:v>
      </x:c>
      <x:c r="AI560" s="38" t="n">
        <x:f>IF(E560="Kurum içi",AC560*AD560+AE560*AF560+AB560*12%,0)</x:f>
        <x:v>22541.6050861</x:v>
      </x:c>
      <x:c r="AJ560" s="38" t="n">
        <x:f>V560*AG560</x:f>
        <x:v>1043.06209074768</x:v>
      </x:c>
      <x:c r="AK560" s="38" t="n">
        <x:f>AB560*2%</x:f>
        <x:v>3317.18323635</x:v>
      </x:c>
      <x:c r="AL560" s="38" t="n">
        <x:f>AB560+AH560+AI560+AJ560+AK560</x:f>
        <x:v>192761.01223069767</x:v>
      </x:c>
      <x:c r="AM560" s="38" t="n">
        <x:f>AL560/V560</x:f>
        <x:v>959.1276131607856</x:v>
      </x:c>
      <x:c r="AN560" s="40" t="n">
        <x:f>(W560+X560)/AL560*100</x:f>
        <x:v>74.33260637193398</x:v>
      </x:c>
      <x:c r="AO560" s="28" t="str">
        <x:v>R01-R20; ilgili satırdaki bölgesel fiyat ve maliyet varsayımları</x:v>
      </x:c>
      <x:c r="AP560" s="28" t="str">
        <x:v>Girdi miktarları, alım fiyatı değişimi, fason bedeli ve parti sonucu simüle edilmiştir; işletme kaydı değildir.</x:v>
      </x:c>
    </x:row>
    <x:row r="561" ht="22" customHeight="1">
      <x:c r="A561" t="str">
        <x:v>SUC-0560</x:v>
      </x:c>
      <x:c r="B561" s="36" t="n">
        <x:v>46271</x:v>
      </x:c>
      <x:c r="C561" t="str">
        <x:v>Doğu Anadolu</x:v>
      </x:c>
      <x:c r="D561" t="str">
        <x:v>MEB_STANDART</x:v>
      </x:c>
      <x:c r="E561" t="str">
        <x:v>Kurum içi</x:v>
      </x:c>
      <x:c r="F561" s="42" t="str">
        <x:v>SENTETİK/SİMÜLE — gerçek parti kaydı değildir</x:v>
      </x:c>
      <x:c r="G561" s="38" t="n">
        <x:v>198.348</x:v>
      </x:c>
      <x:c r="H561" s="38" t="n">
        <x:v>60.974</x:v>
      </x:c>
      <x:c r="I561" s="38" t="n">
        <x:v>12.847</x:v>
      </x:c>
      <x:c r="J561" s="38" t="n">
        <x:v>7.088</x:v>
      </x:c>
      <x:c r="K561" s="38" t="n">
        <x:v>2.632</x:v>
      </x:c>
      <x:c r="L561" s="38" t="n">
        <x:f>SUM(G561:K561)</x:f>
        <x:v>281.889</x:v>
      </x:c>
      <x:c r="M561" s="38" t="n">
        <x:v>328.717</x:v>
      </x:c>
      <x:c r="N561" s="38" t="n">
        <x:v>599.71</x:v>
      </x:c>
      <x:c r="O561" s="38" t="n">
        <x:v>483</x:v>
      </x:c>
      <x:c r="P561" s="38" t="n">
        <x:v>669.9</x:v>
      </x:c>
      <x:c r="Q561" s="38" t="n">
        <x:v>19.88</x:v>
      </x:c>
      <x:c r="R561" s="38" t="n">
        <x:v>43.7475</x:v>
      </x:c>
      <x:c r="S561" s="38" t="n">
        <x:v>95.07</x:v>
      </x:c>
      <x:c r="T561" s="40" t="n">
        <x:v>20.5</x:v>
      </x:c>
      <x:c r="U561" s="40" t="n">
        <x:v>1.28</x:v>
      </x:c>
      <x:c r="V561" s="38" t="n">
        <x:f>L561*(1-T561/100)*(1-U561/100)</x:f>
        <x:v>221.233252536</x:v>
      </x:c>
      <x:c r="W561" s="38" t="n">
        <x:f>G561*N561</x:f>
        <x:v>118951.27908000002</x:v>
      </x:c>
      <x:c r="X561" s="38" t="n">
        <x:f>H561*O561</x:f>
        <x:v>29450.442</x:v>
      </x:c>
      <x:c r="Y561" s="38" t="n">
        <x:f>I561*P561</x:f>
        <x:v>8606.2053</x:v>
      </x:c>
      <x:c r="Z561" s="38" t="n">
        <x:f>J561*Q561+K561*P561</x:f>
        <x:v>1904.0862399999999</x:v>
      </x:c>
      <x:c r="AA561" s="38" t="n">
        <x:f>M561*R561</x:f>
        <x:v>14380.5469575</x:v>
      </x:c>
      <x:c r="AB561" s="38" t="n">
        <x:f>SUM(W561:AA561)</x:f>
        <x:v>173292.5595775</x:v>
      </x:c>
      <x:c r="AC561" s="38" t="n">
        <x:v>16.12</x:v>
      </x:c>
      <x:c r="AD561" s="38" t="n">
        <x:v>174.33</x:v>
      </x:c>
      <x:c r="AE561" s="38" t="n">
        <x:v>119.87</x:v>
      </x:c>
      <x:c r="AF561" s="38" t="n">
        <x:v>4.8148</x:v>
      </x:c>
      <x:c r="AG561" s="38" t="n">
        <x:v>5.85</x:v>
      </x:c>
      <x:c r="AH561" s="38" t="n">
        <x:f>IF(E561="Fason",L561*S561,0)</x:f>
        <x:v>0</x:v>
      </x:c>
      <x:c r="AI561" s="38" t="n">
        <x:f>IF(E561="Kurum içi",AC561*AD561+AE561*AF561+AB561*12%,0)</x:f>
        <x:v>24182.456825300003</x:v>
      </x:c>
      <x:c r="AJ561" s="38" t="n">
        <x:f>V561*AG561</x:f>
        <x:v>1294.2145273356</x:v>
      </x:c>
      <x:c r="AK561" s="38" t="n">
        <x:f>AB561*2%</x:f>
        <x:v>3465.8511915500003</x:v>
      </x:c>
      <x:c r="AL561" s="38" t="n">
        <x:f>AB561+AH561+AI561+AJ561+AK561</x:f>
        <x:v>202235.0821216856</x:v>
      </x:c>
      <x:c r="AM561" s="38" t="n">
        <x:f>AL561/V561</x:f>
        <x:v>914.1260628927248</x:v>
      </x:c>
      <x:c r="AN561" s="40" t="n">
        <x:f>(W561+X561)/AL561*100</x:f>
        <x:v>73.38079996956519</x:v>
      </x:c>
      <x:c r="AO561" s="28" t="str">
        <x:v>R01-R20; ilgili satırdaki bölgesel fiyat ve maliyet varsayımları</x:v>
      </x:c>
      <x:c r="AP561" s="28" t="str">
        <x:v>Girdi miktarları, alım fiyatı değişimi, fason bedeli ve parti sonucu simüle edilmiştir; işletme kaydı değildir.</x:v>
      </x:c>
    </x:row>
    <x:row r="562" ht="22" customHeight="1">
      <x:c r="A562" t="str">
        <x:v>SUC-0561</x:v>
      </x:c>
      <x:c r="B562" s="36" t="n">
        <x:v>46277</x:v>
      </x:c>
      <x:c r="C562" t="str">
        <x:v>Akdeniz</x:v>
      </x:c>
      <x:c r="D562" t="str">
        <x:v>MEB_STANDART</x:v>
      </x:c>
      <x:c r="E562" t="str">
        <x:v>Kurum içi</x:v>
      </x:c>
      <x:c r="F562" s="42" t="str">
        <x:v>SENTETİK/SİMÜLE — gerçek parti kaydı değildir</x:v>
      </x:c>
      <x:c r="G562" s="38" t="n">
        <x:v>109.625</x:v>
      </x:c>
      <x:c r="H562" s="38" t="n">
        <x:v>33.475</x:v>
      </x:c>
      <x:c r="I562" s="38" t="n">
        <x:v>6.745</x:v>
      </x:c>
      <x:c r="J562" s="38" t="n">
        <x:v>3.942</x:v>
      </x:c>
      <x:c r="K562" s="38" t="n">
        <x:v>1.55</x:v>
      </x:c>
      <x:c r="L562" s="38" t="n">
        <x:f>SUM(G562:K562)</x:f>
        <x:v>155.33700000000002</x:v>
      </x:c>
      <x:c r="M562" s="38" t="n">
        <x:v>201.464</x:v>
      </x:c>
      <x:c r="N562" s="38" t="n">
        <x:v>586.48</x:v>
      </x:c>
      <x:c r="O562" s="38" t="n">
        <x:v>412.28</x:v>
      </x:c>
      <x:c r="P562" s="38" t="n">
        <x:v>550</x:v>
      </x:c>
      <x:c r="Q562" s="38" t="n">
        <x:v>19.88</x:v>
      </x:c>
      <x:c r="R562" s="38" t="n">
        <x:v>43.7475</x:v>
      </x:c>
      <x:c r="S562" s="38" t="n">
        <x:v>88.62</x:v>
      </x:c>
      <x:c r="T562" s="40" t="n">
        <x:v>28.3</x:v>
      </x:c>
      <x:c r="U562" s="40" t="n">
        <x:v>1.49</x:v>
      </x:c>
      <x:c r="V562" s="38" t="n">
        <x:f>L562*(1-T562/100)*(1-U562/100)</x:f>
        <x:v>109.7171172279</x:v>
      </x:c>
      <x:c r="W562" s="38" t="n">
        <x:f>G562*N562</x:f>
        <x:v>64292.87</x:v>
      </x:c>
      <x:c r="X562" s="38" t="n">
        <x:f>H562*O562</x:f>
        <x:v>13801.073</x:v>
      </x:c>
      <x:c r="Y562" s="38" t="n">
        <x:f>I562*P562</x:f>
        <x:v>3709.75</x:v>
      </x:c>
      <x:c r="Z562" s="38" t="n">
        <x:f>J562*Q562+K562*P562</x:f>
        <x:v>930.8669600000001</x:v>
      </x:c>
      <x:c r="AA562" s="38" t="n">
        <x:f>M562*R562</x:f>
        <x:v>8813.54634</x:v>
      </x:c>
      <x:c r="AB562" s="38" t="n">
        <x:f>SUM(W562:AA562)</x:f>
        <x:v>91548.1063</x:v>
      </x:c>
      <x:c r="AC562" s="38" t="n">
        <x:v>8.56</x:v>
      </x:c>
      <x:c r="AD562" s="38" t="n">
        <x:v>174.33</x:v>
      </x:c>
      <x:c r="AE562" s="38" t="n">
        <x:v>49.15</x:v>
      </x:c>
      <x:c r="AF562" s="38" t="n">
        <x:v>4.8148</x:v>
      </x:c>
      <x:c r="AG562" s="38" t="n">
        <x:v>5.4</x:v>
      </x:c>
      <x:c r="AH562" s="38" t="n">
        <x:f>IF(E562="Fason",L562*S562,0)</x:f>
        <x:v>0</x:v>
      </x:c>
      <x:c r="AI562" s="38" t="n">
        <x:f>IF(E562="Kurum içi",AC562*AD562+AE562*AF562+AB562*12%,0)</x:f>
        <x:v>12714.684976</x:v>
      </x:c>
      <x:c r="AJ562" s="38" t="n">
        <x:f>V562*AG562</x:f>
        <x:v>592.4724330306601</x:v>
      </x:c>
      <x:c r="AK562" s="38" t="n">
        <x:f>AB562*2%</x:f>
        <x:v>1830.9621260000001</x:v>
      </x:c>
      <x:c r="AL562" s="38" t="n">
        <x:f>AB562+AH562+AI562+AJ562+AK562</x:f>
        <x:v>106686.22583503067</x:v>
      </x:c>
      <x:c r="AM562" s="38" t="n">
        <x:f>AL562/V562</x:f>
        <x:v>972.375400762912</x:v>
      </x:c>
      <x:c r="AN562" s="40" t="n">
        <x:f>(W562+X562)/AL562*100</x:f>
        <x:v>73.19964914754505</x:v>
      </x:c>
      <x:c r="AO562" s="28" t="str">
        <x:v>R01-R20; ilgili satırdaki bölgesel fiyat ve maliyet varsayımları</x:v>
      </x:c>
      <x:c r="AP562" s="28" t="str">
        <x:v>Girdi miktarları, alım fiyatı değişimi, fason bedeli ve parti sonucu simüle edilmiştir; işletme kaydı değildir.</x:v>
      </x:c>
    </x:row>
    <x:row r="563" ht="22" customHeight="1">
      <x:c r="A563" t="str">
        <x:v>SUC-0562</x:v>
      </x:c>
      <x:c r="B563" s="36" t="n">
        <x:v>46305</x:v>
      </x:c>
      <x:c r="C563" t="str">
        <x:v>Ege</x:v>
      </x:c>
      <x:c r="D563" t="str">
        <x:v>MEB_STANDART</x:v>
      </x:c>
      <x:c r="E563" t="str">
        <x:v>Kurum içi</x:v>
      </x:c>
      <x:c r="F563" s="42" t="str">
        <x:v>SENTETİK/SİMÜLE — gerçek parti kaydı değildir</x:v>
      </x:c>
      <x:c r="G563" s="38" t="n">
        <x:v>349.897</x:v>
      </x:c>
      <x:c r="H563" s="38" t="n">
        <x:v>107.742</x:v>
      </x:c>
      <x:c r="I563" s="38" t="n">
        <x:v>21.931</x:v>
      </x:c>
      <x:c r="J563" s="38" t="n">
        <x:v>13.307</x:v>
      </x:c>
      <x:c r="K563" s="38" t="n">
        <x:v>5.511</x:v>
      </x:c>
      <x:c r="L563" s="38" t="n">
        <x:f>SUM(G563:K563)</x:f>
        <x:v>498.38800000000003</x:v>
      </x:c>
      <x:c r="M563" s="38" t="n">
        <x:v>585.963</x:v>
      </x:c>
      <x:c r="N563" s="38" t="n">
        <x:v>609.46</x:v>
      </x:c>
      <x:c r="O563" s="38" t="n">
        <x:v>433.66</x:v>
      </x:c>
      <x:c r="P563" s="38" t="n">
        <x:v>400</x:v>
      </x:c>
      <x:c r="Q563" s="38" t="n">
        <x:v>19.88</x:v>
      </x:c>
      <x:c r="R563" s="38" t="n">
        <x:v>43.7475</x:v>
      </x:c>
      <x:c r="S563" s="38" t="n">
        <x:v>96.49</x:v>
      </x:c>
      <x:c r="T563" s="40" t="n">
        <x:v>20.4</x:v>
      </x:c>
      <x:c r="U563" s="40" t="n">
        <x:v>1.21</x:v>
      </x:c>
      <x:c r="V563" s="38" t="n">
        <x:f>L563*(1-T563/100)*(1-U563/100)</x:f>
        <x:v>391.9165741392</x:v>
      </x:c>
      <x:c r="W563" s="38" t="n">
        <x:f>G563*N563</x:f>
        <x:v>213248.22562</x:v>
      </x:c>
      <x:c r="X563" s="38" t="n">
        <x:f>H563*O563</x:f>
        <x:v>46723.39572000001</x:v>
      </x:c>
      <x:c r="Y563" s="38" t="n">
        <x:f>I563*P563</x:f>
        <x:v>8772.4</x:v>
      </x:c>
      <x:c r="Z563" s="38" t="n">
        <x:f>J563*Q563+K563*P563</x:f>
        <x:v>2468.9431600000003</x:v>
      </x:c>
      <x:c r="AA563" s="38" t="n">
        <x:f>M563*R563</x:f>
        <x:v>25634.4163425</x:v>
      </x:c>
      <x:c r="AB563" s="38" t="n">
        <x:f>SUM(W563:AA563)</x:f>
        <x:v>296847.3808425001</x:v>
      </x:c>
      <x:c r="AC563" s="38" t="n">
        <x:v>23.55</x:v>
      </x:c>
      <x:c r="AD563" s="38" t="n">
        <x:v>174.33</x:v>
      </x:c>
      <x:c r="AE563" s="38" t="n">
        <x:v>134.21</x:v>
      </x:c>
      <x:c r="AF563" s="38" t="n">
        <x:v>4.8148</x:v>
      </x:c>
      <x:c r="AG563" s="38" t="n">
        <x:v>5.69</x:v>
      </x:c>
      <x:c r="AH563" s="38" t="n">
        <x:f>IF(E563="Fason",L563*S563,0)</x:f>
        <x:v>0</x:v>
      </x:c>
      <x:c r="AI563" s="38" t="n">
        <x:f>IF(E563="Kurum içi",AC563*AD563+AE563*AF563+AB563*12%,0)</x:f>
        <x:v>40373.35150910001</x:v>
      </x:c>
      <x:c r="AJ563" s="38" t="n">
        <x:f>V563*AG563</x:f>
        <x:v>2230.0053068520483</x:v>
      </x:c>
      <x:c r="AK563" s="38" t="n">
        <x:f>AB563*2%</x:f>
        <x:v>5936.947616850001</x:v>
      </x:c>
      <x:c r="AL563" s="38" t="n">
        <x:f>AB563+AH563+AI563+AJ563+AK563</x:f>
        <x:v>345387.68527530215</x:v>
      </x:c>
      <x:c r="AM563" s="38" t="n">
        <x:f>AL563/V563</x:f>
        <x:v>881.2785885208012</x:v>
      </x:c>
      <x:c r="AN563" s="40" t="n">
        <x:f>(W563+X563)/AL563*100</x:f>
        <x:v>75.26951087812567</x:v>
      </x:c>
      <x:c r="AO563" s="28" t="str">
        <x:v>R01-R20; ilgili satırdaki bölgesel fiyat ve maliyet varsayımları</x:v>
      </x:c>
      <x:c r="AP563" s="28" t="str">
        <x:v>Girdi miktarları, alım fiyatı değişimi, fason bedeli ve parti sonucu simüle edilmiştir; işletme kaydı değildir.</x:v>
      </x:c>
    </x:row>
    <x:row r="564" ht="22" customHeight="1">
      <x:c r="A564" t="str">
        <x:v>SUC-0563</x:v>
      </x:c>
      <x:c r="B564" s="36" t="n">
        <x:v>46281</x:v>
      </x:c>
      <x:c r="C564" t="str">
        <x:v>İç Anadolu</x:v>
      </x:c>
      <x:c r="D564" t="str">
        <x:v>MEB_STANDART</x:v>
      </x:c>
      <x:c r="E564" t="str">
        <x:v>Fason</x:v>
      </x:c>
      <x:c r="F564" s="42" t="str">
        <x:v>SENTETİK/SİMÜLE — gerçek parti kaydı değildir</x:v>
      </x:c>
      <x:c r="G564" s="38" t="n">
        <x:v>56.094</x:v>
      </x:c>
      <x:c r="H564" s="38" t="n">
        <x:v>17.145</x:v>
      </x:c>
      <x:c r="I564" s="38" t="n">
        <x:v>3.601</x:v>
      </x:c>
      <x:c r="J564" s="38" t="n">
        <x:v>2.085</x:v>
      </x:c>
      <x:c r="K564" s="38" t="n">
        <x:v>0.842</x:v>
      </x:c>
      <x:c r="L564" s="38" t="n">
        <x:f>SUM(G564:K564)</x:f>
        <x:v>79.767</x:v>
      </x:c>
      <x:c r="M564" s="38" t="n">
        <x:v>106.578</x:v>
      </x:c>
      <x:c r="N564" s="38" t="n">
        <x:v>599.04</x:v>
      </x:c>
      <x:c r="O564" s="38" t="n">
        <x:v>421.55</x:v>
      </x:c>
      <x:c r="P564" s="38" t="n">
        <x:v>669.9</x:v>
      </x:c>
      <x:c r="Q564" s="38" t="n">
        <x:v>19.88</x:v>
      </x:c>
      <x:c r="R564" s="38" t="n">
        <x:v>43.7475</x:v>
      </x:c>
      <x:c r="S564" s="38" t="n">
        <x:v>71.52</x:v>
      </x:c>
      <x:c r="T564" s="40" t="n">
        <x:v>17</x:v>
      </x:c>
      <x:c r="U564" s="40" t="n">
        <x:v>1.41</x:v>
      </x:c>
      <x:c r="V564" s="38" t="n">
        <x:f>L564*(1-T564/100)*(1-U564/100)</x:f>
        <x:v>65.273096799</x:v>
      </x:c>
      <x:c r="W564" s="38" t="n">
        <x:f>G564*N564</x:f>
        <x:v>33602.54976</x:v>
      </x:c>
      <x:c r="X564" s="38" t="n">
        <x:f>H564*O564</x:f>
        <x:v>7227.47475</x:v>
      </x:c>
      <x:c r="Y564" s="38" t="n">
        <x:f>I564*P564</x:f>
        <x:v>2412.3098999999997</x:v>
      </x:c>
      <x:c r="Z564" s="38" t="n">
        <x:f>J564*Q564+K564*P564</x:f>
        <x:v>605.5056</x:v>
      </x:c>
      <x:c r="AA564" s="38" t="n">
        <x:f>M564*R564</x:f>
        <x:v>4662.521055</x:v>
      </x:c>
      <x:c r="AB564" s="38" t="n">
        <x:f>SUM(W564:AA564)</x:f>
        <x:v>48510.361065</x:v>
      </x:c>
      <x:c r="AC564" s="38" t="n">
        <x:v>2.91</x:v>
      </x:c>
      <x:c r="AD564" s="38" t="n">
        <x:v>174.33</x:v>
      </x:c>
      <x:c r="AE564" s="38" t="n">
        <x:v>30.15</x:v>
      </x:c>
      <x:c r="AF564" s="38" t="n">
        <x:v>4.8148</x:v>
      </x:c>
      <x:c r="AG564" s="38" t="n">
        <x:v>5.13</x:v>
      </x:c>
      <x:c r="AH564" s="38" t="n">
        <x:f>IF(E564="Fason",L564*S564,0)</x:f>
        <x:v>5704.935839999999</x:v>
      </x:c>
      <x:c r="AI564" s="38" t="n">
        <x:f>IF(E564="Kurum içi",AC564*AD564+AE564*AF564+AB564*12%,0)</x:f>
        <x:v>0</x:v>
      </x:c>
      <x:c r="AJ564" s="38" t="n">
        <x:f>V564*AG564</x:f>
        <x:v>334.85098657887</x:v>
      </x:c>
      <x:c r="AK564" s="38" t="n">
        <x:f>AB564*2%</x:f>
        <x:v>970.2072213</x:v>
      </x:c>
      <x:c r="AL564" s="38" t="n">
        <x:f>AB564+AH564+AI564+AJ564+AK564</x:f>
        <x:v>55520.35511287887</x:v>
      </x:c>
      <x:c r="AM564" s="38" t="n">
        <x:f>AL564/V564</x:f>
        <x:v>850.5855832740182</x:v>
      </x:c>
      <x:c r="AN564" s="40" t="n">
        <x:f>(W564+X564)/AL564*100</x:f>
        <x:v>73.54064005352299</x:v>
      </x:c>
      <x:c r="AO564" s="28" t="str">
        <x:v>R01-R20; ilgili satırdaki bölgesel fiyat ve maliyet varsayımları</x:v>
      </x:c>
      <x:c r="AP564" s="28" t="str">
        <x:v>Girdi miktarları, alım fiyatı değişimi, fason bedeli ve parti sonucu simüle edilmiştir; işletme kaydı değildir.</x:v>
      </x:c>
    </x:row>
    <x:row r="565" ht="22" customHeight="1">
      <x:c r="A565" t="str">
        <x:v>SUC-0564</x:v>
      </x:c>
      <x:c r="B565" s="36" t="n">
        <x:v>46287</x:v>
      </x:c>
      <x:c r="C565" t="str">
        <x:v>İç Anadolu</x:v>
      </x:c>
      <x:c r="D565" t="str">
        <x:v>MEB_STANDART</x:v>
      </x:c>
      <x:c r="E565" t="str">
        <x:v>Kurum içi</x:v>
      </x:c>
      <x:c r="F565" s="42" t="str">
        <x:v>SENTETİK/SİMÜLE — gerçek parti kaydı değildir</x:v>
      </x:c>
      <x:c r="G565" s="38" t="n">
        <x:v>142.84</x:v>
      </x:c>
      <x:c r="H565" s="38" t="n">
        <x:v>46.352</x:v>
      </x:c>
      <x:c r="I565" s="38" t="n">
        <x:v>9.743</x:v>
      </x:c>
      <x:c r="J565" s="38" t="n">
        <x:v>5.039</x:v>
      </x:c>
      <x:c r="K565" s="38" t="n">
        <x:v>1.938</x:v>
      </x:c>
      <x:c r="L565" s="38" t="n">
        <x:f>SUM(G565:K565)</x:f>
        <x:v>205.91199999999998</x:v>
      </x:c>
      <x:c r="M565" s="38" t="n">
        <x:v>256.542</x:v>
      </x:c>
      <x:c r="N565" s="38" t="n">
        <x:v>598.88</x:v>
      </x:c>
      <x:c r="O565" s="38" t="n">
        <x:v>470.46</x:v>
      </x:c>
      <x:c r="P565" s="38" t="n">
        <x:v>400</x:v>
      </x:c>
      <x:c r="Q565" s="38" t="n">
        <x:v>19.88</x:v>
      </x:c>
      <x:c r="R565" s="38" t="n">
        <x:v>43.7475</x:v>
      </x:c>
      <x:c r="S565" s="38" t="n">
        <x:v>93.78</x:v>
      </x:c>
      <x:c r="T565" s="40" t="n">
        <x:v>16.96</x:v>
      </x:c>
      <x:c r="U565" s="40" t="n">
        <x:v>1</x:v>
      </x:c>
      <x:c r="V565" s="38" t="n">
        <x:f>L565*(1-T565/100)*(1-U565/100)</x:f>
        <x:v>169.27943155199998</x:v>
      </x:c>
      <x:c r="W565" s="38" t="n">
        <x:f>G565*N565</x:f>
        <x:v>85544.0192</x:v>
      </x:c>
      <x:c r="X565" s="38" t="n">
        <x:f>H565*O565</x:f>
        <x:v>21806.761919999997</x:v>
      </x:c>
      <x:c r="Y565" s="38" t="n">
        <x:f>I565*P565</x:f>
        <x:v>3897.2000000000003</x:v>
      </x:c>
      <x:c r="Z565" s="38" t="n">
        <x:f>J565*Q565+K565*P565</x:f>
        <x:v>875.3753199999999</x:v>
      </x:c>
      <x:c r="AA565" s="38" t="n">
        <x:f>M565*R565</x:f>
        <x:v>11223.071145</x:v>
      </x:c>
      <x:c r="AB565" s="38" t="n">
        <x:f>SUM(W565:AA565)</x:f>
        <x:v>123346.427585</x:v>
      </x:c>
      <x:c r="AC565" s="38" t="n">
        <x:v>10.12</x:v>
      </x:c>
      <x:c r="AD565" s="38" t="n">
        <x:v>174.33</x:v>
      </x:c>
      <x:c r="AE565" s="38" t="n">
        <x:v>47.46</x:v>
      </x:c>
      <x:c r="AF565" s="38" t="n">
        <x:v>4.8148</x:v>
      </x:c>
      <x:c r="AG565" s="38" t="n">
        <x:v>5.45</x:v>
      </x:c>
      <x:c r="AH565" s="38" t="n">
        <x:f>IF(E565="Fason",L565*S565,0)</x:f>
        <x:v>0</x:v>
      </x:c>
      <x:c r="AI565" s="38" t="n">
        <x:f>IF(E565="Kurum içi",AC565*AD565+AE565*AF565+AB565*12%,0)</x:f>
        <x:v>16794.3013182</x:v>
      </x:c>
      <x:c r="AJ565" s="38" t="n">
        <x:f>V565*AG565</x:f>
        <x:v>922.5729019583999</x:v>
      </x:c>
      <x:c r="AK565" s="38" t="n">
        <x:f>AB565*2%</x:f>
        <x:v>2466.9285517</x:v>
      </x:c>
      <x:c r="AL565" s="38" t="n">
        <x:f>AB565+AH565+AI565+AJ565+AK565</x:f>
        <x:v>143530.2303568584</x:v>
      </x:c>
      <x:c r="AM565" s="38" t="n">
        <x:f>AL565/V565</x:f>
        <x:v>847.889368725628</x:v>
      </x:c>
      <x:c r="AN565" s="40" t="n">
        <x:f>(W565+X565)/AL565*100</x:f>
        <x:v>74.79315044161385</x:v>
      </x:c>
      <x:c r="AO565" s="28" t="str">
        <x:v>R01-R20; ilgili satırdaki bölgesel fiyat ve maliyet varsayımları</x:v>
      </x:c>
      <x:c r="AP565" s="28" t="str">
        <x:v>Girdi miktarları, alım fiyatı değişimi, fason bedeli ve parti sonucu simüle edilmiştir; işletme kaydı değildir.</x:v>
      </x:c>
    </x:row>
    <x:row r="566" ht="22" customHeight="1">
      <x:c r="A566" t="str">
        <x:v>SUC-0565</x:v>
      </x:c>
      <x:c r="B566" s="36" t="n">
        <x:v>46268</x:v>
      </x:c>
      <x:c r="C566" t="str">
        <x:v>Akdeniz</x:v>
      </x:c>
      <x:c r="D566" t="str">
        <x:v>MEB_STANDART</x:v>
      </x:c>
      <x:c r="E566" t="str">
        <x:v>Fason</x:v>
      </x:c>
      <x:c r="F566" s="42" t="str">
        <x:v>SENTETİK/SİMÜLE — gerçek parti kaydı değildir</x:v>
      </x:c>
      <x:c r="G566" s="38" t="n">
        <x:v>123.747</x:v>
      </x:c>
      <x:c r="H566" s="38" t="n">
        <x:v>39.009</x:v>
      </x:c>
      <x:c r="I566" s="38" t="n">
        <x:v>8.073</x:v>
      </x:c>
      <x:c r="J566" s="38" t="n">
        <x:v>4.398</x:v>
      </x:c>
      <x:c r="K566" s="38" t="n">
        <x:v>1.751</x:v>
      </x:c>
      <x:c r="L566" s="38" t="n">
        <x:f>SUM(G566:K566)</x:f>
        <x:v>176.978</x:v>
      </x:c>
      <x:c r="M566" s="38" t="n">
        <x:v>207.841</x:v>
      </x:c>
      <x:c r="N566" s="38" t="n">
        <x:v>607.31</x:v>
      </x:c>
      <x:c r="O566" s="38" t="n">
        <x:v>432.26</x:v>
      </x:c>
      <x:c r="P566" s="38" t="n">
        <x:v>400</x:v>
      </x:c>
      <x:c r="Q566" s="38" t="n">
        <x:v>19.88</x:v>
      </x:c>
      <x:c r="R566" s="38" t="n">
        <x:v>43.7475</x:v>
      </x:c>
      <x:c r="S566" s="38" t="n">
        <x:v>105.06</x:v>
      </x:c>
      <x:c r="T566" s="40" t="n">
        <x:v>15.94</x:v>
      </x:c>
      <x:c r="U566" s="40" t="n">
        <x:v>1.32</x:v>
      </x:c>
      <x:c r="V566" s="38" t="n">
        <x:f>L566*(1-T566/100)*(1-U566/100)</x:f>
        <x:v>146.80397307024</x:v>
      </x:c>
      <x:c r="W566" s="38" t="n">
        <x:f>G566*N566</x:f>
        <x:v>75152.79057</x:v>
      </x:c>
      <x:c r="X566" s="38" t="n">
        <x:f>H566*O566</x:f>
        <x:v>16862.03034</x:v>
      </x:c>
      <x:c r="Y566" s="38" t="n">
        <x:f>I566*P566</x:f>
        <x:v>3229.2000000000003</x:v>
      </x:c>
      <x:c r="Z566" s="38" t="n">
        <x:f>J566*Q566+K566*P566</x:f>
        <x:v>787.83224</x:v>
      </x:c>
      <x:c r="AA566" s="38" t="n">
        <x:f>M566*R566</x:f>
        <x:v>9092.5241475</x:v>
      </x:c>
      <x:c r="AB566" s="38" t="n">
        <x:f>SUM(W566:AA566)</x:f>
        <x:v>105124.3772975</x:v>
      </x:c>
      <x:c r="AC566" s="38" t="n">
        <x:v>11.25</x:v>
      </x:c>
      <x:c r="AD566" s="38" t="n">
        <x:v>174.33</x:v>
      </x:c>
      <x:c r="AE566" s="38" t="n">
        <x:v>60.22</x:v>
      </x:c>
      <x:c r="AF566" s="38" t="n">
        <x:v>4.8148</x:v>
      </x:c>
      <x:c r="AG566" s="38" t="n">
        <x:v>5.39</x:v>
      </x:c>
      <x:c r="AH566" s="38" t="n">
        <x:f>IF(E566="Fason",L566*S566,0)</x:f>
        <x:v>18593.308680000002</x:v>
      </x:c>
      <x:c r="AI566" s="38" t="n">
        <x:f>IF(E566="Kurum içi",AC566*AD566+AE566*AF566+AB566*12%,0)</x:f>
        <x:v>0</x:v>
      </x:c>
      <x:c r="AJ566" s="38" t="n">
        <x:f>V566*AG566</x:f>
        <x:v>791.2734148485936</x:v>
      </x:c>
      <x:c r="AK566" s="38" t="n">
        <x:f>AB566*2%</x:f>
        <x:v>2102.48754595</x:v>
      </x:c>
      <x:c r="AL566" s="38" t="n">
        <x:f>AB566+AH566+AI566+AJ566+AK566</x:f>
        <x:v>126611.4469382986</x:v>
      </x:c>
      <x:c r="AM566" s="38" t="n">
        <x:f>AL566/V566</x:f>
        <x:v>862.4524547283195</x:v>
      </x:c>
      <x:c r="AN566" s="40" t="n">
        <x:f>(W566+X566)/AL566*100</x:f>
        <x:v>72.67496196836095</x:v>
      </x:c>
      <x:c r="AO566" s="28" t="str">
        <x:v>R01-R20; ilgili satırdaki bölgesel fiyat ve maliyet varsayımları</x:v>
      </x:c>
      <x:c r="AP566" s="28" t="str">
        <x:v>Girdi miktarları, alım fiyatı değişimi, fason bedeli ve parti sonucu simüle edilmiştir; işletme kaydı değildir.</x:v>
      </x:c>
    </x:row>
    <x:row r="567" ht="22" customHeight="1">
      <x:c r="A567" t="str">
        <x:v>SUC-0566</x:v>
      </x:c>
      <x:c r="B567" s="36" t="n">
        <x:v>46307</x:v>
      </x:c>
      <x:c r="C567" t="str">
        <x:v>Ege</x:v>
      </x:c>
      <x:c r="D567" t="str">
        <x:v>ERZURUM_CI</x:v>
      </x:c>
      <x:c r="E567" t="str">
        <x:v>Fason</x:v>
      </x:c>
      <x:c r="F567" s="42" t="str">
        <x:v>SENTETİK/SİMÜLE — gerçek parti kaydı değildir</x:v>
      </x:c>
      <x:c r="G567" s="38" t="n">
        <x:v>372.956</x:v>
      </x:c>
      <x:c r="H567" s="38" t="n">
        <x:v>62.677</x:v>
      </x:c>
      <x:c r="I567" s="38" t="n">
        <x:v>21.564</x:v>
      </x:c>
      <x:c r="J567" s="38" t="n">
        <x:v>7.547</x:v>
      </x:c>
      <x:c r="K567" s="38" t="n">
        <x:v>0.447</x:v>
      </x:c>
      <x:c r="L567" s="38" t="n">
        <x:f>SUM(G567:K567)</x:f>
        <x:v>465.1910000000001</x:v>
      </x:c>
      <x:c r="M567" s="38" t="n">
        <x:v>597.402</x:v>
      </x:c>
      <x:c r="N567" s="38" t="n">
        <x:v>615.55</x:v>
      </x:c>
      <x:c r="O567" s="38" t="n">
        <x:v>476.64</x:v>
      </x:c>
      <x:c r="P567" s="38" t="n">
        <x:v>400</x:v>
      </x:c>
      <x:c r="Q567" s="38" t="n">
        <x:v>19.88</x:v>
      </x:c>
      <x:c r="R567" s="38" t="n">
        <x:v>43.7475</x:v>
      </x:c>
      <x:c r="S567" s="38" t="n">
        <x:v>117.35</x:v>
      </x:c>
      <x:c r="T567" s="40" t="n">
        <x:v>17.36</x:v>
      </x:c>
      <x:c r="U567" s="40" t="n">
        <x:v>1.63</x:v>
      </x:c>
      <x:c r="V567" s="38" t="n">
        <x:f>L567*(1-T567/100)*(1-U567/100)</x:f>
        <x:v>378.16757076888007</x:v>
      </x:c>
      <x:c r="W567" s="38" t="n">
        <x:f>G567*N567</x:f>
        <x:v>229573.06579999998</x:v>
      </x:c>
      <x:c r="X567" s="38" t="n">
        <x:f>H567*O567</x:f>
        <x:v>29874.365279999998</x:v>
      </x:c>
      <x:c r="Y567" s="38" t="n">
        <x:f>I567*P567</x:f>
        <x:v>8625.6</x:v>
      </x:c>
      <x:c r="Z567" s="38" t="n">
        <x:f>J567*Q567+K567*P567</x:f>
        <x:v>328.83436</x:v>
      </x:c>
      <x:c r="AA567" s="38" t="n">
        <x:f>M567*R567</x:f>
        <x:v>26134.843995000003</x:v>
      </x:c>
      <x:c r="AB567" s="38" t="n">
        <x:f>SUM(W567:AA567)</x:f>
        <x:v>294536.70943499997</x:v>
      </x:c>
      <x:c r="AC567" s="38" t="n">
        <x:v>19.99</x:v>
      </x:c>
      <x:c r="AD567" s="38" t="n">
        <x:v>174.33</x:v>
      </x:c>
      <x:c r="AE567" s="38" t="n">
        <x:v>156.29</x:v>
      </x:c>
      <x:c r="AF567" s="38" t="n">
        <x:v>4.8148</x:v>
      </x:c>
      <x:c r="AG567" s="38" t="n">
        <x:v>5.13</x:v>
      </x:c>
      <x:c r="AH567" s="38" t="n">
        <x:f>IF(E567="Fason",L567*S567,0)</x:f>
        <x:v>54590.163850000004</x:v>
      </x:c>
      <x:c r="AI567" s="38" t="n">
        <x:f>IF(E567="Kurum içi",AC567*AD567+AE567*AF567+AB567*12%,0)</x:f>
        <x:v>0</x:v>
      </x:c>
      <x:c r="AJ567" s="38" t="n">
        <x:f>V567*AG567</x:f>
        <x:v>1939.9996380443547</x:v>
      </x:c>
      <x:c r="AK567" s="38" t="n">
        <x:f>AB567*2%</x:f>
        <x:v>5890.734188699999</x:v>
      </x:c>
      <x:c r="AL567" s="38" t="n">
        <x:f>AB567+AH567+AI567+AJ567+AK567</x:f>
        <x:v>356957.6071117443</x:v>
      </x:c>
      <x:c r="AM567" s="38" t="n">
        <x:f>AL567/V567</x:f>
        <x:v>943.9138485248425</x:v>
      </x:c>
      <x:c r="AN567" s="40" t="n">
        <x:f>(W567+X567)/AL567*100</x:f>
        <x:v>72.68298137116906</x:v>
      </x:c>
      <x:c r="AO567" s="28" t="str">
        <x:v>R01-R20; ilgili satırdaki bölgesel fiyat ve maliyet varsayımları</x:v>
      </x:c>
      <x:c r="AP567" s="28" t="str">
        <x:v>Girdi miktarları, alım fiyatı değişimi, fason bedeli ve parti sonucu simüle edilmiştir; işletme kaydı değildir.</x:v>
      </x:c>
    </x:row>
    <x:row r="568" ht="22" customHeight="1">
      <x:c r="A568" t="str">
        <x:v>SUC-0567</x:v>
      </x:c>
      <x:c r="B568" s="36" t="n">
        <x:v>46290</x:v>
      </x:c>
      <x:c r="C568" t="str">
        <x:v>Marmara</x:v>
      </x:c>
      <x:c r="D568" t="str">
        <x:v>MEB_STANDART</x:v>
      </x:c>
      <x:c r="E568" t="str">
        <x:v>Kurum içi</x:v>
      </x:c>
      <x:c r="F568" s="42" t="str">
        <x:v>SENTETİK/SİMÜLE — gerçek parti kaydı değildir</x:v>
      </x:c>
      <x:c r="G568" s="38" t="n">
        <x:v>125.131</x:v>
      </x:c>
      <x:c r="H568" s="38" t="n">
        <x:v>40.433</x:v>
      </x:c>
      <x:c r="I568" s="38" t="n">
        <x:v>8.463</x:v>
      </x:c>
      <x:c r="J568" s="38" t="n">
        <x:v>4.502</x:v>
      </x:c>
      <x:c r="K568" s="38" t="n">
        <x:v>1.908</x:v>
      </x:c>
      <x:c r="L568" s="38" t="n">
        <x:f>SUM(G568:K568)</x:f>
        <x:v>180.43699999999998</x:v>
      </x:c>
      <x:c r="M568" s="38" t="n">
        <x:v>209.955</x:v>
      </x:c>
      <x:c r="N568" s="38" t="n">
        <x:v>597.21</x:v>
      </x:c>
      <x:c r="O568" s="38" t="n">
        <x:v>428.1</x:v>
      </x:c>
      <x:c r="P568" s="38" t="n">
        <x:v>669.9</x:v>
      </x:c>
      <x:c r="Q568" s="38" t="n">
        <x:v>19.88</x:v>
      </x:c>
      <x:c r="R568" s="38" t="n">
        <x:v>43.7475</x:v>
      </x:c>
      <x:c r="S568" s="38" t="n">
        <x:v>88.46</x:v>
      </x:c>
      <x:c r="T568" s="40" t="n">
        <x:v>19.87</x:v>
      </x:c>
      <x:c r="U568" s="40" t="n">
        <x:v>1.32</x:v>
      </x:c>
      <x:c r="V568" s="38" t="n">
        <x:f>L568*(1-T568/100)*(1-U568/100)</x:f>
        <x:v>142.67565708108</x:v>
      </x:c>
      <x:c r="W568" s="38" t="n">
        <x:f>G568*N568</x:f>
        <x:v>74729.48451000001</x:v>
      </x:c>
      <x:c r="X568" s="38" t="n">
        <x:f>H568*O568</x:f>
        <x:v>17309.3673</x:v>
      </x:c>
      <x:c r="Y568" s="38" t="n">
        <x:f>I568*P568</x:f>
        <x:v>5669.363699999999</x:v>
      </x:c>
      <x:c r="Z568" s="38" t="n">
        <x:f>J568*Q568+K568*P568</x:f>
        <x:v>1367.6689599999997</x:v>
      </x:c>
      <x:c r="AA568" s="38" t="n">
        <x:f>M568*R568</x:f>
        <x:v>9185.0063625</x:v>
      </x:c>
      <x:c r="AB568" s="38" t="n">
        <x:f>SUM(W568:AA568)</x:f>
        <x:v>108260.89083250001</x:v>
      </x:c>
      <x:c r="AC568" s="38" t="n">
        <x:v>9.21</x:v>
      </x:c>
      <x:c r="AD568" s="38" t="n">
        <x:v>174.33</x:v>
      </x:c>
      <x:c r="AE568" s="38" t="n">
        <x:v>43.49</x:v>
      </x:c>
      <x:c r="AF568" s="38" t="n">
        <x:v>4.8148</x:v>
      </x:c>
      <x:c r="AG568" s="38" t="n">
        <x:v>5.38</x:v>
      </x:c>
      <x:c r="AH568" s="38" t="n">
        <x:f>IF(E568="Fason",L568*S568,0)</x:f>
        <x:v>0</x:v>
      </x:c>
      <x:c r="AI568" s="38" t="n">
        <x:f>IF(E568="Kurum içi",AC568*AD568+AE568*AF568+AB568*12%,0)</x:f>
        <x:v>14806.281851900001</x:v>
      </x:c>
      <x:c r="AJ568" s="38" t="n">
        <x:f>V568*AG568</x:f>
        <x:v>767.5950350962104</x:v>
      </x:c>
      <x:c r="AK568" s="38" t="n">
        <x:f>AB568*2%</x:f>
        <x:v>2165.2178166500003</x:v>
      </x:c>
      <x:c r="AL568" s="38" t="n">
        <x:f>AB568+AH568+AI568+AJ568+AK568</x:f>
        <x:v>125999.98553614621</x:v>
      </x:c>
      <x:c r="AM568" s="38" t="n">
        <x:f>AL568/V568</x:f>
        <x:v>883.1218170913535</x:v>
      </x:c>
      <x:c r="AN568" s="40" t="n">
        <x:f>(W568+X568)/AL568*100</x:f>
        <x:v>73.04671617092876</x:v>
      </x:c>
      <x:c r="AO568" s="28" t="str">
        <x:v>R01-R20; ilgili satırdaki bölgesel fiyat ve maliyet varsayımları</x:v>
      </x:c>
      <x:c r="AP568" s="28" t="str">
        <x:v>Girdi miktarları, alım fiyatı değişimi, fason bedeli ve parti sonucu simüle edilmiştir; işletme kaydı değildir.</x:v>
      </x:c>
    </x:row>
    <x:row r="569" ht="22" customHeight="1">
      <x:c r="A569" t="str">
        <x:v>SUC-0568</x:v>
      </x:c>
      <x:c r="B569" s="36" t="n">
        <x:v>46279</x:v>
      </x:c>
      <x:c r="C569" t="str">
        <x:v>İç Anadolu</x:v>
      </x:c>
      <x:c r="D569" t="str">
        <x:v>ERZURUM_CI</x:v>
      </x:c>
      <x:c r="E569" t="str">
        <x:v>Kurum içi</x:v>
      </x:c>
      <x:c r="F569" s="42" t="str">
        <x:v>SENTETİK/SİMÜLE — gerçek parti kaydı değildir</x:v>
      </x:c>
      <x:c r="G569" s="38" t="n">
        <x:v>267.286</x:v>
      </x:c>
      <x:c r="H569" s="38" t="n">
        <x:v>46.903</x:v>
      </x:c>
      <x:c r="I569" s="38" t="n">
        <x:v>16.297</x:v>
      </x:c>
      <x:c r="J569" s="38" t="n">
        <x:v>5.819</x:v>
      </x:c>
      <x:c r="K569" s="38" t="n">
        <x:v>0.051</x:v>
      </x:c>
      <x:c r="L569" s="38" t="n">
        <x:f>SUM(G569:K569)</x:f>
        <x:v>336.35600000000005</x:v>
      </x:c>
      <x:c r="M569" s="38" t="n">
        <x:v>399.121</x:v>
      </x:c>
      <x:c r="N569" s="38" t="n">
        <x:v>579.25</x:v>
      </x:c>
      <x:c r="O569" s="38" t="n">
        <x:v>444.38</x:v>
      </x:c>
      <x:c r="P569" s="38" t="n">
        <x:v>400</x:v>
      </x:c>
      <x:c r="Q569" s="38" t="n">
        <x:v>19.88</x:v>
      </x:c>
      <x:c r="R569" s="38" t="n">
        <x:v>43.7475</x:v>
      </x:c>
      <x:c r="S569" s="38" t="n">
        <x:v>118.9</x:v>
      </x:c>
      <x:c r="T569" s="40" t="n">
        <x:v>22.49</x:v>
      </x:c>
      <x:c r="U569" s="40" t="n">
        <x:v>0.89</x:v>
      </x:c>
      <x:c r="V569" s="38" t="n">
        <x:f>L569*(1-T569/100)*(1-U569/100)</x:f>
        <x:v>258.38922073316</x:v>
      </x:c>
      <x:c r="W569" s="38" t="n">
        <x:f>G569*N569</x:f>
        <x:v>154825.4155</x:v>
      </x:c>
      <x:c r="X569" s="38" t="n">
        <x:f>H569*O569</x:f>
        <x:v>20842.755139999997</x:v>
      </x:c>
      <x:c r="Y569" s="38" t="n">
        <x:f>I569*P569</x:f>
        <x:v>6518.8</x:v>
      </x:c>
      <x:c r="Z569" s="38" t="n">
        <x:f>J569*Q569+K569*P569</x:f>
        <x:v>136.08172</x:v>
      </x:c>
      <x:c r="AA569" s="38" t="n">
        <x:f>M569*R569</x:f>
        <x:v>17460.5459475</x:v>
      </x:c>
      <x:c r="AB569" s="38" t="n">
        <x:f>SUM(W569:AA569)</x:f>
        <x:v>199783.59830749998</x:v>
      </x:c>
      <x:c r="AC569" s="38" t="n">
        <x:v>22.43</x:v>
      </x:c>
      <x:c r="AD569" s="38" t="n">
        <x:v>174.33</x:v>
      </x:c>
      <x:c r="AE569" s="38" t="n">
        <x:v>145.72</x:v>
      </x:c>
      <x:c r="AF569" s="38" t="n">
        <x:v>4.8148</x:v>
      </x:c>
      <x:c r="AG569" s="38" t="n">
        <x:v>5.29</x:v>
      </x:c>
      <x:c r="AH569" s="38" t="n">
        <x:f>IF(E569="Fason",L569*S569,0)</x:f>
        <x:v>0</x:v>
      </x:c>
      <x:c r="AI569" s="38" t="n">
        <x:f>IF(E569="Kurum içi",AC569*AD569+AE569*AF569+AB569*12%,0)</x:f>
        <x:v>28585.866352899997</x:v>
      </x:c>
      <x:c r="AJ569" s="38" t="n">
        <x:f>V569*AG569</x:f>
        <x:v>1366.8789776784165</x:v>
      </x:c>
      <x:c r="AK569" s="38" t="n">
        <x:f>AB569*2%</x:f>
        <x:v>3995.6719661499997</x:v>
      </x:c>
      <x:c r="AL569" s="38" t="n">
        <x:f>AB569+AH569+AI569+AJ569+AK569</x:f>
        <x:v>233732.0156042284</x:v>
      </x:c>
      <x:c r="AM569" s="38" t="n">
        <x:f>AL569/V569</x:f>
        <x:v>904.5733987703951</x:v>
      </x:c>
      <x:c r="AN569" s="40" t="n">
        <x:f>(W569+X569)/AL569*100</x:f>
        <x:v>75.15794110869851</x:v>
      </x:c>
      <x:c r="AO569" s="28" t="str">
        <x:v>R01-R20; ilgili satırdaki bölgesel fiyat ve maliyet varsayımları</x:v>
      </x:c>
      <x:c r="AP569" s="28" t="str">
        <x:v>Girdi miktarları, alım fiyatı değişimi, fason bedeli ve parti sonucu simüle edilmiştir; işletme kaydı değildir.</x:v>
      </x:c>
    </x:row>
    <x:row r="570" ht="22" customHeight="1">
      <x:c r="A570" t="str">
        <x:v>SUC-0569</x:v>
      </x:c>
      <x:c r="B570" s="36" t="n">
        <x:v>46313</x:v>
      </x:c>
      <x:c r="C570" t="str">
        <x:v>Akdeniz</x:v>
      </x:c>
      <x:c r="D570" t="str">
        <x:v>ERZURUM_CI</x:v>
      </x:c>
      <x:c r="E570" t="str">
        <x:v>Fason</x:v>
      </x:c>
      <x:c r="F570" s="42" t="str">
        <x:v>SENTETİK/SİMÜLE — gerçek parti kaydı değildir</x:v>
      </x:c>
      <x:c r="G570" s="38" t="n">
        <x:v>163.708</x:v>
      </x:c>
      <x:c r="H570" s="38" t="n">
        <x:v>27.013</x:v>
      </x:c>
      <x:c r="I570" s="38" t="n">
        <x:v>8.997</x:v>
      </x:c>
      <x:c r="J570" s="38" t="n">
        <x:v>3.335</x:v>
      </x:c>
      <x:c r="K570" s="38" t="n">
        <x:v>0.413</x:v>
      </x:c>
      <x:c r="L570" s="38" t="n">
        <x:f>SUM(G570:K570)</x:f>
        <x:v>203.46600000000004</x:v>
      </x:c>
      <x:c r="M570" s="38" t="n">
        <x:v>252.704</x:v>
      </x:c>
      <x:c r="N570" s="38" t="n">
        <x:v>573.98</x:v>
      </x:c>
      <x:c r="O570" s="38" t="n">
        <x:v>459.14</x:v>
      </x:c>
      <x:c r="P570" s="38" t="n">
        <x:v>400</x:v>
      </x:c>
      <x:c r="Q570" s="38" t="n">
        <x:v>19.88</x:v>
      </x:c>
      <x:c r="R570" s="38" t="n">
        <x:v>43.7475</x:v>
      </x:c>
      <x:c r="S570" s="38" t="n">
        <x:v>91.27</x:v>
      </x:c>
      <x:c r="T570" s="40" t="n">
        <x:v>20.84</x:v>
      </x:c>
      <x:c r="U570" s="40" t="n">
        <x:v>1.32</x:v>
      </x:c>
      <x:c r="V570" s="38" t="n">
        <x:f>L570*(1-T570/100)*(1-U570/100)</x:f>
        <x:v>158.93764495008003</x:v>
      </x:c>
      <x:c r="W570" s="38" t="n">
        <x:f>G570*N570</x:f>
        <x:v>93965.11784</x:v>
      </x:c>
      <x:c r="X570" s="38" t="n">
        <x:f>H570*O570</x:f>
        <x:v>12402.74882</x:v>
      </x:c>
      <x:c r="Y570" s="38" t="n">
        <x:f>I570*P570</x:f>
        <x:v>3598.8</x:v>
      </x:c>
      <x:c r="Z570" s="38" t="n">
        <x:f>J570*Q570+K570*P570</x:f>
        <x:v>231.4998</x:v>
      </x:c>
      <x:c r="AA570" s="38" t="n">
        <x:f>M570*R570</x:f>
        <x:v>11055.16824</x:v>
      </x:c>
      <x:c r="AB570" s="38" t="n">
        <x:f>SUM(W570:AA570)</x:f>
        <x:v>121253.3347</x:v>
      </x:c>
      <x:c r="AC570" s="38" t="n">
        <x:v>11.18</x:v>
      </x:c>
      <x:c r="AD570" s="38" t="n">
        <x:v>174.33</x:v>
      </x:c>
      <x:c r="AE570" s="38" t="n">
        <x:v>77.52</x:v>
      </x:c>
      <x:c r="AF570" s="38" t="n">
        <x:v>4.8148</x:v>
      </x:c>
      <x:c r="AG570" s="38" t="n">
        <x:v>5.28</x:v>
      </x:c>
      <x:c r="AH570" s="38" t="n">
        <x:f>IF(E570="Fason",L570*S570,0)</x:f>
        <x:v>18570.34182</x:v>
      </x:c>
      <x:c r="AI570" s="38" t="n">
        <x:f>IF(E570="Kurum içi",AC570*AD570+AE570*AF570+AB570*12%,0)</x:f>
        <x:v>0</x:v>
      </x:c>
      <x:c r="AJ570" s="38" t="n">
        <x:f>V570*AG570</x:f>
        <x:v>839.1907653364226</x:v>
      </x:c>
      <x:c r="AK570" s="38" t="n">
        <x:f>AB570*2%</x:f>
        <x:v>2425.066694</x:v>
      </x:c>
      <x:c r="AL570" s="38" t="n">
        <x:f>AB570+AH570+AI570+AJ570+AK570</x:f>
        <x:v>143087.93397933643</x:v>
      </x:c>
      <x:c r="AM570" s="38" t="n">
        <x:f>AL570/V570</x:f>
        <x:v>900.2771748900535</x:v>
      </x:c>
      <x:c r="AN570" s="40" t="n">
        <x:f>(W570+X570)/AL570*100</x:f>
        <x:v>74.33741175923385</x:v>
      </x:c>
      <x:c r="AO570" s="28" t="str">
        <x:v>R01-R20; ilgili satırdaki bölgesel fiyat ve maliyet varsayımları</x:v>
      </x:c>
      <x:c r="AP570" s="28" t="str">
        <x:v>Girdi miktarları, alım fiyatı değişimi, fason bedeli ve parti sonucu simüle edilmiştir; işletme kaydı değildir.</x:v>
      </x:c>
    </x:row>
    <x:row r="571" ht="22" customHeight="1">
      <x:c r="A571" t="str">
        <x:v>SUC-0570</x:v>
      </x:c>
      <x:c r="B571" s="36" t="n">
        <x:v>46285</x:v>
      </x:c>
      <x:c r="C571" t="str">
        <x:v>Doğu Anadolu</x:v>
      </x:c>
      <x:c r="D571" t="str">
        <x:v>ERZURUM_CI</x:v>
      </x:c>
      <x:c r="E571" t="str">
        <x:v>Kurum içi</x:v>
      </x:c>
      <x:c r="F571" s="42" t="str">
        <x:v>SENTETİK/SİMÜLE — gerçek parti kaydı değildir</x:v>
      </x:c>
      <x:c r="G571" s="38" t="n">
        <x:v>101.784</x:v>
      </x:c>
      <x:c r="H571" s="38" t="n">
        <x:v>18.217</x:v>
      </x:c>
      <x:c r="I571" s="38" t="n">
        <x:v>5.613</x:v>
      </x:c>
      <x:c r="J571" s="38" t="n">
        <x:v>2.14</x:v>
      </x:c>
      <x:c r="K571" s="38" t="n">
        <x:v>0.084</x:v>
      </x:c>
      <x:c r="L571" s="38" t="n">
        <x:f>SUM(G571:K571)</x:f>
        <x:v>127.83800000000001</x:v>
      </x:c>
      <x:c r="M571" s="38" t="n">
        <x:v>157.156</x:v>
      </x:c>
      <x:c r="N571" s="38" t="n">
        <x:v>606.41</x:v>
      </x:c>
      <x:c r="O571" s="38" t="n">
        <x:v>442.11</x:v>
      </x:c>
      <x:c r="P571" s="38" t="n">
        <x:v>550</x:v>
      </x:c>
      <x:c r="Q571" s="38" t="n">
        <x:v>19.88</x:v>
      </x:c>
      <x:c r="R571" s="38" t="n">
        <x:v>43.7475</x:v>
      </x:c>
      <x:c r="S571" s="38" t="n">
        <x:v>112.75</x:v>
      </x:c>
      <x:c r="T571" s="40" t="n">
        <x:v>30.47</x:v>
      </x:c>
      <x:c r="U571" s="40" t="n">
        <x:v>0.52</x:v>
      </x:c>
      <x:c r="V571" s="38" t="n">
        <x:f>L571*(1-T571/100)*(1-U571/100)</x:f>
        <x:v>88.42355544072001</x:v>
      </x:c>
      <x:c r="W571" s="38" t="n">
        <x:f>G571*N571</x:f>
        <x:v>61722.83544</x:v>
      </x:c>
      <x:c r="X571" s="38" t="n">
        <x:f>H571*O571</x:f>
        <x:v>8053.917869999999</x:v>
      </x:c>
      <x:c r="Y571" s="38" t="n">
        <x:f>I571*P571</x:f>
        <x:v>3087.15</x:v>
      </x:c>
      <x:c r="Z571" s="38" t="n">
        <x:f>J571*Q571+K571*P571</x:f>
        <x:v>88.7432</x:v>
      </x:c>
      <x:c r="AA571" s="38" t="n">
        <x:f>M571*R571</x:f>
        <x:v>6875.182110000001</x:v>
      </x:c>
      <x:c r="AB571" s="38" t="n">
        <x:f>SUM(W571:AA571)</x:f>
        <x:v>79827.82861999999</x:v>
      </x:c>
      <x:c r="AC571" s="38" t="n">
        <x:v>4.53</x:v>
      </x:c>
      <x:c r="AD571" s="38" t="n">
        <x:v>174.33</x:v>
      </x:c>
      <x:c r="AE571" s="38" t="n">
        <x:v>35.76</x:v>
      </x:c>
      <x:c r="AF571" s="38" t="n">
        <x:v>4.8148</x:v>
      </x:c>
      <x:c r="AG571" s="38" t="n">
        <x:v>5.74</x:v>
      </x:c>
      <x:c r="AH571" s="38" t="n">
        <x:f>IF(E571="Fason",L571*S571,0)</x:f>
        <x:v>0</x:v>
      </x:c>
      <x:c r="AI571" s="38" t="n">
        <x:f>IF(E571="Kurum içi",AC571*AD571+AE571*AF571+AB571*12%,0)</x:f>
        <x:v>10541.231582399998</x:v>
      </x:c>
      <x:c r="AJ571" s="38" t="n">
        <x:f>V571*AG571</x:f>
        <x:v>507.5512082297329</x:v>
      </x:c>
      <x:c r="AK571" s="38" t="n">
        <x:f>AB571*2%</x:f>
        <x:v>1596.5565723999998</x:v>
      </x:c>
      <x:c r="AL571" s="38" t="n">
        <x:f>AB571+AH571+AI571+AJ571+AK571</x:f>
        <x:v>92473.16798302972</x:v>
      </x:c>
      <x:c r="AM571" s="38" t="n">
        <x:f>AL571/V571</x:f>
        <x:v>1045.7978931306898</x:v>
      </x:c>
      <x:c r="AN571" s="40" t="n">
        <x:f>(W571+X571)/AL571*100</x:f>
        <x:v>75.45621592936573</x:v>
      </x:c>
      <x:c r="AO571" s="28" t="str">
        <x:v>R01-R20; ilgili satırdaki bölgesel fiyat ve maliyet varsayımları</x:v>
      </x:c>
      <x:c r="AP571" s="28" t="str">
        <x:v>Girdi miktarları, alım fiyatı değişimi, fason bedeli ve parti sonucu simüle edilmiştir; işletme kaydı değildir.</x:v>
      </x:c>
    </x:row>
    <x:row r="572" ht="22" customHeight="1">
      <x:c r="A572" t="str">
        <x:v>SUC-0571</x:v>
      </x:c>
      <x:c r="B572" s="36" t="n">
        <x:v>46267</x:v>
      </x:c>
      <x:c r="C572" t="str">
        <x:v>Doğu Anadolu</x:v>
      </x:c>
      <x:c r="D572" t="str">
        <x:v>ERZURUM_CI</x:v>
      </x:c>
      <x:c r="E572" t="str">
        <x:v>Fason</x:v>
      </x:c>
      <x:c r="F572" s="42" t="str">
        <x:v>SENTETİK/SİMÜLE — gerçek parti kaydı değildir</x:v>
      </x:c>
      <x:c r="G572" s="38" t="n">
        <x:v>78.806</x:v>
      </x:c>
      <x:c r="H572" s="38" t="n">
        <x:v>13.699</x:v>
      </x:c>
      <x:c r="I572" s="38" t="n">
        <x:v>4.594</x:v>
      </x:c>
      <x:c r="J572" s="38" t="n">
        <x:v>1.557</x:v>
      </x:c>
      <x:c r="K572" s="38" t="n">
        <x:v>0.073</x:v>
      </x:c>
      <x:c r="L572" s="38" t="n">
        <x:f>SUM(G572:K572)</x:f>
        <x:v>98.72899999999998</x:v>
      </x:c>
      <x:c r="M572" s="38" t="n">
        <x:v>130.907</x:v>
      </x:c>
      <x:c r="N572" s="38" t="n">
        <x:v>592.96</x:v>
      </x:c>
      <x:c r="O572" s="38" t="n">
        <x:v>451.03</x:v>
      </x:c>
      <x:c r="P572" s="38" t="n">
        <x:v>669.9</x:v>
      </x:c>
      <x:c r="Q572" s="38" t="n">
        <x:v>19.88</x:v>
      </x:c>
      <x:c r="R572" s="38" t="n">
        <x:v>43.7475</x:v>
      </x:c>
      <x:c r="S572" s="38" t="n">
        <x:v>117</x:v>
      </x:c>
      <x:c r="T572" s="40" t="n">
        <x:v>33.4</x:v>
      </x:c>
      <x:c r="U572" s="40" t="n">
        <x:v>0.73</x:v>
      </x:c>
      <x:c r="V572" s="38" t="n">
        <x:f>L572*(1-T572/100)*(1-U572/100)</x:f>
        <x:v>65.27351334779999</x:v>
      </x:c>
      <x:c r="W572" s="38" t="n">
        <x:f>G572*N572</x:f>
        <x:v>46728.80576</x:v>
      </x:c>
      <x:c r="X572" s="38" t="n">
        <x:f>H572*O572</x:f>
        <x:v>6178.65997</x:v>
      </x:c>
      <x:c r="Y572" s="38" t="n">
        <x:f>I572*P572</x:f>
        <x:v>3077.5206000000003</x:v>
      </x:c>
      <x:c r="Z572" s="38" t="n">
        <x:f>J572*Q572+K572*P572</x:f>
        <x:v>79.85585999999999</x:v>
      </x:c>
      <x:c r="AA572" s="38" t="n">
        <x:f>M572*R572</x:f>
        <x:v>5726.853982500001</x:v>
      </x:c>
      <x:c r="AB572" s="38" t="n">
        <x:f>SUM(W572:AA572)</x:f>
        <x:v>61791.696172500015</x:v>
      </x:c>
      <x:c r="AC572" s="38" t="n">
        <x:v>6.48</x:v>
      </x:c>
      <x:c r="AD572" s="38" t="n">
        <x:v>174.33</x:v>
      </x:c>
      <x:c r="AE572" s="38" t="n">
        <x:v>37.8</x:v>
      </x:c>
      <x:c r="AF572" s="38" t="n">
        <x:v>4.8148</x:v>
      </x:c>
      <x:c r="AG572" s="38" t="n">
        <x:v>5.4</x:v>
      </x:c>
      <x:c r="AH572" s="38" t="n">
        <x:f>IF(E572="Fason",L572*S572,0)</x:f>
        <x:v>11551.292999999998</x:v>
      </x:c>
      <x:c r="AI572" s="38" t="n">
        <x:f>IF(E572="Kurum içi",AC572*AD572+AE572*AF572+AB572*12%,0)</x:f>
        <x:v>0</x:v>
      </x:c>
      <x:c r="AJ572" s="38" t="n">
        <x:f>V572*AG572</x:f>
        <x:v>352.47697207811996</x:v>
      </x:c>
      <x:c r="AK572" s="38" t="n">
        <x:f>AB572*2%</x:f>
        <x:v>1235.8339234500004</x:v>
      </x:c>
      <x:c r="AL572" s="38" t="n">
        <x:f>AB572+AH572+AI572+AJ572+AK572</x:f>
        <x:v>74931.30006802813</x:v>
      </x:c>
      <x:c r="AM572" s="38" t="n">
        <x:f>AL572/V572</x:f>
        <x:v>1147.9587389262792</x:v>
      </x:c>
      <x:c r="AN572" s="40" t="n">
        <x:f>(W572+X572)/AL572*100</x:f>
        <x:v>70.60796447141145</x:v>
      </x:c>
      <x:c r="AO572" s="28" t="str">
        <x:v>R01-R20; ilgili satırdaki bölgesel fiyat ve maliyet varsayımları</x:v>
      </x:c>
      <x:c r="AP572" s="28" t="str">
        <x:v>Girdi miktarları, alım fiyatı değişimi, fason bedeli ve parti sonucu simüle edilmiştir; işletme kaydı değildir.</x:v>
      </x:c>
    </x:row>
    <x:row r="573" ht="22" customHeight="1">
      <x:c r="A573" t="str">
        <x:v>SUC-0572</x:v>
      </x:c>
      <x:c r="B573" s="36" t="n">
        <x:v>46291</x:v>
      </x:c>
      <x:c r="C573" t="str">
        <x:v>Güneydoğu Anadolu</x:v>
      </x:c>
      <x:c r="D573" t="str">
        <x:v>ERZURUM_CI</x:v>
      </x:c>
      <x:c r="E573" t="str">
        <x:v>Kurum içi</x:v>
      </x:c>
      <x:c r="F573" s="42" t="str">
        <x:v>SENTETİK/SİMÜLE — gerçek parti kaydı değildir</x:v>
      </x:c>
      <x:c r="G573" s="38" t="n">
        <x:v>190.467</x:v>
      </x:c>
      <x:c r="H573" s="38" t="n">
        <x:v>34.911</x:v>
      </x:c>
      <x:c r="I573" s="38" t="n">
        <x:v>10.967</x:v>
      </x:c>
      <x:c r="J573" s="38" t="n">
        <x:v>4.162</x:v>
      </x:c>
      <x:c r="K573" s="38" t="n">
        <x:v>0.024</x:v>
      </x:c>
      <x:c r="L573" s="38" t="n">
        <x:f>SUM(G573:K573)</x:f>
        <x:v>240.53100000000003</x:v>
      </x:c>
      <x:c r="M573" s="38" t="n">
        <x:v>296.146</x:v>
      </x:c>
      <x:c r="N573" s="38" t="n">
        <x:v>591.78</x:v>
      </x:c>
      <x:c r="O573" s="38" t="n">
        <x:v>461.14</x:v>
      </x:c>
      <x:c r="P573" s="38" t="n">
        <x:v>669.9</x:v>
      </x:c>
      <x:c r="Q573" s="38" t="n">
        <x:v>19.88</x:v>
      </x:c>
      <x:c r="R573" s="38" t="n">
        <x:v>43.7475</x:v>
      </x:c>
      <x:c r="S573" s="38" t="n">
        <x:v>107.36</x:v>
      </x:c>
      <x:c r="T573" s="40" t="n">
        <x:v>18.57</x:v>
      </x:c>
      <x:c r="U573" s="40" t="n">
        <x:v>0.67</x:v>
      </x:c>
      <x:c r="V573" s="38" t="n">
        <x:f>L573*(1-T573/100)*(1-U573/100)</x:f>
        <x:v>194.55210186489003</x:v>
      </x:c>
      <x:c r="W573" s="38" t="n">
        <x:f>G573*N573</x:f>
        <x:v>112714.56126</x:v>
      </x:c>
      <x:c r="X573" s="38" t="n">
        <x:f>H573*O573</x:f>
        <x:v>16098.85854</x:v>
      </x:c>
      <x:c r="Y573" s="38" t="n">
        <x:f>I573*P573</x:f>
        <x:v>7346.7933</x:v>
      </x:c>
      <x:c r="Z573" s="38" t="n">
        <x:f>J573*Q573+K573*P573</x:f>
        <x:v>98.81815999999999</x:v>
      </x:c>
      <x:c r="AA573" s="38" t="n">
        <x:f>M573*R573</x:f>
        <x:v>12955.647135000001</x:v>
      </x:c>
      <x:c r="AB573" s="38" t="n">
        <x:f>SUM(W573:AA573)</x:f>
        <x:v>149214.678395</x:v>
      </x:c>
      <x:c r="AC573" s="38" t="n">
        <x:v>11.73</x:v>
      </x:c>
      <x:c r="AD573" s="38" t="n">
        <x:v>174.33</x:v>
      </x:c>
      <x:c r="AE573" s="38" t="n">
        <x:v>96.92</x:v>
      </x:c>
      <x:c r="AF573" s="38" t="n">
        <x:v>4.8148</x:v>
      </x:c>
      <x:c r="AG573" s="38" t="n">
        <x:v>5.47</x:v>
      </x:c>
      <x:c r="AH573" s="38" t="n">
        <x:f>IF(E573="Fason",L573*S573,0)</x:f>
        <x:v>0</x:v>
      </x:c>
      <x:c r="AI573" s="38" t="n">
        <x:f>IF(E573="Kurum içi",AC573*AD573+AE573*AF573+AB573*12%,0)</x:f>
        <x:v>20417.302723399996</x:v>
      </x:c>
      <x:c r="AJ573" s="38" t="n">
        <x:f>V573*AG573</x:f>
        <x:v>1064.1999972009485</x:v>
      </x:c>
      <x:c r="AK573" s="38" t="n">
        <x:f>AB573*2%</x:f>
        <x:v>2984.2935678999997</x:v>
      </x:c>
      <x:c r="AL573" s="38" t="n">
        <x:f>AB573+AH573+AI573+AJ573+AK573</x:f>
        <x:v>173680.47468350094</x:v>
      </x:c>
      <x:c r="AM573" s="38" t="n">
        <x:f>AL573/V573</x:f>
        <x:v>892.7196006554391</x:v>
      </x:c>
      <x:c r="AN573" s="40" t="n">
        <x:f>(W573+X573)/AL573*100</x:f>
        <x:v>74.16689759441154</x:v>
      </x:c>
      <x:c r="AO573" s="28" t="str">
        <x:v>R01-R20; ilgili satırdaki bölgesel fiyat ve maliyet varsayımları</x:v>
      </x:c>
      <x:c r="AP573" s="28" t="str">
        <x:v>Girdi miktarları, alım fiyatı değişimi, fason bedeli ve parti sonucu simüle edilmiştir; işletme kaydı değildir.</x:v>
      </x:c>
    </x:row>
    <x:row r="574" ht="22" customHeight="1">
      <x:c r="A574" t="str">
        <x:v>SUC-0573</x:v>
      </x:c>
      <x:c r="B574" s="36" t="n">
        <x:v>46302</x:v>
      </x:c>
      <x:c r="C574" t="str">
        <x:v>Doğu Anadolu</x:v>
      </x:c>
      <x:c r="D574" t="str">
        <x:v>MEB_STANDART</x:v>
      </x:c>
      <x:c r="E574" t="str">
        <x:v>Fason</x:v>
      </x:c>
      <x:c r="F574" s="42" t="str">
        <x:v>SENTETİK/SİMÜLE — gerçek parti kaydı değildir</x:v>
      </x:c>
      <x:c r="G574" s="38" t="n">
        <x:v>171.814</x:v>
      </x:c>
      <x:c r="H574" s="38" t="n">
        <x:v>53.306</x:v>
      </x:c>
      <x:c r="I574" s="38" t="n">
        <x:v>11.13</x:v>
      </x:c>
      <x:c r="J574" s="38" t="n">
        <x:v>6.116</x:v>
      </x:c>
      <x:c r="K574" s="38" t="n">
        <x:v>2.812</x:v>
      </x:c>
      <x:c r="L574" s="38" t="n">
        <x:f>SUM(G574:K574)</x:f>
        <x:v>245.178</x:v>
      </x:c>
      <x:c r="M574" s="38" t="n">
        <x:v>320.206</x:v>
      </x:c>
      <x:c r="N574" s="38" t="n">
        <x:v>598.5</x:v>
      </x:c>
      <x:c r="O574" s="38" t="n">
        <x:v>473.76</x:v>
      </x:c>
      <x:c r="P574" s="38" t="n">
        <x:v>400</x:v>
      </x:c>
      <x:c r="Q574" s="38" t="n">
        <x:v>19.88</x:v>
      </x:c>
      <x:c r="R574" s="38" t="n">
        <x:v>43.7475</x:v>
      </x:c>
      <x:c r="S574" s="38" t="n">
        <x:v>96.18</x:v>
      </x:c>
      <x:c r="T574" s="40" t="n">
        <x:v>26.55</x:v>
      </x:c>
      <x:c r="U574" s="40" t="n">
        <x:v>0.72</x:v>
      </x:c>
      <x:c r="V574" s="38" t="n">
        <x:f>L574*(1-T574/100)*(1-U574/100)</x:f>
        <x:v>178.7866416648</x:v>
      </x:c>
      <x:c r="W574" s="38" t="n">
        <x:f>G574*N574</x:f>
        <x:v>102830.67899999999</x:v>
      </x:c>
      <x:c r="X574" s="38" t="n">
        <x:f>H574*O574</x:f>
        <x:v>25254.250559999997</x:v>
      </x:c>
      <x:c r="Y574" s="38" t="n">
        <x:f>I574*P574</x:f>
        <x:v>4452</x:v>
      </x:c>
      <x:c r="Z574" s="38" t="n">
        <x:f>J574*Q574+K574*P574</x:f>
        <x:v>1246.38608</x:v>
      </x:c>
      <x:c r="AA574" s="38" t="n">
        <x:f>M574*R574</x:f>
        <x:v>14008.211985000002</x:v>
      </x:c>
      <x:c r="AB574" s="38" t="n">
        <x:f>SUM(W574:AA574)</x:f>
        <x:v>147791.527625</x:v>
      </x:c>
      <x:c r="AC574" s="38" t="n">
        <x:v>10.66</x:v>
      </x:c>
      <x:c r="AD574" s="38" t="n">
        <x:v>174.33</x:v>
      </x:c>
      <x:c r="AE574" s="38" t="n">
        <x:v>87.78</x:v>
      </x:c>
      <x:c r="AF574" s="38" t="n">
        <x:v>4.8148</x:v>
      </x:c>
      <x:c r="AG574" s="38" t="n">
        <x:v>5.72</x:v>
      </x:c>
      <x:c r="AH574" s="38" t="n">
        <x:f>IF(E574="Fason",L574*S574,0)</x:f>
        <x:v>23581.22004</x:v>
      </x:c>
      <x:c r="AI574" s="38" t="n">
        <x:f>IF(E574="Kurum içi",AC574*AD574+AE574*AF574+AB574*12%,0)</x:f>
        <x:v>0</x:v>
      </x:c>
      <x:c r="AJ574" s="38" t="n">
        <x:f>V574*AG574</x:f>
        <x:v>1022.6595903226558</x:v>
      </x:c>
      <x:c r="AK574" s="38" t="n">
        <x:f>AB574*2%</x:f>
        <x:v>2955.8305524999996</x:v>
      </x:c>
      <x:c r="AL574" s="38" t="n">
        <x:f>AB574+AH574+AI574+AJ574+AK574</x:f>
        <x:v>175351.23780782265</x:v>
      </x:c>
      <x:c r="AM574" s="38" t="n">
        <x:f>AL574/V574</x:f>
        <x:v>980.7848963155858</x:v>
      </x:c>
      <x:c r="AN574" s="40" t="n">
        <x:f>(W574+X574)/AL574*100</x:f>
        <x:v>73.04478209636336</x:v>
      </x:c>
      <x:c r="AO574" s="28" t="str">
        <x:v>R01-R20; ilgili satırdaki bölgesel fiyat ve maliyet varsayımları</x:v>
      </x:c>
      <x:c r="AP574" s="28" t="str">
        <x:v>Girdi miktarları, alım fiyatı değişimi, fason bedeli ve parti sonucu simüle edilmiştir; işletme kaydı değildir.</x:v>
      </x:c>
    </x:row>
    <x:row r="575" ht="22" customHeight="1">
      <x:c r="A575" t="str">
        <x:v>SUC-0574</x:v>
      </x:c>
      <x:c r="B575" s="36" t="n">
        <x:v>46296</x:v>
      </x:c>
      <x:c r="C575" t="str">
        <x:v>İç Anadolu</x:v>
      </x:c>
      <x:c r="D575" t="str">
        <x:v>MEB_STANDART</x:v>
      </x:c>
      <x:c r="E575" t="str">
        <x:v>Fason</x:v>
      </x:c>
      <x:c r="F575" s="42" t="str">
        <x:v>SENTETİK/SİMÜLE — gerçek parti kaydı değildir</x:v>
      </x:c>
      <x:c r="G575" s="38" t="n">
        <x:v>104.797</x:v>
      </x:c>
      <x:c r="H575" s="38" t="n">
        <x:v>33.481</x:v>
      </x:c>
      <x:c r="I575" s="38" t="n">
        <x:v>6.356</x:v>
      </x:c>
      <x:c r="J575" s="38" t="n">
        <x:v>3.771</x:v>
      </x:c>
      <x:c r="K575" s="38" t="n">
        <x:v>1.372</x:v>
      </x:c>
      <x:c r="L575" s="38" t="n">
        <x:f>SUM(G575:K575)</x:f>
        <x:v>149.777</x:v>
      </x:c>
      <x:c r="M575" s="38" t="n">
        <x:v>188.556</x:v>
      </x:c>
      <x:c r="N575" s="38" t="n">
        <x:v>595.36</x:v>
      </x:c>
      <x:c r="O575" s="38" t="n">
        <x:v>427.8</x:v>
      </x:c>
      <x:c r="P575" s="38" t="n">
        <x:v>550</x:v>
      </x:c>
      <x:c r="Q575" s="38" t="n">
        <x:v>19.88</x:v>
      </x:c>
      <x:c r="R575" s="38" t="n">
        <x:v>43.7475</x:v>
      </x:c>
      <x:c r="S575" s="38" t="n">
        <x:v>112.91</x:v>
      </x:c>
      <x:c r="T575" s="40" t="n">
        <x:v>33.66</x:v>
      </x:c>
      <x:c r="U575" s="40" t="n">
        <x:v>0.53</x:v>
      </x:c>
      <x:c r="V575" s="38" t="n">
        <x:f>L575*(1-T575/100)*(1-U575/100)</x:f>
        <x:v>98.83544287245999</x:v>
      </x:c>
      <x:c r="W575" s="38" t="n">
        <x:f>G575*N575</x:f>
        <x:v>62391.94192</x:v>
      </x:c>
      <x:c r="X575" s="38" t="n">
        <x:f>H575*O575</x:f>
        <x:v>14323.171800000002</x:v>
      </x:c>
      <x:c r="Y575" s="38" t="n">
        <x:f>I575*P575</x:f>
        <x:v>3495.7999999999997</x:v>
      </x:c>
      <x:c r="Z575" s="38" t="n">
        <x:f>J575*Q575+K575*P575</x:f>
        <x:v>829.56748</x:v>
      </x:c>
      <x:c r="AA575" s="38" t="n">
        <x:f>M575*R575</x:f>
        <x:v>8248.85361</x:v>
      </x:c>
      <x:c r="AB575" s="38" t="n">
        <x:f>SUM(W575:AA575)</x:f>
        <x:v>89289.33481</x:v>
      </x:c>
      <x:c r="AC575" s="38" t="n">
        <x:v>7.87</x:v>
      </x:c>
      <x:c r="AD575" s="38" t="n">
        <x:v>174.33</x:v>
      </x:c>
      <x:c r="AE575" s="38" t="n">
        <x:v>70.67</x:v>
      </x:c>
      <x:c r="AF575" s="38" t="n">
        <x:v>4.8148</x:v>
      </x:c>
      <x:c r="AG575" s="38" t="n">
        <x:v>5.65</x:v>
      </x:c>
      <x:c r="AH575" s="38" t="n">
        <x:f>IF(E575="Fason",L575*S575,0)</x:f>
        <x:v>16911.321069999998</x:v>
      </x:c>
      <x:c r="AI575" s="38" t="n">
        <x:f>IF(E575="Kurum içi",AC575*AD575+AE575*AF575+AB575*12%,0)</x:f>
        <x:v>0</x:v>
      </x:c>
      <x:c r="AJ575" s="38" t="n">
        <x:f>V575*AG575</x:f>
        <x:v>558.420252229399</x:v>
      </x:c>
      <x:c r="AK575" s="38" t="n">
        <x:f>AB575*2%</x:f>
        <x:v>1785.7866962</x:v>
      </x:c>
      <x:c r="AL575" s="38" t="n">
        <x:f>AB575+AH575+AI575+AJ575+AK575</x:f>
        <x:v>108544.8628284294</x:v>
      </x:c>
      <x:c r="AM575" s="38" t="n">
        <x:f>AL575/V575</x:f>
        <x:v>1098.238239985414</x:v>
      </x:c>
      <x:c r="AN575" s="40" t="n">
        <x:f>(W575+X575)/AL575*100</x:f>
        <x:v>70.67595068157132</x:v>
      </x:c>
      <x:c r="AO575" s="28" t="str">
        <x:v>R01-R20; ilgili satırdaki bölgesel fiyat ve maliyet varsayımları</x:v>
      </x:c>
      <x:c r="AP575" s="28" t="str">
        <x:v>Girdi miktarları, alım fiyatı değişimi, fason bedeli ve parti sonucu simüle edilmiştir; işletme kaydı değildir.</x:v>
      </x:c>
    </x:row>
    <x:row r="576" ht="22" customHeight="1">
      <x:c r="A576" t="str">
        <x:v>SUC-0575</x:v>
      </x:c>
      <x:c r="B576" s="36" t="n">
        <x:v>46270</x:v>
      </x:c>
      <x:c r="C576" t="str">
        <x:v>Doğu Anadolu</x:v>
      </x:c>
      <x:c r="D576" t="str">
        <x:v>ERZURUM_CI</x:v>
      </x:c>
      <x:c r="E576" t="str">
        <x:v>Kurum içi</x:v>
      </x:c>
      <x:c r="F576" s="42" t="str">
        <x:v>SENTETİK/SİMÜLE — gerçek parti kaydı değildir</x:v>
      </x:c>
      <x:c r="G576" s="38" t="n">
        <x:v>192.24</x:v>
      </x:c>
      <x:c r="H576" s="38" t="n">
        <x:v>31.732</x:v>
      </x:c>
      <x:c r="I576" s="38" t="n">
        <x:v>11.624</x:v>
      </x:c>
      <x:c r="J576" s="38" t="n">
        <x:v>3.711</x:v>
      </x:c>
      <x:c r="K576" s="38" t="n">
        <x:v>0.441</x:v>
      </x:c>
      <x:c r="L576" s="38" t="n">
        <x:f>SUM(G576:K576)</x:f>
        <x:v>239.74800000000002</x:v>
      </x:c>
      <x:c r="M576" s="38" t="n">
        <x:v>309.854</x:v>
      </x:c>
      <x:c r="N576" s="38" t="n">
        <x:v>596.76</x:v>
      </x:c>
      <x:c r="O576" s="38" t="n">
        <x:v>474.48</x:v>
      </x:c>
      <x:c r="P576" s="38" t="n">
        <x:v>550</x:v>
      </x:c>
      <x:c r="Q576" s="38" t="n">
        <x:v>19.88</x:v>
      </x:c>
      <x:c r="R576" s="38" t="n">
        <x:v>43.7475</x:v>
      </x:c>
      <x:c r="S576" s="38" t="n">
        <x:v>72.95</x:v>
      </x:c>
      <x:c r="T576" s="40" t="n">
        <x:v>27.12</x:v>
      </x:c>
      <x:c r="U576" s="40" t="n">
        <x:v>1.3</x:v>
      </x:c>
      <x:c r="V576" s="38" t="n">
        <x:f>L576*(1-T576/100)*(1-U576/100)</x:f>
        <x:v>172.4568739488</x:v>
      </x:c>
      <x:c r="W576" s="38" t="n">
        <x:f>G576*N576</x:f>
        <x:v>114721.1424</x:v>
      </x:c>
      <x:c r="X576" s="38" t="n">
        <x:f>H576*O576</x:f>
        <x:v>15056.19936</x:v>
      </x:c>
      <x:c r="Y576" s="38" t="n">
        <x:f>I576*P576</x:f>
        <x:v>6393.200000000001</x:v>
      </x:c>
      <x:c r="Z576" s="38" t="n">
        <x:f>J576*Q576+K576*P576</x:f>
        <x:v>316.32468</x:v>
      </x:c>
      <x:c r="AA576" s="38" t="n">
        <x:f>M576*R576</x:f>
        <x:v>13555.337865</x:v>
      </x:c>
      <x:c r="AB576" s="38" t="n">
        <x:f>SUM(W576:AA576)</x:f>
        <x:v>150042.204305</x:v>
      </x:c>
      <x:c r="AC576" s="38" t="n">
        <x:v>12.4</x:v>
      </x:c>
      <x:c r="AD576" s="38" t="n">
        <x:v>174.33</x:v>
      </x:c>
      <x:c r="AE576" s="38" t="n">
        <x:v>53</x:v>
      </x:c>
      <x:c r="AF576" s="38" t="n">
        <x:v>4.8148</x:v>
      </x:c>
      <x:c r="AG576" s="38" t="n">
        <x:v>5.44</x:v>
      </x:c>
      <x:c r="AH576" s="38" t="n">
        <x:f>IF(E576="Fason",L576*S576,0)</x:f>
        <x:v>0</x:v>
      </x:c>
      <x:c r="AI576" s="38" t="n">
        <x:f>IF(E576="Kurum içi",AC576*AD576+AE576*AF576+AB576*12%,0)</x:f>
        <x:v>20421.9409166</x:v>
      </x:c>
      <x:c r="AJ576" s="38" t="n">
        <x:f>V576*AG576</x:f>
        <x:v>938.165394281472</x:v>
      </x:c>
      <x:c r="AK576" s="38" t="n">
        <x:f>AB576*2%</x:f>
        <x:v>3000.8440861</x:v>
      </x:c>
      <x:c r="AL576" s="38" t="n">
        <x:f>AB576+AH576+AI576+AJ576+AK576</x:f>
        <x:v>174403.15470198146</x:v>
      </x:c>
      <x:c r="AM576" s="38" t="n">
        <x:f>AL576/V576</x:f>
        <x:v>1011.28560844585</x:v>
      </x:c>
      <x:c r="AN576" s="40" t="n">
        <x:f>(W576+X576)/AL576*100</x:f>
        <x:v>74.4122673593619</x:v>
      </x:c>
      <x:c r="AO576" s="28" t="str">
        <x:v>R01-R20; ilgili satırdaki bölgesel fiyat ve maliyet varsayımları</x:v>
      </x:c>
      <x:c r="AP576" s="28" t="str">
        <x:v>Girdi miktarları, alım fiyatı değişimi, fason bedeli ve parti sonucu simüle edilmiştir; işletme kaydı değildir.</x:v>
      </x:c>
    </x:row>
    <x:row r="577" ht="22" customHeight="1">
      <x:c r="A577" t="str">
        <x:v>SUC-0576</x:v>
      </x:c>
      <x:c r="B577" s="36" t="n">
        <x:v>46266</x:v>
      </x:c>
      <x:c r="C577" t="str">
        <x:v>Doğu Anadolu</x:v>
      </x:c>
      <x:c r="D577" t="str">
        <x:v>MEB_STANDART</x:v>
      </x:c>
      <x:c r="E577" t="str">
        <x:v>Kurum içi</x:v>
      </x:c>
      <x:c r="F577" s="42" t="str">
        <x:v>SENTETİK/SİMÜLE — gerçek parti kaydı değildir</x:v>
      </x:c>
      <x:c r="G577" s="38" t="n">
        <x:v>286.973</x:v>
      </x:c>
      <x:c r="H577" s="38" t="n">
        <x:v>92.373</x:v>
      </x:c>
      <x:c r="I577" s="38" t="n">
        <x:v>18.623</x:v>
      </x:c>
      <x:c r="J577" s="38" t="n">
        <x:v>10.974</x:v>
      </x:c>
      <x:c r="K577" s="38" t="n">
        <x:v>3.883</x:v>
      </x:c>
      <x:c r="L577" s="38" t="n">
        <x:f>SUM(G577:K577)</x:f>
        <x:v>412.82599999999996</x:v>
      </x:c>
      <x:c r="M577" s="38" t="n">
        <x:v>550.807</x:v>
      </x:c>
      <x:c r="N577" s="38" t="n">
        <x:v>579.66</x:v>
      </x:c>
      <x:c r="O577" s="38" t="n">
        <x:v>443.93</x:v>
      </x:c>
      <x:c r="P577" s="38" t="n">
        <x:v>669.9</x:v>
      </x:c>
      <x:c r="Q577" s="38" t="n">
        <x:v>19.88</x:v>
      </x:c>
      <x:c r="R577" s="38" t="n">
        <x:v>43.7475</x:v>
      </x:c>
      <x:c r="S577" s="38" t="n">
        <x:v>82.85</x:v>
      </x:c>
      <x:c r="T577" s="40" t="n">
        <x:v>23.17</x:v>
      </x:c>
      <x:c r="U577" s="40" t="n">
        <x:v>0.44</x:v>
      </x:c>
      <x:c r="V577" s="38" t="n">
        <x:f>L577*(1-T577/100)*(1-U577/100)</x:f>
        <x:v>315.77864925048</x:v>
      </x:c>
      <x:c r="W577" s="38" t="n">
        <x:f>G577*N577</x:f>
        <x:v>166346.76918</x:v>
      </x:c>
      <x:c r="X577" s="38" t="n">
        <x:f>H577*O577</x:f>
        <x:v>41007.14589</x:v>
      </x:c>
      <x:c r="Y577" s="38" t="n">
        <x:f>I577*P577</x:f>
        <x:v>12475.547700000001</x:v>
      </x:c>
      <x:c r="Z577" s="38" t="n">
        <x:f>J577*Q577+K577*P577</x:f>
        <x:v>2819.38482</x:v>
      </x:c>
      <x:c r="AA577" s="38" t="n">
        <x:f>M577*R577</x:f>
        <x:v>24096.429232500002</x:v>
      </x:c>
      <x:c r="AB577" s="38" t="n">
        <x:f>SUM(W577:AA577)</x:f>
        <x:v>246745.2768225</x:v>
      </x:c>
      <x:c r="AC577" s="38" t="n">
        <x:v>14.88</x:v>
      </x:c>
      <x:c r="AD577" s="38" t="n">
        <x:v>174.33</x:v>
      </x:c>
      <x:c r="AE577" s="38" t="n">
        <x:v>100.24</x:v>
      </x:c>
      <x:c r="AF577" s="38" t="n">
        <x:v>4.8148</x:v>
      </x:c>
      <x:c r="AG577" s="38" t="n">
        <x:v>5.69</x:v>
      </x:c>
      <x:c r="AH577" s="38" t="n">
        <x:f>IF(E577="Fason",L577*S577,0)</x:f>
        <x:v>0</x:v>
      </x:c>
      <x:c r="AI577" s="38" t="n">
        <x:f>IF(E577="Kurum içi",AC577*AD577+AE577*AF577+AB577*12%,0)</x:f>
        <x:v>32686.099170699996</x:v>
      </x:c>
      <x:c r="AJ577" s="38" t="n">
        <x:f>V577*AG577</x:f>
        <x:v>1796.7805142352313</x:v>
      </x:c>
      <x:c r="AK577" s="38" t="n">
        <x:f>AB577*2%</x:f>
        <x:v>4934.90553645</x:v>
      </x:c>
      <x:c r="AL577" s="38" t="n">
        <x:f>AB577+AH577+AI577+AJ577+AK577</x:f>
        <x:v>286163.06204388523</x:v>
      </x:c>
      <x:c r="AM577" s="38" t="n">
        <x:f>AL577/V577</x:f>
        <x:v>906.2140924445362</x:v>
      </x:c>
      <x:c r="AN577" s="40" t="n">
        <x:f>(W577+X577)/AL577*100</x:f>
        <x:v>72.46005602155624</x:v>
      </x:c>
      <x:c r="AO577" s="28" t="str">
        <x:v>R01-R20; ilgili satırdaki bölgesel fiyat ve maliyet varsayımları</x:v>
      </x:c>
      <x:c r="AP577" s="28" t="str">
        <x:v>Girdi miktarları, alım fiyatı değişimi, fason bedeli ve parti sonucu simüle edilmiştir; işletme kaydı değildir.</x:v>
      </x:c>
    </x:row>
    <x:row r="578" ht="22" customHeight="1">
      <x:c r="A578" t="str">
        <x:v>SUC-0577</x:v>
      </x:c>
      <x:c r="B578" s="36" t="n">
        <x:v>46306</x:v>
      </x:c>
      <x:c r="C578" t="str">
        <x:v>İç Anadolu</x:v>
      </x:c>
      <x:c r="D578" t="str">
        <x:v>MEB_STANDART</x:v>
      </x:c>
      <x:c r="E578" t="str">
        <x:v>Kurum içi</x:v>
      </x:c>
      <x:c r="F578" s="42" t="str">
        <x:v>SENTETİK/SİMÜLE — gerçek parti kaydı değildir</x:v>
      </x:c>
      <x:c r="G578" s="38" t="n">
        <x:v>82.547</x:v>
      </x:c>
      <x:c r="H578" s="38" t="n">
        <x:v>26.324</x:v>
      </x:c>
      <x:c r="I578" s="38" t="n">
        <x:v>5.489</x:v>
      </x:c>
      <x:c r="J578" s="38" t="n">
        <x:v>3.119</x:v>
      </x:c>
      <x:c r="K578" s="38" t="n">
        <x:v>1.077</x:v>
      </x:c>
      <x:c r="L578" s="38" t="n">
        <x:f>SUM(G578:K578)</x:f>
        <x:v>118.556</x:v>
      </x:c>
      <x:c r="M578" s="38" t="n">
        <x:v>152.746</x:v>
      </x:c>
      <x:c r="N578" s="38" t="n">
        <x:v>584.17</x:v>
      </x:c>
      <x:c r="O578" s="38" t="n">
        <x:v>424.61</x:v>
      </x:c>
      <x:c r="P578" s="38" t="n">
        <x:v>400</x:v>
      </x:c>
      <x:c r="Q578" s="38" t="n">
        <x:v>19.88</x:v>
      </x:c>
      <x:c r="R578" s="38" t="n">
        <x:v>43.7475</x:v>
      </x:c>
      <x:c r="S578" s="38" t="n">
        <x:v>120.5</x:v>
      </x:c>
      <x:c r="T578" s="40" t="n">
        <x:v>24.83</x:v>
      </x:c>
      <x:c r="U578" s="40" t="n">
        <x:v>1.52</x:v>
      </x:c>
      <x:c r="V578" s="38" t="n">
        <x:f>L578*(1-T578/100)*(1-U578/100)</x:f>
        <x:v>87.76394331296</x:v>
      </x:c>
      <x:c r="W578" s="38" t="n">
        <x:f>G578*N578</x:f>
        <x:v>48221.48099</x:v>
      </x:c>
      <x:c r="X578" s="38" t="n">
        <x:f>H578*O578</x:f>
        <x:v>11177.433640000001</x:v>
      </x:c>
      <x:c r="Y578" s="38" t="n">
        <x:f>I578*P578</x:f>
        <x:v>2195.6</x:v>
      </x:c>
      <x:c r="Z578" s="38" t="n">
        <x:f>J578*Q578+K578*P578</x:f>
        <x:v>492.80571999999995</x:v>
      </x:c>
      <x:c r="AA578" s="38" t="n">
        <x:f>M578*R578</x:f>
        <x:v>6682.255635</x:v>
      </x:c>
      <x:c r="AB578" s="38" t="n">
        <x:f>SUM(W578:AA578)</x:f>
        <x:v>68769.57598499999</x:v>
      </x:c>
      <x:c r="AC578" s="38" t="n">
        <x:v>5.58</x:v>
      </x:c>
      <x:c r="AD578" s="38" t="n">
        <x:v>174.33</x:v>
      </x:c>
      <x:c r="AE578" s="38" t="n">
        <x:v>52.58</x:v>
      </x:c>
      <x:c r="AF578" s="38" t="n">
        <x:v>4.8148</x:v>
      </x:c>
      <x:c r="AG578" s="38" t="n">
        <x:v>5.39</x:v>
      </x:c>
      <x:c r="AH578" s="38" t="n">
        <x:f>IF(E578="Fason",L578*S578,0)</x:f>
        <x:v>0</x:v>
      </x:c>
      <x:c r="AI578" s="38" t="n">
        <x:f>IF(E578="Kurum içi",AC578*AD578+AE578*AF578+AB578*12%,0)</x:f>
        <x:v>9478.272702199998</x:v>
      </x:c>
      <x:c r="AJ578" s="38" t="n">
        <x:f>V578*AG578</x:f>
        <x:v>473.04765445685433</x:v>
      </x:c>
      <x:c r="AK578" s="38" t="n">
        <x:f>AB578*2%</x:f>
        <x:v>1375.3915197</x:v>
      </x:c>
      <x:c r="AL578" s="38" t="n">
        <x:f>AB578+AH578+AI578+AJ578+AK578</x:f>
        <x:v>80096.28786135685</x:v>
      </x:c>
      <x:c r="AM578" s="38" t="n">
        <x:f>AL578/V578</x:f>
        <x:v>912.6331935170593</x:v>
      </x:c>
      <x:c r="AN578" s="40" t="n">
        <x:f>(W578+X578)/AL578*100</x:f>
        <x:v>74.15938518001846</x:v>
      </x:c>
      <x:c r="AO578" s="28" t="str">
        <x:v>R01-R20; ilgili satırdaki bölgesel fiyat ve maliyet varsayımları</x:v>
      </x:c>
      <x:c r="AP578" s="28" t="str">
        <x:v>Girdi miktarları, alım fiyatı değişimi, fason bedeli ve parti sonucu simüle edilmiştir; işletme kaydı değildir.</x:v>
      </x:c>
    </x:row>
    <x:row r="579" ht="22" customHeight="1">
      <x:c r="A579" t="str">
        <x:v>SUC-0578</x:v>
      </x:c>
      <x:c r="B579" s="36" t="n">
        <x:v>46279</x:v>
      </x:c>
      <x:c r="C579" t="str">
        <x:v>Ege</x:v>
      </x:c>
      <x:c r="D579" t="str">
        <x:v>MEB_STANDART</x:v>
      </x:c>
      <x:c r="E579" t="str">
        <x:v>Kurum içi</x:v>
      </x:c>
      <x:c r="F579" s="42" t="str">
        <x:v>SENTETİK/SİMÜLE — gerçek parti kaydı değildir</x:v>
      </x:c>
      <x:c r="G579" s="38" t="n">
        <x:v>78.426</x:v>
      </x:c>
      <x:c r="H579" s="38" t="n">
        <x:v>24.898</x:v>
      </x:c>
      <x:c r="I579" s="38" t="n">
        <x:v>5.223</x:v>
      </x:c>
      <x:c r="J579" s="38" t="n">
        <x:v>2.969</x:v>
      </x:c>
      <x:c r="K579" s="38" t="n">
        <x:v>1.069</x:v>
      </x:c>
      <x:c r="L579" s="38" t="n">
        <x:f>SUM(G579:K579)</x:f>
        <x:v>112.585</x:v>
      </x:c>
      <x:c r="M579" s="38" t="n">
        <x:v>146.652</x:v>
      </x:c>
      <x:c r="N579" s="38" t="n">
        <x:v>597.9</x:v>
      </x:c>
      <x:c r="O579" s="38" t="n">
        <x:v>464.8</x:v>
      </x:c>
      <x:c r="P579" s="38" t="n">
        <x:v>400</x:v>
      </x:c>
      <x:c r="Q579" s="38" t="n">
        <x:v>19.88</x:v>
      </x:c>
      <x:c r="R579" s="38" t="n">
        <x:v>43.7475</x:v>
      </x:c>
      <x:c r="S579" s="38" t="n">
        <x:v>103.75</x:v>
      </x:c>
      <x:c r="T579" s="40" t="n">
        <x:v>18.72</x:v>
      </x:c>
      <x:c r="U579" s="40" t="n">
        <x:v>1.25</x:v>
      </x:c>
      <x:c r="V579" s="38" t="n">
        <x:f>L579*(1-T579/100)*(1-U579/100)</x:f>
        <x:v>90.3652244</x:v>
      </x:c>
      <x:c r="W579" s="38" t="n">
        <x:f>G579*N579</x:f>
        <x:v>46890.905399999996</x:v>
      </x:c>
      <x:c r="X579" s="38" t="n">
        <x:f>H579*O579</x:f>
        <x:v>11572.590400000001</x:v>
      </x:c>
      <x:c r="Y579" s="38" t="n">
        <x:f>I579*P579</x:f>
        <x:v>2089.2</x:v>
      </x:c>
      <x:c r="Z579" s="38" t="n">
        <x:f>J579*Q579+K579*P579</x:f>
        <x:v>486.62371999999993</x:v>
      </x:c>
      <x:c r="AA579" s="38" t="n">
        <x:f>M579*R579</x:f>
        <x:v>6415.65837</x:v>
      </x:c>
      <x:c r="AB579" s="38" t="n">
        <x:f>SUM(W579:AA579)</x:f>
        <x:v>67454.97789</x:v>
      </x:c>
      <x:c r="AC579" s="38" t="n">
        <x:v>6.68</x:v>
      </x:c>
      <x:c r="AD579" s="38" t="n">
        <x:v>174.33</x:v>
      </x:c>
      <x:c r="AE579" s="38" t="n">
        <x:v>26.35</x:v>
      </x:c>
      <x:c r="AF579" s="38" t="n">
        <x:v>4.8148</x:v>
      </x:c>
      <x:c r="AG579" s="38" t="n">
        <x:v>5.9</x:v>
      </x:c>
      <x:c r="AH579" s="38" t="n">
        <x:f>IF(E579="Fason",L579*S579,0)</x:f>
        <x:v>0</x:v>
      </x:c>
      <x:c r="AI579" s="38" t="n">
        <x:f>IF(E579="Kurum içi",AC579*AD579+AE579*AF579+AB579*12%,0)</x:f>
        <x:v>9385.991726799999</x:v>
      </x:c>
      <x:c r="AJ579" s="38" t="n">
        <x:f>V579*AG579</x:f>
        <x:v>533.15482396</x:v>
      </x:c>
      <x:c r="AK579" s="38" t="n">
        <x:f>AB579*2%</x:f>
        <x:v>1349.0995578</x:v>
      </x:c>
      <x:c r="AL579" s="38" t="n">
        <x:f>AB579+AH579+AI579+AJ579+AK579</x:f>
        <x:v>78723.22399855999</x:v>
      </x:c>
      <x:c r="AM579" s="38" t="n">
        <x:f>AL579/V579</x:f>
        <x:v>871.1672495836793</x:v>
      </x:c>
      <x:c r="AN579" s="40" t="n">
        <x:f>(W579+X579)/AL579*100</x:f>
        <x:v>74.26461065805616</x:v>
      </x:c>
      <x:c r="AO579" s="28" t="str">
        <x:v>R01-R20; ilgili satırdaki bölgesel fiyat ve maliyet varsayımları</x:v>
      </x:c>
      <x:c r="AP579" s="28" t="str">
        <x:v>Girdi miktarları, alım fiyatı değişimi, fason bedeli ve parti sonucu simüle edilmiştir; işletme kaydı değildir.</x:v>
      </x:c>
    </x:row>
    <x:row r="580" ht="22" customHeight="1">
      <x:c r="A580" t="str">
        <x:v>SUC-0579</x:v>
      </x:c>
      <x:c r="B580" s="36" t="n">
        <x:v>46299</x:v>
      </x:c>
      <x:c r="C580" t="str">
        <x:v>Güneydoğu Anadolu</x:v>
      </x:c>
      <x:c r="D580" t="str">
        <x:v>ERZURUM_CI</x:v>
      </x:c>
      <x:c r="E580" t="str">
        <x:v>Kurum içi</x:v>
      </x:c>
      <x:c r="F580" s="42" t="str">
        <x:v>SENTETİK/SİMÜLE — gerçek parti kaydı değildir</x:v>
      </x:c>
      <x:c r="G580" s="38" t="n">
        <x:v>155.03</x:v>
      </x:c>
      <x:c r="H580" s="38" t="n">
        <x:v>28.661</x:v>
      </x:c>
      <x:c r="I580" s="38" t="n">
        <x:v>9.43</x:v>
      </x:c>
      <x:c r="J580" s="38" t="n">
        <x:v>2.89</x:v>
      </x:c>
      <x:c r="K580" s="38" t="n">
        <x:v>0.408</x:v>
      </x:c>
      <x:c r="L580" s="38" t="n">
        <x:f>SUM(G580:K580)</x:f>
        <x:v>196.41899999999998</x:v>
      </x:c>
      <x:c r="M580" s="38" t="n">
        <x:v>260.816</x:v>
      </x:c>
      <x:c r="N580" s="38" t="n">
        <x:v>571.43</x:v>
      </x:c>
      <x:c r="O580" s="38" t="n">
        <x:v>474.53</x:v>
      </x:c>
      <x:c r="P580" s="38" t="n">
        <x:v>669.9</x:v>
      </x:c>
      <x:c r="Q580" s="38" t="n">
        <x:v>19.88</x:v>
      </x:c>
      <x:c r="R580" s="38" t="n">
        <x:v>43.7475</x:v>
      </x:c>
      <x:c r="S580" s="38" t="n">
        <x:v>123.92</x:v>
      </x:c>
      <x:c r="T580" s="40" t="n">
        <x:v>29.82</x:v>
      </x:c>
      <x:c r="U580" s="40" t="n">
        <x:v>0.54</x:v>
      </x:c>
      <x:c r="V580" s="38" t="n">
        <x:f>L580*(1-T580/100)*(1-U580/100)</x:f>
        <x:v>137.10248118732</x:v>
      </x:c>
      <x:c r="W580" s="38" t="n">
        <x:f>G580*N580</x:f>
        <x:v>88588.79289999999</x:v>
      </x:c>
      <x:c r="X580" s="38" t="n">
        <x:f>H580*O580</x:f>
        <x:v>13600.50433</x:v>
      </x:c>
      <x:c r="Y580" s="38" t="n">
        <x:f>I580*P580</x:f>
        <x:v>6317.156999999999</x:v>
      </x:c>
      <x:c r="Z580" s="38" t="n">
        <x:f>J580*Q580+K580*P580</x:f>
        <x:v>330.77239999999995</x:v>
      </x:c>
      <x:c r="AA580" s="38" t="n">
        <x:f>M580*R580</x:f>
        <x:v>11410.04796</x:v>
      </x:c>
      <x:c r="AB580" s="38" t="n">
        <x:f>SUM(W580:AA580)</x:f>
        <x:v>120247.27458999997</x:v>
      </x:c>
      <x:c r="AC580" s="38" t="n">
        <x:v>10.83</x:v>
      </x:c>
      <x:c r="AD580" s="38" t="n">
        <x:v>174.33</x:v>
      </x:c>
      <x:c r="AE580" s="38" t="n">
        <x:v>79.31</x:v>
      </x:c>
      <x:c r="AF580" s="38" t="n">
        <x:v>4.8148</x:v>
      </x:c>
      <x:c r="AG580" s="38" t="n">
        <x:v>5.68</x:v>
      </x:c>
      <x:c r="AH580" s="38" t="n">
        <x:f>IF(E580="Fason",L580*S580,0)</x:f>
        <x:v>0</x:v>
      </x:c>
      <x:c r="AI580" s="38" t="n">
        <x:f>IF(E580="Kurum içi",AC580*AD580+AE580*AF580+AB580*12%,0)</x:f>
        <x:v>16699.528638799995</x:v>
      </x:c>
      <x:c r="AJ580" s="38" t="n">
        <x:f>V580*AG580</x:f>
        <x:v>778.7420931439775</x:v>
      </x:c>
      <x:c r="AK580" s="38" t="n">
        <x:f>AB580*2%</x:f>
        <x:v>2404.9454917999997</x:v>
      </x:c>
      <x:c r="AL580" s="38" t="n">
        <x:f>AB580+AH580+AI580+AJ580+AK580</x:f>
        <x:v>140130.49081374393</x:v>
      </x:c>
      <x:c r="AM580" s="38" t="n">
        <x:f>AL580/V580</x:f>
        <x:v>1022.0857390778132</x:v>
      </x:c>
      <x:c r="AN580" s="40" t="n">
        <x:f>(W580+X580)/AL580*100</x:f>
        <x:v>72.92438400563806</x:v>
      </x:c>
      <x:c r="AO580" s="28" t="str">
        <x:v>R01-R20; ilgili satırdaki bölgesel fiyat ve maliyet varsayımları</x:v>
      </x:c>
      <x:c r="AP580" s="28" t="str">
        <x:v>Girdi miktarları, alım fiyatı değişimi, fason bedeli ve parti sonucu simüle edilmiştir; işletme kaydı değildir.</x:v>
      </x:c>
    </x:row>
    <x:row r="581" ht="22" customHeight="1">
      <x:c r="A581" t="str">
        <x:v>SUC-0580</x:v>
      </x:c>
      <x:c r="B581" s="36" t="n">
        <x:v>46276</x:v>
      </x:c>
      <x:c r="C581" t="str">
        <x:v>Akdeniz</x:v>
      </x:c>
      <x:c r="D581" t="str">
        <x:v>MEB_STANDART</x:v>
      </x:c>
      <x:c r="E581" t="str">
        <x:v>Kurum içi</x:v>
      </x:c>
      <x:c r="F581" s="42" t="str">
        <x:v>SENTETİK/SİMÜLE — gerçek parti kaydı değildir</x:v>
      </x:c>
      <x:c r="G581" s="38" t="n">
        <x:v>336.477</x:v>
      </x:c>
      <x:c r="H581" s="38" t="n">
        <x:v>106.797</x:v>
      </x:c>
      <x:c r="I581" s="38" t="n">
        <x:v>20.485</x:v>
      </x:c>
      <x:c r="J581" s="38" t="n">
        <x:v>11.822</x:v>
      </x:c>
      <x:c r="K581" s="38" t="n">
        <x:v>4.531</x:v>
      </x:c>
      <x:c r="L581" s="38" t="n">
        <x:f>SUM(G581:K581)</x:f>
        <x:v>480.112</x:v>
      </x:c>
      <x:c r="M581" s="38" t="n">
        <x:v>567.025</x:v>
      </x:c>
      <x:c r="N581" s="38" t="n">
        <x:v>584.61</x:v>
      </x:c>
      <x:c r="O581" s="38" t="n">
        <x:v>422.7</x:v>
      </x:c>
      <x:c r="P581" s="38" t="n">
        <x:v>669.9</x:v>
      </x:c>
      <x:c r="Q581" s="38" t="n">
        <x:v>19.88</x:v>
      </x:c>
      <x:c r="R581" s="38" t="n">
        <x:v>43.7475</x:v>
      </x:c>
      <x:c r="S581" s="38" t="n">
        <x:v>79.83</x:v>
      </x:c>
      <x:c r="T581" s="40" t="n">
        <x:v>31.89</x:v>
      </x:c>
      <x:c r="U581" s="40" t="n">
        <x:v>1.44</x:v>
      </x:c>
      <x:c r="V581" s="38" t="n">
        <x:f>L581*(1-T581/100)*(1-U581/100)</x:f>
        <x:v>322.29542152192005</x:v>
      </x:c>
      <x:c r="W581" s="38" t="n">
        <x:f>G581*N581</x:f>
        <x:v>196707.81897</x:v>
      </x:c>
      <x:c r="X581" s="38" t="n">
        <x:f>H581*O581</x:f>
        <x:v>45143.0919</x:v>
      </x:c>
      <x:c r="Y581" s="38" t="n">
        <x:f>I581*P581</x:f>
        <x:v>13722.9015</x:v>
      </x:c>
      <x:c r="Z581" s="38" t="n">
        <x:f>J581*Q581+K581*P581</x:f>
        <x:v>3270.3382599999995</x:v>
      </x:c>
      <x:c r="AA581" s="38" t="n">
        <x:f>M581*R581</x:f>
        <x:v>24805.9261875</x:v>
      </x:c>
      <x:c r="AB581" s="38" t="n">
        <x:f>SUM(W581:AA581)</x:f>
        <x:v>283650.0768175</x:v>
      </x:c>
      <x:c r="AC581" s="38" t="n">
        <x:v>20.22</x:v>
      </x:c>
      <x:c r="AD581" s="38" t="n">
        <x:v>174.33</x:v>
      </x:c>
      <x:c r="AE581" s="38" t="n">
        <x:v>126.72</x:v>
      </x:c>
      <x:c r="AF581" s="38" t="n">
        <x:v>4.8148</x:v>
      </x:c>
      <x:c r="AG581" s="38" t="n">
        <x:v>5.77</x:v>
      </x:c>
      <x:c r="AH581" s="38" t="n">
        <x:f>IF(E581="Fason",L581*S581,0)</x:f>
        <x:v>0</x:v>
      </x:c>
      <x:c r="AI581" s="38" t="n">
        <x:f>IF(E581="Kurum içi",AC581*AD581+AE581*AF581+AB581*12%,0)</x:f>
        <x:v>38173.0932741</x:v>
      </x:c>
      <x:c r="AJ581" s="38" t="n">
        <x:f>V581*AG581</x:f>
        <x:v>1859.6445821814784</x:v>
      </x:c>
      <x:c r="AK581" s="38" t="n">
        <x:f>AB581*2%</x:f>
        <x:v>5673.00153635</x:v>
      </x:c>
      <x:c r="AL581" s="38" t="n">
        <x:f>AB581+AH581+AI581+AJ581+AK581</x:f>
        <x:v>329355.81621013145</x:v>
      </x:c>
      <x:c r="AM581" s="38" t="n">
        <x:f>AL581/V581</x:f>
        <x:v>1021.9065931959918</x:v>
      </x:c>
      <x:c r="AN581" s="40" t="n">
        <x:f>(W581+X581)/AL581*100</x:f>
        <x:v>73.43149838765784</x:v>
      </x:c>
      <x:c r="AO581" s="28" t="str">
        <x:v>R01-R20; ilgili satırdaki bölgesel fiyat ve maliyet varsayımları</x:v>
      </x:c>
      <x:c r="AP581" s="28" t="str">
        <x:v>Girdi miktarları, alım fiyatı değişimi, fason bedeli ve parti sonucu simüle edilmiştir; işletme kaydı değildir.</x:v>
      </x:c>
    </x:row>
    <x:row r="582" ht="22" customHeight="1">
      <x:c r="A582" t="str">
        <x:v>SUC-0581</x:v>
      </x:c>
      <x:c r="B582" s="36" t="n">
        <x:v>46304</x:v>
      </x:c>
      <x:c r="C582" t="str">
        <x:v>İç Anadolu</x:v>
      </x:c>
      <x:c r="D582" t="str">
        <x:v>ERZURUM_CI</x:v>
      </x:c>
      <x:c r="E582" t="str">
        <x:v>Fason</x:v>
      </x:c>
      <x:c r="F582" s="42" t="str">
        <x:v>SENTETİK/SİMÜLE — gerçek parti kaydı değildir</x:v>
      </x:c>
      <x:c r="G582" s="38" t="n">
        <x:v>178.316</x:v>
      </x:c>
      <x:c r="H582" s="38" t="n">
        <x:v>30.471</x:v>
      </x:c>
      <x:c r="I582" s="38" t="n">
        <x:v>11.127</x:v>
      </x:c>
      <x:c r="J582" s="38" t="n">
        <x:v>3.672</x:v>
      </x:c>
      <x:c r="K582" s="38" t="n">
        <x:v>0.345</x:v>
      </x:c>
      <x:c r="L582" s="38" t="n">
        <x:f>SUM(G582:K582)</x:f>
        <x:v>223.931</x:v>
      </x:c>
      <x:c r="M582" s="38" t="n">
        <x:v>296.4</x:v>
      </x:c>
      <x:c r="N582" s="38" t="n">
        <x:v>599.15</x:v>
      </x:c>
      <x:c r="O582" s="38" t="n">
        <x:v>465.06</x:v>
      </x:c>
      <x:c r="P582" s="38" t="n">
        <x:v>400</x:v>
      </x:c>
      <x:c r="Q582" s="38" t="n">
        <x:v>19.88</x:v>
      </x:c>
      <x:c r="R582" s="38" t="n">
        <x:v>43.7475</x:v>
      </x:c>
      <x:c r="S582" s="38" t="n">
        <x:v>122.06</x:v>
      </x:c>
      <x:c r="T582" s="40" t="n">
        <x:v>16.62</x:v>
      </x:c>
      <x:c r="U582" s="40" t="n">
        <x:v>0.48</x:v>
      </x:c>
      <x:c r="V582" s="38" t="n">
        <x:f>L582*(1-T582/100)*(1-U582/100)</x:f>
        <x:v>185.81744219456</x:v>
      </x:c>
      <x:c r="W582" s="38" t="n">
        <x:f>G582*N582</x:f>
        <x:v>106838.03139999999</x:v>
      </x:c>
      <x:c r="X582" s="38" t="n">
        <x:f>H582*O582</x:f>
        <x:v>14170.84326</x:v>
      </x:c>
      <x:c r="Y582" s="38" t="n">
        <x:f>I582*P582</x:f>
        <x:v>4450.8</x:v>
      </x:c>
      <x:c r="Z582" s="38" t="n">
        <x:f>J582*Q582+K582*P582</x:f>
        <x:v>210.99936</x:v>
      </x:c>
      <x:c r="AA582" s="38" t="n">
        <x:f>M582*R582</x:f>
        <x:v>12966.759</x:v>
      </x:c>
      <x:c r="AB582" s="38" t="n">
        <x:f>SUM(W582:AA582)</x:f>
        <x:v>138637.43302</x:v>
      </x:c>
      <x:c r="AC582" s="38" t="n">
        <x:v>9.5</x:v>
      </x:c>
      <x:c r="AD582" s="38" t="n">
        <x:v>174.33</x:v>
      </x:c>
      <x:c r="AE582" s="38" t="n">
        <x:v>103.87</x:v>
      </x:c>
      <x:c r="AF582" s="38" t="n">
        <x:v>4.8148</x:v>
      </x:c>
      <x:c r="AG582" s="38" t="n">
        <x:v>5.39</x:v>
      </x:c>
      <x:c r="AH582" s="38" t="n">
        <x:f>IF(E582="Fason",L582*S582,0)</x:f>
        <x:v>27333.017860000004</x:v>
      </x:c>
      <x:c r="AI582" s="38" t="n">
        <x:f>IF(E582="Kurum içi",AC582*AD582+AE582*AF582+AB582*12%,0)</x:f>
        <x:v>0</x:v>
      </x:c>
      <x:c r="AJ582" s="38" t="n">
        <x:f>V582*AG582</x:f>
        <x:v>1001.5560134286783</x:v>
      </x:c>
      <x:c r="AK582" s="38" t="n">
        <x:f>AB582*2%</x:f>
        <x:v>2772.7486604</x:v>
      </x:c>
      <x:c r="AL582" s="38" t="n">
        <x:f>AB582+AH582+AI582+AJ582+AK582</x:f>
        <x:v>169744.75555382864</x:v>
      </x:c>
      <x:c r="AM582" s="38" t="n">
        <x:f>AL582/V582</x:f>
        <x:v>913.5028097959585</x:v>
      </x:c>
      <x:c r="AN582" s="40" t="n">
        <x:f>(W582+X582)/AL582*100</x:f>
        <x:v>71.288726573721</x:v>
      </x:c>
      <x:c r="AO582" s="28" t="str">
        <x:v>R01-R20; ilgili satırdaki bölgesel fiyat ve maliyet varsayımları</x:v>
      </x:c>
      <x:c r="AP582" s="28" t="str">
        <x:v>Girdi miktarları, alım fiyatı değişimi, fason bedeli ve parti sonucu simüle edilmiştir; işletme kaydı değildir.</x:v>
      </x:c>
    </x:row>
    <x:row r="583" ht="22" customHeight="1">
      <x:c r="A583" t="str">
        <x:v>SUC-0582</x:v>
      </x:c>
      <x:c r="B583" s="36" t="n">
        <x:v>46307</x:v>
      </x:c>
      <x:c r="C583" t="str">
        <x:v>Güneydoğu Anadolu</x:v>
      </x:c>
      <x:c r="D583" t="str">
        <x:v>ERZURUM_CI</x:v>
      </x:c>
      <x:c r="E583" t="str">
        <x:v>Fason</x:v>
      </x:c>
      <x:c r="F583" s="42" t="str">
        <x:v>SENTETİK/SİMÜLE — gerçek parti kaydı değildir</x:v>
      </x:c>
      <x:c r="G583" s="38" t="n">
        <x:v>292.944</x:v>
      </x:c>
      <x:c r="H583" s="38" t="n">
        <x:v>50.379</x:v>
      </x:c>
      <x:c r="I583" s="38" t="n">
        <x:v>16.925</x:v>
      </x:c>
      <x:c r="J583" s="38" t="n">
        <x:v>6.22</x:v>
      </x:c>
      <x:c r="K583" s="38" t="n">
        <x:v>0.446</x:v>
      </x:c>
      <x:c r="L583" s="38" t="n">
        <x:f>SUM(G583:K583)</x:f>
        <x:v>366.9140000000001</x:v>
      </x:c>
      <x:c r="M583" s="38" t="n">
        <x:v>447.702</x:v>
      </x:c>
      <x:c r="N583" s="38" t="n">
        <x:v>599.68</x:v>
      </x:c>
      <x:c r="O583" s="38" t="n">
        <x:v>481.7</x:v>
      </x:c>
      <x:c r="P583" s="38" t="n">
        <x:v>550</x:v>
      </x:c>
      <x:c r="Q583" s="38" t="n">
        <x:v>19.88</x:v>
      </x:c>
      <x:c r="R583" s="38" t="n">
        <x:v>43.7475</x:v>
      </x:c>
      <x:c r="S583" s="38" t="n">
        <x:v>119.19</x:v>
      </x:c>
      <x:c r="T583" s="40" t="n">
        <x:v>25.73</x:v>
      </x:c>
      <x:c r="U583" s="40" t="n">
        <x:v>1.52</x:v>
      </x:c>
      <x:c r="V583" s="38" t="n">
        <x:f>L583*(1-T583/100)*(1-U583/100)</x:f>
        <x:v>268.3649209774401</x:v>
      </x:c>
      <x:c r="W583" s="38" t="n">
        <x:f>G583*N583</x:f>
        <x:v>175672.65792</x:v>
      </x:c>
      <x:c r="X583" s="38" t="n">
        <x:f>H583*O583</x:f>
        <x:v>24267.5643</x:v>
      </x:c>
      <x:c r="Y583" s="38" t="n">
        <x:f>I583*P583</x:f>
        <x:v>9308.75</x:v>
      </x:c>
      <x:c r="Z583" s="38" t="n">
        <x:f>J583*Q583+K583*P583</x:f>
        <x:v>368.9536</x:v>
      </x:c>
      <x:c r="AA583" s="38" t="n">
        <x:f>M583*R583</x:f>
        <x:v>19585.843245</x:v>
      </x:c>
      <x:c r="AB583" s="38" t="n">
        <x:f>SUM(W583:AA583)</x:f>
        <x:v>229203.769065</x:v>
      </x:c>
      <x:c r="AC583" s="38" t="n">
        <x:v>16.59</x:v>
      </x:c>
      <x:c r="AD583" s="38" t="n">
        <x:v>174.33</x:v>
      </x:c>
      <x:c r="AE583" s="38" t="n">
        <x:v>135.6</x:v>
      </x:c>
      <x:c r="AF583" s="38" t="n">
        <x:v>4.8148</x:v>
      </x:c>
      <x:c r="AG583" s="38" t="n">
        <x:v>5.32</x:v>
      </x:c>
      <x:c r="AH583" s="38" t="n">
        <x:f>IF(E583="Fason",L583*S583,0)</x:f>
        <x:v>43732.47966000001</x:v>
      </x:c>
      <x:c r="AI583" s="38" t="n">
        <x:f>IF(E583="Kurum içi",AC583*AD583+AE583*AF583+AB583*12%,0)</x:f>
        <x:v>0</x:v>
      </x:c>
      <x:c r="AJ583" s="38" t="n">
        <x:f>V583*AG583</x:f>
        <x:v>1427.7013795999812</x:v>
      </x:c>
      <x:c r="AK583" s="38" t="n">
        <x:f>AB583*2%</x:f>
        <x:v>4584.0753813</x:v>
      </x:c>
      <x:c r="AL583" s="38" t="n">
        <x:f>AB583+AH583+AI583+AJ583+AK583</x:f>
        <x:v>278948.0254859</x:v>
      </x:c>
      <x:c r="AM583" s="38" t="n">
        <x:f>AL583/V583</x:f>
        <x:v>1039.435498760099</x:v>
      </x:c>
      <x:c r="AN583" s="40" t="n">
        <x:f>(W583+X583)/AL583*100</x:f>
        <x:v>71.67651460221803</x:v>
      </x:c>
      <x:c r="AO583" s="28" t="str">
        <x:v>R01-R20; ilgili satırdaki bölgesel fiyat ve maliyet varsayımları</x:v>
      </x:c>
      <x:c r="AP583" s="28" t="str">
        <x:v>Girdi miktarları, alım fiyatı değişimi, fason bedeli ve parti sonucu simüle edilmiştir; işletme kaydı değildir.</x:v>
      </x:c>
    </x:row>
    <x:row r="584" ht="22" customHeight="1">
      <x:c r="A584" t="str">
        <x:v>SUC-0583</x:v>
      </x:c>
      <x:c r="B584" s="36" t="n">
        <x:v>46297</x:v>
      </x:c>
      <x:c r="C584" t="str">
        <x:v>Ege</x:v>
      </x:c>
      <x:c r="D584" t="str">
        <x:v>ERZURUM_CI</x:v>
      </x:c>
      <x:c r="E584" t="str">
        <x:v>Fason</x:v>
      </x:c>
      <x:c r="F584" s="42" t="str">
        <x:v>SENTETİK/SİMÜLE — gerçek parti kaydı değildir</x:v>
      </x:c>
      <x:c r="G584" s="38" t="n">
        <x:v>279.538</x:v>
      </x:c>
      <x:c r="H584" s="38" t="n">
        <x:v>50.846</x:v>
      </x:c>
      <x:c r="I584" s="38" t="n">
        <x:v>16.839</x:v>
      </x:c>
      <x:c r="J584" s="38" t="n">
        <x:v>4.888</x:v>
      </x:c>
      <x:c r="K584" s="38" t="n">
        <x:v>0.557</x:v>
      </x:c>
      <x:c r="L584" s="38" t="n">
        <x:f>SUM(G584:K584)</x:f>
        <x:v>352.668</x:v>
      </x:c>
      <x:c r="M584" s="38" t="n">
        <x:v>447.665</x:v>
      </x:c>
      <x:c r="N584" s="38" t="n">
        <x:v>599.82</x:v>
      </x:c>
      <x:c r="O584" s="38" t="n">
        <x:v>419.59</x:v>
      </x:c>
      <x:c r="P584" s="38" t="n">
        <x:v>669.9</x:v>
      </x:c>
      <x:c r="Q584" s="38" t="n">
        <x:v>19.88</x:v>
      </x:c>
      <x:c r="R584" s="38" t="n">
        <x:v>43.7475</x:v>
      </x:c>
      <x:c r="S584" s="38" t="n">
        <x:v>66.64</x:v>
      </x:c>
      <x:c r="T584" s="40" t="n">
        <x:v>19.6</x:v>
      </x:c>
      <x:c r="U584" s="40" t="n">
        <x:v>0.66</x:v>
      </x:c>
      <x:c r="V584" s="38" t="n">
        <x:f>L584*(1-T584/100)*(1-U584/100)</x:f>
        <x:v>281.6736745248</x:v>
      </x:c>
      <x:c r="W584" s="38" t="n">
        <x:f>G584*N584</x:f>
        <x:v>167672.48316000003</x:v>
      </x:c>
      <x:c r="X584" s="38" t="n">
        <x:f>H584*O584</x:f>
        <x:v>21334.47314</x:v>
      </x:c>
      <x:c r="Y584" s="38" t="n">
        <x:f>I584*P584</x:f>
        <x:v>11280.4461</x:v>
      </x:c>
      <x:c r="Z584" s="38" t="n">
        <x:f>J584*Q584+K584*P584</x:f>
        <x:v>470.30773999999997</x:v>
      </x:c>
      <x:c r="AA584" s="38" t="n">
        <x:f>M584*R584</x:f>
        <x:v>19584.2245875</x:v>
      </x:c>
      <x:c r="AB584" s="38" t="n">
        <x:f>SUM(W584:AA584)</x:f>
        <x:v>220341.93472750002</x:v>
      </x:c>
      <x:c r="AC584" s="38" t="n">
        <x:v>13.85</x:v>
      </x:c>
      <x:c r="AD584" s="38" t="n">
        <x:v>174.33</x:v>
      </x:c>
      <x:c r="AE584" s="38" t="n">
        <x:v>78.2</x:v>
      </x:c>
      <x:c r="AF584" s="38" t="n">
        <x:v>4.8148</x:v>
      </x:c>
      <x:c r="AG584" s="38" t="n">
        <x:v>5.44</x:v>
      </x:c>
      <x:c r="AH584" s="38" t="n">
        <x:f>IF(E584="Fason",L584*S584,0)</x:f>
        <x:v>23501.79552</x:v>
      </x:c>
      <x:c r="AI584" s="38" t="n">
        <x:f>IF(E584="Kurum içi",AC584*AD584+AE584*AF584+AB584*12%,0)</x:f>
        <x:v>0</x:v>
      </x:c>
      <x:c r="AJ584" s="38" t="n">
        <x:f>V584*AG584</x:f>
        <x:v>1532.304789414912</x:v>
      </x:c>
      <x:c r="AK584" s="38" t="n">
        <x:f>AB584*2%</x:f>
        <x:v>4406.838694550001</x:v>
      </x:c>
      <x:c r="AL584" s="38" t="n">
        <x:f>AB584+AH584+AI584+AJ584+AK584</x:f>
        <x:v>249782.87373146493</x:v>
      </x:c>
      <x:c r="AM584" s="38" t="n">
        <x:f>AL584/V584</x:f>
        <x:v>886.7810389198185</x:v>
      </x:c>
      <x:c r="AN584" s="40" t="n">
        <x:f>(W584+X584)/AL584*100</x:f>
        <x:v>75.66850099706855</x:v>
      </x:c>
      <x:c r="AO584" s="28" t="str">
        <x:v>R01-R20; ilgili satırdaki bölgesel fiyat ve maliyet varsayımları</x:v>
      </x:c>
      <x:c r="AP584" s="28" t="str">
        <x:v>Girdi miktarları, alım fiyatı değişimi, fason bedeli ve parti sonucu simüle edilmiştir; işletme kaydı değildir.</x:v>
      </x:c>
    </x:row>
    <x:row r="585" ht="22" customHeight="1">
      <x:c r="A585" t="str">
        <x:v>SUC-0584</x:v>
      </x:c>
      <x:c r="B585" s="36" t="n">
        <x:v>46311</x:v>
      </x:c>
      <x:c r="C585" t="str">
        <x:v>İç Anadolu</x:v>
      </x:c>
      <x:c r="D585" t="str">
        <x:v>MEB_STANDART</x:v>
      </x:c>
      <x:c r="E585" t="str">
        <x:v>Kurum içi</x:v>
      </x:c>
      <x:c r="F585" s="42" t="str">
        <x:v>SENTETİK/SİMÜLE — gerçek parti kaydı değildir</x:v>
      </x:c>
      <x:c r="G585" s="38" t="n">
        <x:v>96.798</x:v>
      </x:c>
      <x:c r="H585" s="38" t="n">
        <x:v>31.359</x:v>
      </x:c>
      <x:c r="I585" s="38" t="n">
        <x:v>6.419</x:v>
      </x:c>
      <x:c r="J585" s="38" t="n">
        <x:v>3.729</x:v>
      </x:c>
      <x:c r="K585" s="38" t="n">
        <x:v>1.532</x:v>
      </x:c>
      <x:c r="L585" s="38" t="n">
        <x:f>SUM(G585:K585)</x:f>
        <x:v>139.83700000000005</x:v>
      </x:c>
      <x:c r="M585" s="38" t="n">
        <x:v>184.639</x:v>
      </x:c>
      <x:c r="N585" s="38" t="n">
        <x:v>579.01</x:v>
      </x:c>
      <x:c r="O585" s="38" t="n">
        <x:v>424.92</x:v>
      </x:c>
      <x:c r="P585" s="38" t="n">
        <x:v>669.9</x:v>
      </x:c>
      <x:c r="Q585" s="38" t="n">
        <x:v>19.88</x:v>
      </x:c>
      <x:c r="R585" s="38" t="n">
        <x:v>43.7475</x:v>
      </x:c>
      <x:c r="S585" s="38" t="n">
        <x:v>93.96</x:v>
      </x:c>
      <x:c r="T585" s="40" t="n">
        <x:v>15.9</x:v>
      </x:c>
      <x:c r="U585" s="40" t="n">
        <x:v>0.64</x:v>
      </x:c>
      <x:c r="V585" s="38" t="n">
        <x:f>L585*(1-T585/100)*(1-U585/100)</x:f>
        <x:v>116.85025833120004</x:v>
      </x:c>
      <x:c r="W585" s="38" t="n">
        <x:f>G585*N585</x:f>
        <x:v>56047.00998</x:v>
      </x:c>
      <x:c r="X585" s="38" t="n">
        <x:f>H585*O585</x:f>
        <x:v>13325.066280000001</x:v>
      </x:c>
      <x:c r="Y585" s="38" t="n">
        <x:f>I585*P585</x:f>
        <x:v>4300.0881</x:v>
      </x:c>
      <x:c r="Z585" s="38" t="n">
        <x:f>J585*Q585+K585*P585</x:f>
        <x:v>1100.41932</x:v>
      </x:c>
      <x:c r="AA585" s="38" t="n">
        <x:f>M585*R585</x:f>
        <x:v>8077.4946525000005</x:v>
      </x:c>
      <x:c r="AB585" s="38" t="n">
        <x:f>SUM(W585:AA585)</x:f>
        <x:v>82850.0783325</x:v>
      </x:c>
      <x:c r="AC585" s="38" t="n">
        <x:v>9.08</x:v>
      </x:c>
      <x:c r="AD585" s="38" t="n">
        <x:v>174.33</x:v>
      </x:c>
      <x:c r="AE585" s="38" t="n">
        <x:v>57.12</x:v>
      </x:c>
      <x:c r="AF585" s="38" t="n">
        <x:v>4.8148</x:v>
      </x:c>
      <x:c r="AG585" s="38" t="n">
        <x:v>5.69</x:v>
      </x:c>
      <x:c r="AH585" s="38" t="n">
        <x:f>IF(E585="Fason",L585*S585,0)</x:f>
        <x:v>0</x:v>
      </x:c>
      <x:c r="AI585" s="38" t="n">
        <x:f>IF(E585="Kurum içi",AC585*AD585+AE585*AF585+AB585*12%,0)</x:f>
        <x:v>11799.947175899999</x:v>
      </x:c>
      <x:c r="AJ585" s="38" t="n">
        <x:f>V585*AG585</x:f>
        <x:v>664.8779699045283</x:v>
      </x:c>
      <x:c r="AK585" s="38" t="n">
        <x:f>AB585*2%</x:f>
        <x:v>1657.0015666499999</x:v>
      </x:c>
      <x:c r="AL585" s="38" t="n">
        <x:f>AB585+AH585+AI585+AJ585+AK585</x:f>
        <x:v>96971.90504495452</x:v>
      </x:c>
      <x:c r="AM585" s="38" t="n">
        <x:f>AL585/V585</x:f>
        <x:v>829.881819945127</x:v>
      </x:c>
      <x:c r="AN585" s="40" t="n">
        <x:f>(W585+X585)/AL585*100</x:f>
        <x:v>71.53832465995207</x:v>
      </x:c>
      <x:c r="AO585" s="28" t="str">
        <x:v>R01-R20; ilgili satırdaki bölgesel fiyat ve maliyet varsayımları</x:v>
      </x:c>
      <x:c r="AP585" s="28" t="str">
        <x:v>Girdi miktarları, alım fiyatı değişimi, fason bedeli ve parti sonucu simüle edilmiştir; işletme kaydı değildir.</x:v>
      </x:c>
    </x:row>
    <x:row r="586" ht="22" customHeight="1">
      <x:c r="A586" t="str">
        <x:v>SUC-0585</x:v>
      </x:c>
      <x:c r="B586" s="36" t="n">
        <x:v>46277</x:v>
      </x:c>
      <x:c r="C586" t="str">
        <x:v>Akdeniz</x:v>
      </x:c>
      <x:c r="D586" t="str">
        <x:v>ERZURUM_CI</x:v>
      </x:c>
      <x:c r="E586" t="str">
        <x:v>Kurum içi</x:v>
      </x:c>
      <x:c r="F586" s="42" t="str">
        <x:v>SENTETİK/SİMÜLE — gerçek parti kaydı değildir</x:v>
      </x:c>
      <x:c r="G586" s="38" t="n">
        <x:v>326.996</x:v>
      </x:c>
      <x:c r="H586" s="38" t="n">
        <x:v>57.078</x:v>
      </x:c>
      <x:c r="I586" s="38" t="n">
        <x:v>19.762</x:v>
      </x:c>
      <x:c r="J586" s="38" t="n">
        <x:v>6.082</x:v>
      </x:c>
      <x:c r="K586" s="38" t="n">
        <x:v>0.879</x:v>
      </x:c>
      <x:c r="L586" s="38" t="n">
        <x:f>SUM(G586:K586)</x:f>
        <x:v>410.79699999999997</x:v>
      </x:c>
      <x:c r="M586" s="38" t="n">
        <x:v>509.147</x:v>
      </x:c>
      <x:c r="N586" s="38" t="n">
        <x:v>582.02</x:v>
      </x:c>
      <x:c r="O586" s="38" t="n">
        <x:v>473.18</x:v>
      </x:c>
      <x:c r="P586" s="38" t="n">
        <x:v>550</x:v>
      </x:c>
      <x:c r="Q586" s="38" t="n">
        <x:v>19.88</x:v>
      </x:c>
      <x:c r="R586" s="38" t="n">
        <x:v>43.7475</x:v>
      </x:c>
      <x:c r="S586" s="38" t="n">
        <x:v>109.61</x:v>
      </x:c>
      <x:c r="T586" s="40" t="n">
        <x:v>19.43</x:v>
      </x:c>
      <x:c r="U586" s="40" t="n">
        <x:v>1.04</x:v>
      </x:c>
      <x:c r="V586" s="38" t="n">
        <x:f>L586*(1-T586/100)*(1-U586/100)</x:f>
        <x:v>327.5369598138399</x:v>
      </x:c>
      <x:c r="W586" s="38" t="n">
        <x:f>G586*N586</x:f>
        <x:v>190318.21191999997</x:v>
      </x:c>
      <x:c r="X586" s="38" t="n">
        <x:f>H586*O586</x:f>
        <x:v>27008.16804</x:v>
      </x:c>
      <x:c r="Y586" s="38" t="n">
        <x:f>I586*P586</x:f>
        <x:v>10869.1</x:v>
      </x:c>
      <x:c r="Z586" s="38" t="n">
        <x:f>J586*Q586+K586*P586</x:f>
        <x:v>604.36016</x:v>
      </x:c>
      <x:c r="AA586" s="38" t="n">
        <x:f>M586*R586</x:f>
        <x:v>22273.9083825</x:v>
      </x:c>
      <x:c r="AB586" s="38" t="n">
        <x:f>SUM(W586:AA586)</x:f>
        <x:v>251073.74850249998</x:v>
      </x:c>
      <x:c r="AC586" s="38" t="n">
        <x:v>24.19</x:v>
      </x:c>
      <x:c r="AD586" s="38" t="n">
        <x:v>174.33</x:v>
      </x:c>
      <x:c r="AE586" s="38" t="n">
        <x:v>179.79</x:v>
      </x:c>
      <x:c r="AF586" s="38" t="n">
        <x:v>4.8148</x:v>
      </x:c>
      <x:c r="AG586" s="38" t="n">
        <x:v>5.2</x:v>
      </x:c>
      <x:c r="AH586" s="38" t="n">
        <x:f>IF(E586="Fason",L586*S586,0)</x:f>
        <x:v>0</x:v>
      </x:c>
      <x:c r="AI586" s="38" t="n">
        <x:f>IF(E586="Kurum içi",AC586*AD586+AE586*AF586+AB586*12%,0)</x:f>
        <x:v>35211.545412299994</x:v>
      </x:c>
      <x:c r="AJ586" s="38" t="n">
        <x:f>V586*AG586</x:f>
        <x:v>1703.1921910319677</x:v>
      </x:c>
      <x:c r="AK586" s="38" t="n">
        <x:f>AB586*2%</x:f>
        <x:v>5021.47497005</x:v>
      </x:c>
      <x:c r="AL586" s="38" t="n">
        <x:f>AB586+AH586+AI586+AJ586+AK586</x:f>
        <x:v>293009.96107588196</x:v>
      </x:c>
      <x:c r="AM586" s="38" t="n">
        <x:f>AL586/V586</x:f>
        <x:v>894.5859460942</x:v>
      </x:c>
      <x:c r="AN586" s="40" t="n">
        <x:f>(W586+X586)/AL586*100</x:f>
        <x:v>74.17030436849828</x:v>
      </x:c>
      <x:c r="AO586" s="28" t="str">
        <x:v>R01-R20; ilgili satırdaki bölgesel fiyat ve maliyet varsayımları</x:v>
      </x:c>
      <x:c r="AP586" s="28" t="str">
        <x:v>Girdi miktarları, alım fiyatı değişimi, fason bedeli ve parti sonucu simüle edilmiştir; işletme kaydı değildir.</x:v>
      </x:c>
    </x:row>
    <x:row r="587" ht="22" customHeight="1">
      <x:c r="A587" t="str">
        <x:v>SUC-0586</x:v>
      </x:c>
      <x:c r="B587" s="36" t="n">
        <x:v>46298</x:v>
      </x:c>
      <x:c r="C587" t="str">
        <x:v>Karadeniz</x:v>
      </x:c>
      <x:c r="D587" t="str">
        <x:v>MEB_STANDART</x:v>
      </x:c>
      <x:c r="E587" t="str">
        <x:v>Fason</x:v>
      </x:c>
      <x:c r="F587" s="42" t="str">
        <x:v>SENTETİK/SİMÜLE — gerçek parti kaydı değildir</x:v>
      </x:c>
      <x:c r="G587" s="38" t="n">
        <x:v>88.651</x:v>
      </x:c>
      <x:c r="H587" s="38" t="n">
        <x:v>26.474</x:v>
      </x:c>
      <x:c r="I587" s="38" t="n">
        <x:v>5.492</x:v>
      </x:c>
      <x:c r="J587" s="38" t="n">
        <x:v>3.056</x:v>
      </x:c>
      <x:c r="K587" s="38" t="n">
        <x:v>1.192</x:v>
      </x:c>
      <x:c r="L587" s="38" t="n">
        <x:f>SUM(G587:K587)</x:f>
        <x:v>124.865</x:v>
      </x:c>
      <x:c r="M587" s="38" t="n">
        <x:v>162.113</x:v>
      </x:c>
      <x:c r="N587" s="38" t="n">
        <x:v>614.72</x:v>
      </x:c>
      <x:c r="O587" s="38" t="n">
        <x:v>471.98</x:v>
      </x:c>
      <x:c r="P587" s="38" t="n">
        <x:v>400</x:v>
      </x:c>
      <x:c r="Q587" s="38" t="n">
        <x:v>19.88</x:v>
      </x:c>
      <x:c r="R587" s="38" t="n">
        <x:v>43.7475</x:v>
      </x:c>
      <x:c r="S587" s="38" t="n">
        <x:v>79.06</x:v>
      </x:c>
      <x:c r="T587" s="40" t="n">
        <x:v>18.2</x:v>
      </x:c>
      <x:c r="U587" s="40" t="n">
        <x:v>1.5</x:v>
      </x:c>
      <x:c r="V587" s="38" t="n">
        <x:f>L587*(1-T587/100)*(1-U587/100)</x:f>
        <x:v>100.60747645000001</x:v>
      </x:c>
      <x:c r="W587" s="38" t="n">
        <x:f>G587*N587</x:f>
        <x:v>54495.54272</x:v>
      </x:c>
      <x:c r="X587" s="38" t="n">
        <x:f>H587*O587</x:f>
        <x:v>12495.19852</x:v>
      </x:c>
      <x:c r="Y587" s="38" t="n">
        <x:f>I587*P587</x:f>
        <x:v>2196.8</x:v>
      </x:c>
      <x:c r="Z587" s="38" t="n">
        <x:f>J587*Q587+K587*P587</x:f>
        <x:v>537.55328</x:v>
      </x:c>
      <x:c r="AA587" s="38" t="n">
        <x:f>M587*R587</x:f>
        <x:v>7092.0384675000005</x:v>
      </x:c>
      <x:c r="AB587" s="38" t="n">
        <x:f>SUM(W587:AA587)</x:f>
        <x:v>76817.1329875</x:v>
      </x:c>
      <x:c r="AC587" s="38" t="n">
        <x:v>5.73</x:v>
      </x:c>
      <x:c r="AD587" s="38" t="n">
        <x:v>174.33</x:v>
      </x:c>
      <x:c r="AE587" s="38" t="n">
        <x:v>52.27</x:v>
      </x:c>
      <x:c r="AF587" s="38" t="n">
        <x:v>4.8148</x:v>
      </x:c>
      <x:c r="AG587" s="38" t="n">
        <x:v>5.15</x:v>
      </x:c>
      <x:c r="AH587" s="38" t="n">
        <x:f>IF(E587="Fason",L587*S587,0)</x:f>
        <x:v>9871.8269</x:v>
      </x:c>
      <x:c r="AI587" s="38" t="n">
        <x:f>IF(E587="Kurum içi",AC587*AD587+AE587*AF587+AB587*12%,0)</x:f>
        <x:v>0</x:v>
      </x:c>
      <x:c r="AJ587" s="38" t="n">
        <x:f>V587*AG587</x:f>
        <x:v>518.1285037175</x:v>
      </x:c>
      <x:c r="AK587" s="38" t="n">
        <x:f>AB587*2%</x:f>
        <x:v>1536.34265975</x:v>
      </x:c>
      <x:c r="AL587" s="38" t="n">
        <x:f>AB587+AH587+AI587+AJ587+AK587</x:f>
        <x:v>88743.43105096748</x:v>
      </x:c>
      <x:c r="AM587" s="38" t="n">
        <x:f>AL587/V587</x:f>
        <x:v>882.0759071029007</x:v>
      </x:c>
      <x:c r="AN587" s="40" t="n">
        <x:f>(W587+X587)/AL587*100</x:f>
        <x:v>75.48811269368841</x:v>
      </x:c>
      <x:c r="AO587" s="28" t="str">
        <x:v>R01-R20; ilgili satırdaki bölgesel fiyat ve maliyet varsayımları</x:v>
      </x:c>
      <x:c r="AP587" s="28" t="str">
        <x:v>Girdi miktarları, alım fiyatı değişimi, fason bedeli ve parti sonucu simüle edilmiştir; işletme kaydı değildir.</x:v>
      </x:c>
    </x:row>
    <x:row r="588" ht="22" customHeight="1">
      <x:c r="A588" t="str">
        <x:v>SUC-0587</x:v>
      </x:c>
      <x:c r="B588" s="36" t="n">
        <x:v>46292</x:v>
      </x:c>
      <x:c r="C588" t="str">
        <x:v>Ege</x:v>
      </x:c>
      <x:c r="D588" t="str">
        <x:v>MEB_STANDART</x:v>
      </x:c>
      <x:c r="E588" t="str">
        <x:v>Fason</x:v>
      </x:c>
      <x:c r="F588" s="42" t="str">
        <x:v>SENTETİK/SİMÜLE — gerçek parti kaydı değildir</x:v>
      </x:c>
      <x:c r="G588" s="38" t="n">
        <x:v>100.445</x:v>
      </x:c>
      <x:c r="H588" s="38" t="n">
        <x:v>30.75</x:v>
      </x:c>
      <x:c r="I588" s="38" t="n">
        <x:v>6.259</x:v>
      </x:c>
      <x:c r="J588" s="38" t="n">
        <x:v>3.364</x:v>
      </x:c>
      <x:c r="K588" s="38" t="n">
        <x:v>1.451</x:v>
      </x:c>
      <x:c r="L588" s="38" t="n">
        <x:f>SUM(G588:K588)</x:f>
        <x:v>142.269</x:v>
      </x:c>
      <x:c r="M588" s="38" t="n">
        <x:v>166.931</x:v>
      </x:c>
      <x:c r="N588" s="38" t="n">
        <x:v>611.13</x:v>
      </x:c>
      <x:c r="O588" s="38" t="n">
        <x:v>430.03</x:v>
      </x:c>
      <x:c r="P588" s="38" t="n">
        <x:v>669.9</x:v>
      </x:c>
      <x:c r="Q588" s="38" t="n">
        <x:v>19.88</x:v>
      </x:c>
      <x:c r="R588" s="38" t="n">
        <x:v>43.7475</x:v>
      </x:c>
      <x:c r="S588" s="38" t="n">
        <x:v>69.74</x:v>
      </x:c>
      <x:c r="T588" s="40" t="n">
        <x:v>26.31</x:v>
      </x:c>
      <x:c r="U588" s="40" t="n">
        <x:v>0.93</x:v>
      </x:c>
      <x:c r="V588" s="38" t="n">
        <x:f>L588*(1-T588/100)*(1-U588/100)</x:f>
        <x:v>103.86303245727001</x:v>
      </x:c>
      <x:c r="W588" s="38" t="n">
        <x:f>G588*N588</x:f>
        <x:v>61384.952849999994</x:v>
      </x:c>
      <x:c r="X588" s="38" t="n">
        <x:f>H588*O588</x:f>
        <x:v>13223.422499999999</x:v>
      </x:c>
      <x:c r="Y588" s="38" t="n">
        <x:f>I588*P588</x:f>
        <x:v>4192.9041</x:v>
      </x:c>
      <x:c r="Z588" s="38" t="n">
        <x:f>J588*Q588+K588*P588</x:f>
        <x:v>1038.90122</x:v>
      </x:c>
      <x:c r="AA588" s="38" t="n">
        <x:f>M588*R588</x:f>
        <x:v>7302.8139225</x:v>
      </x:c>
      <x:c r="AB588" s="38" t="n">
        <x:f>SUM(W588:AA588)</x:f>
        <x:v>87142.99459249999</x:v>
      </x:c>
      <x:c r="AC588" s="38" t="n">
        <x:v>7.06</x:v>
      </x:c>
      <x:c r="AD588" s="38" t="n">
        <x:v>174.33</x:v>
      </x:c>
      <x:c r="AE588" s="38" t="n">
        <x:v>57.39</x:v>
      </x:c>
      <x:c r="AF588" s="38" t="n">
        <x:v>4.8148</x:v>
      </x:c>
      <x:c r="AG588" s="38" t="n">
        <x:v>5.8</x:v>
      </x:c>
      <x:c r="AH588" s="38" t="n">
        <x:f>IF(E588="Fason",L588*S588,0)</x:f>
        <x:v>9921.84006</x:v>
      </x:c>
      <x:c r="AI588" s="38" t="n">
        <x:f>IF(E588="Kurum içi",AC588*AD588+AE588*AF588+AB588*12%,0)</x:f>
        <x:v>0</x:v>
      </x:c>
      <x:c r="AJ588" s="38" t="n">
        <x:f>V588*AG588</x:f>
        <x:v>602.405588252166</x:v>
      </x:c>
      <x:c r="AK588" s="38" t="n">
        <x:f>AB588*2%</x:f>
        <x:v>1742.85989185</x:v>
      </x:c>
      <x:c r="AL588" s="38" t="n">
        <x:f>AB588+AH588+AI588+AJ588+AK588</x:f>
        <x:v>99410.10013260217</x:v>
      </x:c>
      <x:c r="AM588" s="38" t="n">
        <x:f>AL588/V588</x:f>
        <x:v>957.1268793206109</x:v>
      </x:c>
      <x:c r="AN588" s="40" t="n">
        <x:f>(W588+X588)/AL588*100</x:f>
        <x:v>75.0511016994054</x:v>
      </x:c>
      <x:c r="AO588" s="28" t="str">
        <x:v>R01-R20; ilgili satırdaki bölgesel fiyat ve maliyet varsayımları</x:v>
      </x:c>
      <x:c r="AP588" s="28" t="str">
        <x:v>Girdi miktarları, alım fiyatı değişimi, fason bedeli ve parti sonucu simüle edilmiştir; işletme kaydı değildir.</x:v>
      </x:c>
    </x:row>
    <x:row r="589" ht="22" customHeight="1">
      <x:c r="A589" t="str">
        <x:v>SUC-0588</x:v>
      </x:c>
      <x:c r="B589" s="36" t="n">
        <x:v>46293</x:v>
      </x:c>
      <x:c r="C589" t="str">
        <x:v>Akdeniz</x:v>
      </x:c>
      <x:c r="D589" t="str">
        <x:v>ERZURUM_CI</x:v>
      </x:c>
      <x:c r="E589" t="str">
        <x:v>Kurum içi</x:v>
      </x:c>
      <x:c r="F589" s="42" t="str">
        <x:v>SENTETİK/SİMÜLE — gerçek parti kaydı değildir</x:v>
      </x:c>
      <x:c r="G589" s="38" t="n">
        <x:v>201.477</x:v>
      </x:c>
      <x:c r="H589" s="38" t="n">
        <x:v>33.405</x:v>
      </x:c>
      <x:c r="I589" s="38" t="n">
        <x:v>12.228</x:v>
      </x:c>
      <x:c r="J589" s="38" t="n">
        <x:v>3.61</x:v>
      </x:c>
      <x:c r="K589" s="38" t="n">
        <x:v>0.025</x:v>
      </x:c>
      <x:c r="L589" s="38" t="n">
        <x:f>SUM(G589:K589)</x:f>
        <x:v>250.74500000000003</x:v>
      </x:c>
      <x:c r="M589" s="38" t="n">
        <x:v>332.439</x:v>
      </x:c>
      <x:c r="N589" s="38" t="n">
        <x:v>579.58</x:v>
      </x:c>
      <x:c r="O589" s="38" t="n">
        <x:v>458.15</x:v>
      </x:c>
      <x:c r="P589" s="38" t="n">
        <x:v>400</x:v>
      </x:c>
      <x:c r="Q589" s="38" t="n">
        <x:v>19.88</x:v>
      </x:c>
      <x:c r="R589" s="38" t="n">
        <x:v>43.7475</x:v>
      </x:c>
      <x:c r="S589" s="38" t="n">
        <x:v>103.21</x:v>
      </x:c>
      <x:c r="T589" s="40" t="n">
        <x:v>18.6</x:v>
      </x:c>
      <x:c r="U589" s="40" t="n">
        <x:v>1.51</x:v>
      </x:c>
      <x:c r="V589" s="38" t="n">
        <x:f>L589*(1-T589/100)*(1-U589/100)</x:f>
        <x:v>201.02442290700003</x:v>
      </x:c>
      <x:c r="W589" s="38" t="n">
        <x:f>G589*N589</x:f>
        <x:v>116772.03966000001</x:v>
      </x:c>
      <x:c r="X589" s="38" t="n">
        <x:f>H589*O589</x:f>
        <x:v>15304.50075</x:v>
      </x:c>
      <x:c r="Y589" s="38" t="n">
        <x:f>I589*P589</x:f>
        <x:v>4891.2</x:v>
      </x:c>
      <x:c r="Z589" s="38" t="n">
        <x:f>J589*Q589+K589*P589</x:f>
        <x:v>81.76679999999999</x:v>
      </x:c>
      <x:c r="AA589" s="38" t="n">
        <x:f>M589*R589</x:f>
        <x:v>14543.375152500003</x:v>
      </x:c>
      <x:c r="AB589" s="38" t="n">
        <x:f>SUM(W589:AA589)</x:f>
        <x:v>151592.88236250004</x:v>
      </x:c>
      <x:c r="AC589" s="38" t="n">
        <x:v>17.5</x:v>
      </x:c>
      <x:c r="AD589" s="38" t="n">
        <x:v>174.33</x:v>
      </x:c>
      <x:c r="AE589" s="38" t="n">
        <x:v>111.49</x:v>
      </x:c>
      <x:c r="AF589" s="38" t="n">
        <x:v>4.8148</x:v>
      </x:c>
      <x:c r="AG589" s="38" t="n">
        <x:v>5.29</x:v>
      </x:c>
      <x:c r="AH589" s="38" t="n">
        <x:f>IF(E589="Fason",L589*S589,0)</x:f>
        <x:v>0</x:v>
      </x:c>
      <x:c r="AI589" s="38" t="n">
        <x:f>IF(E589="Kurum içi",AC589*AD589+AE589*AF589+AB589*12%,0)</x:f>
        <x:v>21778.722935500005</x:v>
      </x:c>
      <x:c r="AJ589" s="38" t="n">
        <x:f>V589*AG589</x:f>
        <x:v>1063.4191971780301</x:v>
      </x:c>
      <x:c r="AK589" s="38" t="n">
        <x:f>AB589*2%</x:f>
        <x:v>3031.857647250001</x:v>
      </x:c>
      <x:c r="AL589" s="38" t="n">
        <x:f>AB589+AH589+AI589+AJ589+AK589</x:f>
        <x:v>177466.88214242808</x:v>
      </x:c>
      <x:c r="AM589" s="38" t="n">
        <x:f>AL589/V589</x:f>
        <x:v>882.8125437501175</x:v>
      </x:c>
      <x:c r="AN589" s="40" t="n">
        <x:f>(W589+X589)/AL589*100</x:f>
        <x:v>74.4232043835652</x:v>
      </x:c>
      <x:c r="AO589" s="28" t="str">
        <x:v>R01-R20; ilgili satırdaki bölgesel fiyat ve maliyet varsayımları</x:v>
      </x:c>
      <x:c r="AP589" s="28" t="str">
        <x:v>Girdi miktarları, alım fiyatı değişimi, fason bedeli ve parti sonucu simüle edilmiştir; işletme kaydı değildir.</x:v>
      </x:c>
    </x:row>
    <x:row r="590" ht="22" customHeight="1">
      <x:c r="A590" t="str">
        <x:v>SUC-0589</x:v>
      </x:c>
      <x:c r="B590" s="36" t="n">
        <x:v>46290</x:v>
      </x:c>
      <x:c r="C590" t="str">
        <x:v>Güneydoğu Anadolu</x:v>
      </x:c>
      <x:c r="D590" t="str">
        <x:v>MEB_STANDART</x:v>
      </x:c>
      <x:c r="E590" t="str">
        <x:v>Kurum içi</x:v>
      </x:c>
      <x:c r="F590" s="42" t="str">
        <x:v>SENTETİK/SİMÜLE — gerçek parti kaydı değildir</x:v>
      </x:c>
      <x:c r="G590" s="38" t="n">
        <x:v>209.052</x:v>
      </x:c>
      <x:c r="H590" s="38" t="n">
        <x:v>64.407</x:v>
      </x:c>
      <x:c r="I590" s="38" t="n">
        <x:v>13.912</x:v>
      </x:c>
      <x:c r="J590" s="38" t="n">
        <x:v>6.926</x:v>
      </x:c>
      <x:c r="K590" s="38" t="n">
        <x:v>2.897</x:v>
      </x:c>
      <x:c r="L590" s="38" t="n">
        <x:f>SUM(G590:K590)</x:f>
        <x:v>297.19399999999996</x:v>
      </x:c>
      <x:c r="M590" s="38" t="n">
        <x:v>351.731</x:v>
      </x:c>
      <x:c r="N590" s="38" t="n">
        <x:v>570.11</x:v>
      </x:c>
      <x:c r="O590" s="38" t="n">
        <x:v>410.09</x:v>
      </x:c>
      <x:c r="P590" s="38" t="n">
        <x:v>550</x:v>
      </x:c>
      <x:c r="Q590" s="38" t="n">
        <x:v>19.88</x:v>
      </x:c>
      <x:c r="R590" s="38" t="n">
        <x:v>43.7475</x:v>
      </x:c>
      <x:c r="S590" s="38" t="n">
        <x:v>79.39</x:v>
      </x:c>
      <x:c r="T590" s="40" t="n">
        <x:v>21.2</x:v>
      </x:c>
      <x:c r="U590" s="40" t="n">
        <x:v>0.8</x:v>
      </x:c>
      <x:c r="V590" s="38" t="n">
        <x:f>L590*(1-T590/100)*(1-U590/100)</x:f>
        <x:v>232.31536102399997</x:v>
      </x:c>
      <x:c r="W590" s="38" t="n">
        <x:f>G590*N590</x:f>
        <x:v>119182.63572</x:v>
      </x:c>
      <x:c r="X590" s="38" t="n">
        <x:f>H590*O590</x:f>
        <x:v>26412.666629999996</x:v>
      </x:c>
      <x:c r="Y590" s="38" t="n">
        <x:f>I590*P590</x:f>
        <x:v>7651.6</x:v>
      </x:c>
      <x:c r="Z590" s="38" t="n">
        <x:f>J590*Q590+K590*P590</x:f>
        <x:v>1731.0388799999998</x:v>
      </x:c>
      <x:c r="AA590" s="38" t="n">
        <x:f>M590*R590</x:f>
        <x:v>15387.3519225</x:v>
      </x:c>
      <x:c r="AB590" s="38" t="n">
        <x:f>SUM(W590:AA590)</x:f>
        <x:v>170365.29315250003</x:v>
      </x:c>
      <x:c r="AC590" s="38" t="n">
        <x:v>20.7</x:v>
      </x:c>
      <x:c r="AD590" s="38" t="n">
        <x:v>174.33</x:v>
      </x:c>
      <x:c r="AE590" s="38" t="n">
        <x:v>142.13</x:v>
      </x:c>
      <x:c r="AF590" s="38" t="n">
        <x:v>4.8148</x:v>
      </x:c>
      <x:c r="AG590" s="38" t="n">
        <x:v>5.35</x:v>
      </x:c>
      <x:c r="AH590" s="38" t="n">
        <x:f>IF(E590="Fason",L590*S590,0)</x:f>
        <x:v>0</x:v>
      </x:c>
      <x:c r="AI590" s="38" t="n">
        <x:f>IF(E590="Kurum içi",AC590*AD590+AE590*AF590+AB590*12%,0)</x:f>
        <x:v>24736.793702300005</x:v>
      </x:c>
      <x:c r="AJ590" s="38" t="n">
        <x:f>V590*AG590</x:f>
        <x:v>1242.8871814783997</x:v>
      </x:c>
      <x:c r="AK590" s="38" t="n">
        <x:f>AB590*2%</x:f>
        <x:v>3407.305863050001</x:v>
      </x:c>
      <x:c r="AL590" s="38" t="n">
        <x:f>AB590+AH590+AI590+AJ590+AK590</x:f>
        <x:v>199752.27989932842</x:v>
      </x:c>
      <x:c r="AM590" s="38" t="n">
        <x:f>AL590/V590</x:f>
        <x:v>859.8324235593378</x:v>
      </x:c>
      <x:c r="AN590" s="40" t="n">
        <x:f>(W590+X590)/AL590*100</x:f>
        <x:v>72.88793020203697</x:v>
      </x:c>
      <x:c r="AO590" s="28" t="str">
        <x:v>R01-R20; ilgili satırdaki bölgesel fiyat ve maliyet varsayımları</x:v>
      </x:c>
      <x:c r="AP590" s="28" t="str">
        <x:v>Girdi miktarları, alım fiyatı değişimi, fason bedeli ve parti sonucu simüle edilmiştir; işletme kaydı değildir.</x:v>
      </x:c>
    </x:row>
    <x:row r="591" ht="22" customHeight="1">
      <x:c r="A591" t="str">
        <x:v>SUC-0590</x:v>
      </x:c>
      <x:c r="B591" s="36" t="n">
        <x:v>46305</x:v>
      </x:c>
      <x:c r="C591" t="str">
        <x:v>İç Anadolu</x:v>
      </x:c>
      <x:c r="D591" t="str">
        <x:v>ERZURUM_CI</x:v>
      </x:c>
      <x:c r="E591" t="str">
        <x:v>Fason</x:v>
      </x:c>
      <x:c r="F591" s="42" t="str">
        <x:v>SENTETİK/SİMÜLE — gerçek parti kaydı değildir</x:v>
      </x:c>
      <x:c r="G591" s="38" t="n">
        <x:v>164.15</x:v>
      </x:c>
      <x:c r="H591" s="38" t="n">
        <x:v>29.33</x:v>
      </x:c>
      <x:c r="I591" s="38" t="n">
        <x:v>9.312</x:v>
      </x:c>
      <x:c r="J591" s="38" t="n">
        <x:v>3.554</x:v>
      </x:c>
      <x:c r="K591" s="38" t="n">
        <x:v>0.02</x:v>
      </x:c>
      <x:c r="L591" s="38" t="n">
        <x:f>SUM(G591:K591)</x:f>
        <x:v>206.36600000000004</x:v>
      </x:c>
      <x:c r="M591" s="38" t="n">
        <x:v>275.358</x:v>
      </x:c>
      <x:c r="N591" s="38" t="n">
        <x:v>597.69</x:v>
      </x:c>
      <x:c r="O591" s="38" t="n">
        <x:v>462.42</x:v>
      </x:c>
      <x:c r="P591" s="38" t="n">
        <x:v>400</x:v>
      </x:c>
      <x:c r="Q591" s="38" t="n">
        <x:v>19.88</x:v>
      </x:c>
      <x:c r="R591" s="38" t="n">
        <x:v>43.7475</x:v>
      </x:c>
      <x:c r="S591" s="38" t="n">
        <x:v>67.31</x:v>
      </x:c>
      <x:c r="T591" s="40" t="n">
        <x:v>19.08</x:v>
      </x:c>
      <x:c r="U591" s="40" t="n">
        <x:v>0.65</x:v>
      </x:c>
      <x:c r="V591" s="38" t="n">
        <x:f>L591*(1-T591/100)*(1-U591/100)</x:f>
        <x:v>165.90592331320005</x:v>
      </x:c>
      <x:c r="W591" s="38" t="n">
        <x:f>G591*N591</x:f>
        <x:v>98110.81350000002</x:v>
      </x:c>
      <x:c r="X591" s="38" t="n">
        <x:f>H591*O591</x:f>
        <x:v>13562.7786</x:v>
      </x:c>
      <x:c r="Y591" s="38" t="n">
        <x:f>I591*P591</x:f>
        <x:v>3724.7999999999997</x:v>
      </x:c>
      <x:c r="Z591" s="38" t="n">
        <x:f>J591*Q591+K591*P591</x:f>
        <x:v>78.65351999999999</x:v>
      </x:c>
      <x:c r="AA591" s="38" t="n">
        <x:f>M591*R591</x:f>
        <x:v>12046.224105000001</x:v>
      </x:c>
      <x:c r="AB591" s="38" t="n">
        <x:f>SUM(W591:AA591)</x:f>
        <x:v>127523.26972500003</x:v>
      </x:c>
      <x:c r="AC591" s="38" t="n">
        <x:v>7.69</x:v>
      </x:c>
      <x:c r="AD591" s="38" t="n">
        <x:v>174.33</x:v>
      </x:c>
      <x:c r="AE591" s="38" t="n">
        <x:v>83.35</x:v>
      </x:c>
      <x:c r="AF591" s="38" t="n">
        <x:v>4.8148</x:v>
      </x:c>
      <x:c r="AG591" s="38" t="n">
        <x:v>5.2</x:v>
      </x:c>
      <x:c r="AH591" s="38" t="n">
        <x:f>IF(E591="Fason",L591*S591,0)</x:f>
        <x:v>13890.495460000004</x:v>
      </x:c>
      <x:c r="AI591" s="38" t="n">
        <x:f>IF(E591="Kurum içi",AC591*AD591+AE591*AF591+AB591*12%,0)</x:f>
        <x:v>0</x:v>
      </x:c>
      <x:c r="AJ591" s="38" t="n">
        <x:f>V591*AG591</x:f>
        <x:v>862.7108012286403</x:v>
      </x:c>
      <x:c r="AK591" s="38" t="n">
        <x:f>AB591*2%</x:f>
        <x:v>2550.465394500001</x:v>
      </x:c>
      <x:c r="AL591" s="38" t="n">
        <x:f>AB591+AH591+AI591+AJ591+AK591</x:f>
        <x:v>144826.94138072868</x:v>
      </x:c>
      <x:c r="AM591" s="38" t="n">
        <x:f>AL591/V591</x:f>
        <x:v>872.946176293669</x:v>
      </x:c>
      <x:c r="AN591" s="40" t="n">
        <x:f>(W591+X591)/AL591*100</x:f>
        <x:v>77.10829976477001</x:v>
      </x:c>
      <x:c r="AO591" s="28" t="str">
        <x:v>R01-R20; ilgili satırdaki bölgesel fiyat ve maliyet varsayımları</x:v>
      </x:c>
      <x:c r="AP591" s="28" t="str">
        <x:v>Girdi miktarları, alım fiyatı değişimi, fason bedeli ve parti sonucu simüle edilmiştir; işletme kaydı değildir.</x:v>
      </x:c>
    </x:row>
    <x:row r="592" ht="22" customHeight="1">
      <x:c r="A592" t="str">
        <x:v>SUC-0591</x:v>
      </x:c>
      <x:c r="B592" s="36" t="n">
        <x:v>46285</x:v>
      </x:c>
      <x:c r="C592" t="str">
        <x:v>Güneydoğu Anadolu</x:v>
      </x:c>
      <x:c r="D592" t="str">
        <x:v>MEB_STANDART</x:v>
      </x:c>
      <x:c r="E592" t="str">
        <x:v>Kurum içi</x:v>
      </x:c>
      <x:c r="F592" s="42" t="str">
        <x:v>SENTETİK/SİMÜLE — gerçek parti kaydı değildir</x:v>
      </x:c>
      <x:c r="G592" s="38" t="n">
        <x:v>276.478</x:v>
      </x:c>
      <x:c r="H592" s="38" t="n">
        <x:v>89.698</x:v>
      </x:c>
      <x:c r="I592" s="38" t="n">
        <x:v>17.081</x:v>
      </x:c>
      <x:c r="J592" s="38" t="n">
        <x:v>10.167</x:v>
      </x:c>
      <x:c r="K592" s="38" t="n">
        <x:v>3.639</x:v>
      </x:c>
      <x:c r="L592" s="38" t="n">
        <x:f>SUM(G592:K592)</x:f>
        <x:v>397.063</x:v>
      </x:c>
      <x:c r="M592" s="38" t="n">
        <x:v>530.913</x:v>
      </x:c>
      <x:c r="N592" s="38" t="n">
        <x:v>576.24</x:v>
      </x:c>
      <x:c r="O592" s="38" t="n">
        <x:v>471.38</x:v>
      </x:c>
      <x:c r="P592" s="38" t="n">
        <x:v>400</x:v>
      </x:c>
      <x:c r="Q592" s="38" t="n">
        <x:v>19.88</x:v>
      </x:c>
      <x:c r="R592" s="38" t="n">
        <x:v>43.7475</x:v>
      </x:c>
      <x:c r="S592" s="38" t="n">
        <x:v>73.21</x:v>
      </x:c>
      <x:c r="T592" s="40" t="n">
        <x:v>31.27</x:v>
      </x:c>
      <x:c r="U592" s="40" t="n">
        <x:v>1.61</x:v>
      </x:c>
      <x:c r="V592" s="38" t="n">
        <x:f>L592*(1-T592/100)*(1-U592/100)</x:f>
        <x:v>268.50768736161</x:v>
      </x:c>
      <x:c r="W592" s="38" t="n">
        <x:f>G592*N592</x:f>
        <x:v>159317.68272</x:v>
      </x:c>
      <x:c r="X592" s="38" t="n">
        <x:f>H592*O592</x:f>
        <x:v>42281.843239999995</x:v>
      </x:c>
      <x:c r="Y592" s="38" t="n">
        <x:f>I592*P592</x:f>
        <x:v>6832.4</x:v>
      </x:c>
      <x:c r="Z592" s="38" t="n">
        <x:f>J592*Q592+K592*P592</x:f>
        <x:v>1657.71996</x:v>
      </x:c>
      <x:c r="AA592" s="38" t="n">
        <x:f>M592*R592</x:f>
        <x:v>23226.1164675</x:v>
      </x:c>
      <x:c r="AB592" s="38" t="n">
        <x:f>SUM(W592:AA592)</x:f>
        <x:v>233315.76238749997</x:v>
      </x:c>
      <x:c r="AC592" s="38" t="n">
        <x:v>22.62</x:v>
      </x:c>
      <x:c r="AD592" s="38" t="n">
        <x:v>174.33</x:v>
      </x:c>
      <x:c r="AE592" s="38" t="n">
        <x:v>152.56</x:v>
      </x:c>
      <x:c r="AF592" s="38" t="n">
        <x:v>4.8148</x:v>
      </x:c>
      <x:c r="AG592" s="38" t="n">
        <x:v>5.31</x:v>
      </x:c>
      <x:c r="AH592" s="38" t="n">
        <x:f>IF(E592="Fason",L592*S592,0)</x:f>
        <x:v>0</x:v>
      </x:c>
      <x:c r="AI592" s="38" t="n">
        <x:f>IF(E592="Kurum içi",AC592*AD592+AE592*AF592+AB592*12%,0)</x:f>
        <x:v>32675.781974499998</x:v>
      </x:c>
      <x:c r="AJ592" s="38" t="n">
        <x:f>V592*AG592</x:f>
        <x:v>1425.775819890149</x:v>
      </x:c>
      <x:c r="AK592" s="38" t="n">
        <x:f>AB592*2%</x:f>
        <x:v>4666.31524775</x:v>
      </x:c>
      <x:c r="AL592" s="38" t="n">
        <x:f>AB592+AH592+AI592+AJ592+AK592</x:f>
        <x:v>272083.6354296401</x:v>
      </x:c>
      <x:c r="AM592" s="38" t="n">
        <x:f>AL592/V592</x:f>
        <x:v>1013.3178610384225</x:v>
      </x:c>
      <x:c r="AN592" s="40" t="n">
        <x:f>(W592+X592)/AL592*100</x:f>
        <x:v>74.09468990726307</x:v>
      </x:c>
      <x:c r="AO592" s="28" t="str">
        <x:v>R01-R20; ilgili satırdaki bölgesel fiyat ve maliyet varsayımları</x:v>
      </x:c>
      <x:c r="AP592" s="28" t="str">
        <x:v>Girdi miktarları, alım fiyatı değişimi, fason bedeli ve parti sonucu simüle edilmiştir; işletme kaydı değildir.</x:v>
      </x:c>
    </x:row>
    <x:row r="593" ht="22" customHeight="1">
      <x:c r="A593" t="str">
        <x:v>SUC-0592</x:v>
      </x:c>
      <x:c r="B593" s="36" t="n">
        <x:v>46292</x:v>
      </x:c>
      <x:c r="C593" t="str">
        <x:v>Güneydoğu Anadolu</x:v>
      </x:c>
      <x:c r="D593" t="str">
        <x:v>ERZURUM_CI</x:v>
      </x:c>
      <x:c r="E593" t="str">
        <x:v>Kurum içi</x:v>
      </x:c>
      <x:c r="F593" s="42" t="str">
        <x:v>SENTETİK/SİMÜLE — gerçek parti kaydı değildir</x:v>
      </x:c>
      <x:c r="G593" s="38" t="n">
        <x:v>82.868</x:v>
      </x:c>
      <x:c r="H593" s="38" t="n">
        <x:v>14.268</x:v>
      </x:c>
      <x:c r="I593" s="38" t="n">
        <x:v>4.997</x:v>
      </x:c>
      <x:c r="J593" s="38" t="n">
        <x:v>1.622</x:v>
      </x:c>
      <x:c r="K593" s="38" t="n">
        <x:v>0.075</x:v>
      </x:c>
      <x:c r="L593" s="38" t="n">
        <x:f>SUM(G593:K593)</x:f>
        <x:v>103.83</x:v>
      </x:c>
      <x:c r="M593" s="38" t="n">
        <x:v>120.958</x:v>
      </x:c>
      <x:c r="N593" s="38" t="n">
        <x:v>576.32</x:v>
      </x:c>
      <x:c r="O593" s="38" t="n">
        <x:v>437.17</x:v>
      </x:c>
      <x:c r="P593" s="38" t="n">
        <x:v>550</x:v>
      </x:c>
      <x:c r="Q593" s="38" t="n">
        <x:v>19.88</x:v>
      </x:c>
      <x:c r="R593" s="38" t="n">
        <x:v>43.7475</x:v>
      </x:c>
      <x:c r="S593" s="38" t="n">
        <x:v>120.1</x:v>
      </x:c>
      <x:c r="T593" s="40" t="n">
        <x:v>25.97</x:v>
      </x:c>
      <x:c r="U593" s="40" t="n">
        <x:v>0.35</x:v>
      </x:c>
      <x:c r="V593" s="38" t="n">
        <x:f>L593*(1-T593/100)*(1-U593/100)</x:f>
        <x:v>76.5963202785</x:v>
      </x:c>
      <x:c r="W593" s="38" t="n">
        <x:f>G593*N593</x:f>
        <x:v>47758.48576</x:v>
      </x:c>
      <x:c r="X593" s="38" t="n">
        <x:f>H593*O593</x:f>
        <x:v>6237.541560000001</x:v>
      </x:c>
      <x:c r="Y593" s="38" t="n">
        <x:f>I593*P593</x:f>
        <x:v>2748.35</x:v>
      </x:c>
      <x:c r="Z593" s="38" t="n">
        <x:f>J593*Q593+K593*P593</x:f>
        <x:v>73.49536</x:v>
      </x:c>
      <x:c r="AA593" s="38" t="n">
        <x:f>M593*R593</x:f>
        <x:v>5291.610105000001</x:v>
      </x:c>
      <x:c r="AB593" s="38" t="n">
        <x:f>SUM(W593:AA593)</x:f>
        <x:v>62109.482785</x:v>
      </x:c>
      <x:c r="AC593" s="38" t="n">
        <x:v>5.61</x:v>
      </x:c>
      <x:c r="AD593" s="38" t="n">
        <x:v>174.33</x:v>
      </x:c>
      <x:c r="AE593" s="38" t="n">
        <x:v>45.26</x:v>
      </x:c>
      <x:c r="AF593" s="38" t="n">
        <x:v>4.8148</x:v>
      </x:c>
      <x:c r="AG593" s="38" t="n">
        <x:v>5.76</x:v>
      </x:c>
      <x:c r="AH593" s="38" t="n">
        <x:f>IF(E593="Fason",L593*S593,0)</x:f>
        <x:v>0</x:v>
      </x:c>
      <x:c r="AI593" s="38" t="n">
        <x:f>IF(E593="Kurum içi",AC593*AD593+AE593*AF593+AB593*12%,0)</x:f>
        <x:v>8649.0470822</x:v>
      </x:c>
      <x:c r="AJ593" s="38" t="n">
        <x:f>V593*AG593</x:f>
        <x:v>441.19480480416</x:v>
      </x:c>
      <x:c r="AK593" s="38" t="n">
        <x:f>AB593*2%</x:f>
        <x:v>1242.1896557</x:v>
      </x:c>
      <x:c r="AL593" s="38" t="n">
        <x:f>AB593+AH593+AI593+AJ593+AK593</x:f>
        <x:v>72441.91432770417</x:v>
      </x:c>
      <x:c r="AM593" s="38" t="n">
        <x:f>AL593/V593</x:f>
        <x:v>945.7623298914277</x:v>
      </x:c>
      <x:c r="AN593" s="40" t="n">
        <x:f>(W593+X593)/AL593*100</x:f>
        <x:v>74.5369967388481</x:v>
      </x:c>
      <x:c r="AO593" s="28" t="str">
        <x:v>R01-R20; ilgili satırdaki bölgesel fiyat ve maliyet varsayımları</x:v>
      </x:c>
      <x:c r="AP593" s="28" t="str">
        <x:v>Girdi miktarları, alım fiyatı değişimi, fason bedeli ve parti sonucu simüle edilmiştir; işletme kaydı değildir.</x:v>
      </x:c>
    </x:row>
    <x:row r="594" ht="22" customHeight="1">
      <x:c r="A594" t="str">
        <x:v>SUC-0593</x:v>
      </x:c>
      <x:c r="B594" s="36" t="n">
        <x:v>46316</x:v>
      </x:c>
      <x:c r="C594" t="str">
        <x:v>Marmara</x:v>
      </x:c>
      <x:c r="D594" t="str">
        <x:v>MEB_STANDART</x:v>
      </x:c>
      <x:c r="E594" t="str">
        <x:v>Kurum içi</x:v>
      </x:c>
      <x:c r="F594" s="42" t="str">
        <x:v>SENTETİK/SİMÜLE — gerçek parti kaydı değildir</x:v>
      </x:c>
      <x:c r="G594" s="38" t="n">
        <x:v>210.15</x:v>
      </x:c>
      <x:c r="H594" s="38" t="n">
        <x:v>67.066</x:v>
      </x:c>
      <x:c r="I594" s="38" t="n">
        <x:v>13.02</x:v>
      </x:c>
      <x:c r="J594" s="38" t="n">
        <x:v>7.964</x:v>
      </x:c>
      <x:c r="K594" s="38" t="n">
        <x:v>3.467</x:v>
      </x:c>
      <x:c r="L594" s="38" t="n">
        <x:f>SUM(G594:K594)</x:f>
        <x:v>301.667</x:v>
      </x:c>
      <x:c r="M594" s="38" t="n">
        <x:v>367.488</x:v>
      </x:c>
      <x:c r="N594" s="38" t="n">
        <x:v>612.08</x:v>
      </x:c>
      <x:c r="O594" s="38" t="n">
        <x:v>430.8</x:v>
      </x:c>
      <x:c r="P594" s="38" t="n">
        <x:v>669.9</x:v>
      </x:c>
      <x:c r="Q594" s="38" t="n">
        <x:v>19.88</x:v>
      </x:c>
      <x:c r="R594" s="38" t="n">
        <x:v>43.7475</x:v>
      </x:c>
      <x:c r="S594" s="38" t="n">
        <x:v>99.81</x:v>
      </x:c>
      <x:c r="T594" s="40" t="n">
        <x:v>16.58</x:v>
      </x:c>
      <x:c r="U594" s="40" t="n">
        <x:v>1.73</x:v>
      </x:c>
      <x:c r="V594" s="38" t="n">
        <x:f>L594*(1-T594/100)*(1-U594/100)</x:f>
        <x:v>247.29705582278</x:v>
      </x:c>
      <x:c r="W594" s="38" t="n">
        <x:f>G594*N594</x:f>
        <x:v>128628.61200000001</x:v>
      </x:c>
      <x:c r="X594" s="38" t="n">
        <x:f>H594*O594</x:f>
        <x:v>28892.0328</x:v>
      </x:c>
      <x:c r="Y594" s="38" t="n">
        <x:f>I594*P594</x:f>
        <x:v>8722.098</x:v>
      </x:c>
      <x:c r="Z594" s="38" t="n">
        <x:f>J594*Q594+K594*P594</x:f>
        <x:v>2480.86762</x:v>
      </x:c>
      <x:c r="AA594" s="38" t="n">
        <x:f>M594*R594</x:f>
        <x:v>16076.68128</x:v>
      </x:c>
      <x:c r="AB594" s="38" t="n">
        <x:f>SUM(W594:AA594)</x:f>
        <x:v>184800.2917</x:v>
      </x:c>
      <x:c r="AC594" s="38" t="n">
        <x:v>17.17</x:v>
      </x:c>
      <x:c r="AD594" s="38" t="n">
        <x:v>174.33</x:v>
      </x:c>
      <x:c r="AE594" s="38" t="n">
        <x:v>144.04</x:v>
      </x:c>
      <x:c r="AF594" s="38" t="n">
        <x:v>4.8148</x:v>
      </x:c>
      <x:c r="AG594" s="38" t="n">
        <x:v>5.28</x:v>
      </x:c>
      <x:c r="AH594" s="38" t="n">
        <x:f>IF(E594="Fason",L594*S594,0)</x:f>
        <x:v>0</x:v>
      </x:c>
      <x:c r="AI594" s="38" t="n">
        <x:f>IF(E594="Kurum içi",AC594*AD594+AE594*AF594+AB594*12%,0)</x:f>
        <x:v>25862.804895999998</x:v>
      </x:c>
      <x:c r="AJ594" s="38" t="n">
        <x:f>V594*AG594</x:f>
        <x:v>1305.7284547442785</x:v>
      </x:c>
      <x:c r="AK594" s="38" t="n">
        <x:f>AB594*2%</x:f>
        <x:v>3696.005834</x:v>
      </x:c>
      <x:c r="AL594" s="38" t="n">
        <x:f>AB594+AH594+AI594+AJ594+AK594</x:f>
        <x:v>215664.83088474427</x:v>
      </x:c>
      <x:c r="AM594" s="38" t="n">
        <x:f>AL594/V594</x:f>
        <x:v>872.088145842285</x:v>
      </x:c>
      <x:c r="AN594" s="40" t="n">
        <x:f>(W594+X594)/AL594*100</x:f>
        <x:v>73.03956057822997</x:v>
      </x:c>
      <x:c r="AO594" s="28" t="str">
        <x:v>R01-R20; ilgili satırdaki bölgesel fiyat ve maliyet varsayımları</x:v>
      </x:c>
      <x:c r="AP594" s="28" t="str">
        <x:v>Girdi miktarları, alım fiyatı değişimi, fason bedeli ve parti sonucu simüle edilmiştir; işletme kaydı değildir.</x:v>
      </x:c>
    </x:row>
    <x:row r="595" ht="22" customHeight="1">
      <x:c r="A595" t="str">
        <x:v>SUC-0594</x:v>
      </x:c>
      <x:c r="B595" s="36" t="n">
        <x:v>46296</x:v>
      </x:c>
      <x:c r="C595" t="str">
        <x:v>Marmara</x:v>
      </x:c>
      <x:c r="D595" t="str">
        <x:v>MEB_STANDART</x:v>
      </x:c>
      <x:c r="E595" t="str">
        <x:v>Kurum içi</x:v>
      </x:c>
      <x:c r="F595" s="42" t="str">
        <x:v>SENTETİK/SİMÜLE — gerçek parti kaydı değildir</x:v>
      </x:c>
      <x:c r="G595" s="38" t="n">
        <x:v>159.336</x:v>
      </x:c>
      <x:c r="H595" s="38" t="n">
        <x:v>50.309</x:v>
      </x:c>
      <x:c r="I595" s="38" t="n">
        <x:v>10.81</x:v>
      </x:c>
      <x:c r="J595" s="38" t="n">
        <x:v>6.107</x:v>
      </x:c>
      <x:c r="K595" s="38" t="n">
        <x:v>2.382</x:v>
      </x:c>
      <x:c r="L595" s="38" t="n">
        <x:f>SUM(G595:K595)</x:f>
        <x:v>228.94400000000002</x:v>
      </x:c>
      <x:c r="M595" s="38" t="n">
        <x:v>272.812</x:v>
      </x:c>
      <x:c r="N595" s="38" t="n">
        <x:v>595.32</x:v>
      </x:c>
      <x:c r="O595" s="38" t="n">
        <x:v>451.52</x:v>
      </x:c>
      <x:c r="P595" s="38" t="n">
        <x:v>400</x:v>
      </x:c>
      <x:c r="Q595" s="38" t="n">
        <x:v>19.88</x:v>
      </x:c>
      <x:c r="R595" s="38" t="n">
        <x:v>43.7475</x:v>
      </x:c>
      <x:c r="S595" s="38" t="n">
        <x:v>74.05</x:v>
      </x:c>
      <x:c r="T595" s="40" t="n">
        <x:v>24.14</x:v>
      </x:c>
      <x:c r="U595" s="40" t="n">
        <x:v>0.45</x:v>
      </x:c>
      <x:c r="V595" s="38" t="n">
        <x:f>L595*(1-T595/100)*(1-U595/100)</x:f>
        <x:v>172.8953722672</x:v>
      </x:c>
      <x:c r="W595" s="38" t="n">
        <x:f>G595*N595</x:f>
        <x:v>94855.90752000002</x:v>
      </x:c>
      <x:c r="X595" s="38" t="n">
        <x:f>H595*O595</x:f>
        <x:v>22715.519679999998</x:v>
      </x:c>
      <x:c r="Y595" s="38" t="n">
        <x:f>I595*P595</x:f>
        <x:v>4324</x:v>
      </x:c>
      <x:c r="Z595" s="38" t="n">
        <x:f>J595*Q595+K595*P595</x:f>
        <x:v>1074.2071600000002</x:v>
      </x:c>
      <x:c r="AA595" s="38" t="n">
        <x:f>M595*R595</x:f>
        <x:v>11934.842970000002</x:v>
      </x:c>
      <x:c r="AB595" s="38" t="n">
        <x:f>SUM(W595:AA595)</x:f>
        <x:v>134904.47733000002</x:v>
      </x:c>
      <x:c r="AC595" s="38" t="n">
        <x:v>8.72</x:v>
      </x:c>
      <x:c r="AD595" s="38" t="n">
        <x:v>174.33</x:v>
      </x:c>
      <x:c r="AE595" s="38" t="n">
        <x:v>75.26</x:v>
      </x:c>
      <x:c r="AF595" s="38" t="n">
        <x:v>4.8148</x:v>
      </x:c>
      <x:c r="AG595" s="38" t="n">
        <x:v>5.59</x:v>
      </x:c>
      <x:c r="AH595" s="38" t="n">
        <x:f>IF(E595="Fason",L595*S595,0)</x:f>
        <x:v>0</x:v>
      </x:c>
      <x:c r="AI595" s="38" t="n">
        <x:f>IF(E595="Kurum içi",AC595*AD595+AE595*AF595+AB595*12%,0)</x:f>
        <x:v>18071.056727600004</x:v>
      </x:c>
      <x:c r="AJ595" s="38" t="n">
        <x:f>V595*AG595</x:f>
        <x:v>966.485130973648</x:v>
      </x:c>
      <x:c r="AK595" s="38" t="n">
        <x:f>AB595*2%</x:f>
        <x:v>2698.0895466000006</x:v>
      </x:c>
      <x:c r="AL595" s="38" t="n">
        <x:f>AB595+AH595+AI595+AJ595+AK595</x:f>
        <x:v>156640.10873517368</x:v>
      </x:c>
      <x:c r="AM595" s="38" t="n">
        <x:f>AL595/V595</x:f>
        <x:v>905.9820785318375</x:v>
      </x:c>
      <x:c r="AN595" s="40" t="n">
        <x:f>(W595+X595)/AL595*100</x:f>
        <x:v>75.0583156187501</x:v>
      </x:c>
      <x:c r="AO595" s="28" t="str">
        <x:v>R01-R20; ilgili satırdaki bölgesel fiyat ve maliyet varsayımları</x:v>
      </x:c>
      <x:c r="AP595" s="28" t="str">
        <x:v>Girdi miktarları, alım fiyatı değişimi, fason bedeli ve parti sonucu simüle edilmiştir; işletme kaydı değildir.</x:v>
      </x:c>
    </x:row>
    <x:row r="596" ht="22" customHeight="1">
      <x:c r="A596" t="str">
        <x:v>SUC-0595</x:v>
      </x:c>
      <x:c r="B596" s="36" t="n">
        <x:v>46293</x:v>
      </x:c>
      <x:c r="C596" t="str">
        <x:v>Ege</x:v>
      </x:c>
      <x:c r="D596" t="str">
        <x:v>MEB_STANDART</x:v>
      </x:c>
      <x:c r="E596" t="str">
        <x:v>Fason</x:v>
      </x:c>
      <x:c r="F596" s="42" t="str">
        <x:v>SENTETİK/SİMÜLE — gerçek parti kaydı değildir</x:v>
      </x:c>
      <x:c r="G596" s="38" t="n">
        <x:v>152.965</x:v>
      </x:c>
      <x:c r="H596" s="38" t="n">
        <x:v>48.629</x:v>
      </x:c>
      <x:c r="I596" s="38" t="n">
        <x:v>10.483</x:v>
      </x:c>
      <x:c r="J596" s="38" t="n">
        <x:v>5.071</x:v>
      </x:c>
      <x:c r="K596" s="38" t="n">
        <x:v>2.082</x:v>
      </x:c>
      <x:c r="L596" s="38" t="n">
        <x:f>SUM(G596:K596)</x:f>
        <x:v>219.23</x:v>
      </x:c>
      <x:c r="M596" s="38" t="n">
        <x:v>257.816</x:v>
      </x:c>
      <x:c r="N596" s="38" t="n">
        <x:v>611.56</x:v>
      </x:c>
      <x:c r="O596" s="38" t="n">
        <x:v>459.73</x:v>
      </x:c>
      <x:c r="P596" s="38" t="n">
        <x:v>669.9</x:v>
      </x:c>
      <x:c r="Q596" s="38" t="n">
        <x:v>19.88</x:v>
      </x:c>
      <x:c r="R596" s="38" t="n">
        <x:v>43.7475</x:v>
      </x:c>
      <x:c r="S596" s="38" t="n">
        <x:v>118.49</x:v>
      </x:c>
      <x:c r="T596" s="40" t="n">
        <x:v>30.48</x:v>
      </x:c>
      <x:c r="U596" s="40" t="n">
        <x:v>1.23</x:v>
      </x:c>
      <x:c r="V596" s="38" t="n">
        <x:f>L596*(1-T596/100)*(1-U596/100)</x:f>
        <x:v>150.5340690392</x:v>
      </x:c>
      <x:c r="W596" s="38" t="n">
        <x:f>G596*N596</x:f>
        <x:v>93547.2754</x:v>
      </x:c>
      <x:c r="X596" s="38" t="n">
        <x:f>H596*O596</x:f>
        <x:v>22356.21017</x:v>
      </x:c>
      <x:c r="Y596" s="38" t="n">
        <x:f>I596*P596</x:f>
        <x:v>7022.5617</x:v>
      </x:c>
      <x:c r="Z596" s="38" t="n">
        <x:f>J596*Q596+K596*P596</x:f>
        <x:v>1495.5432799999999</x:v>
      </x:c>
      <x:c r="AA596" s="38" t="n">
        <x:f>M596*R596</x:f>
        <x:v>11278.80546</x:v>
      </x:c>
      <x:c r="AB596" s="38" t="n">
        <x:f>SUM(W596:AA596)</x:f>
        <x:v>135700.39601</x:v>
      </x:c>
      <x:c r="AC596" s="38" t="n">
        <x:v>11.66</x:v>
      </x:c>
      <x:c r="AD596" s="38" t="n">
        <x:v>174.33</x:v>
      </x:c>
      <x:c r="AE596" s="38" t="n">
        <x:v>104.72</x:v>
      </x:c>
      <x:c r="AF596" s="38" t="n">
        <x:v>4.8148</x:v>
      </x:c>
      <x:c r="AG596" s="38" t="n">
        <x:v>5.64</x:v>
      </x:c>
      <x:c r="AH596" s="38" t="n">
        <x:f>IF(E596="Fason",L596*S596,0)</x:f>
        <x:v>25976.5627</x:v>
      </x:c>
      <x:c r="AI596" s="38" t="n">
        <x:f>IF(E596="Kurum içi",AC596*AD596+AE596*AF596+AB596*12%,0)</x:f>
        <x:v>0</x:v>
      </x:c>
      <x:c r="AJ596" s="38" t="n">
        <x:f>V596*AG596</x:f>
        <x:v>849.012149381088</x:v>
      </x:c>
      <x:c r="AK596" s="38" t="n">
        <x:f>AB596*2%</x:f>
        <x:v>2714.0079202</x:v>
      </x:c>
      <x:c r="AL596" s="38" t="n">
        <x:f>AB596+AH596+AI596+AJ596+AK596</x:f>
        <x:v>165239.9787795811</x:v>
      </x:c>
      <x:c r="AM596" s="38" t="n">
        <x:f>AL596/V596</x:f>
        <x:v>1097.6915713116848</x:v>
      </x:c>
      <x:c r="AN596" s="40" t="n">
        <x:f>(W596+X596)/AL596*100</x:f>
        <x:v>70.14252024602796</x:v>
      </x:c>
      <x:c r="AO596" s="28" t="str">
        <x:v>R01-R20; ilgili satırdaki bölgesel fiyat ve maliyet varsayımları</x:v>
      </x:c>
      <x:c r="AP596" s="28" t="str">
        <x:v>Girdi miktarları, alım fiyatı değişimi, fason bedeli ve parti sonucu simüle edilmiştir; işletme kaydı değildir.</x:v>
      </x:c>
    </x:row>
    <x:row r="597" ht="22" customHeight="1">
      <x:c r="A597" t="str">
        <x:v>SUC-0596</x:v>
      </x:c>
      <x:c r="B597" s="36" t="n">
        <x:v>46286</x:v>
      </x:c>
      <x:c r="C597" t="str">
        <x:v>Ege</x:v>
      </x:c>
      <x:c r="D597" t="str">
        <x:v>ERZURUM_CI</x:v>
      </x:c>
      <x:c r="E597" t="str">
        <x:v>Kurum içi</x:v>
      </x:c>
      <x:c r="F597" s="42" t="str">
        <x:v>SENTETİK/SİMÜLE — gerçek parti kaydı değildir</x:v>
      </x:c>
      <x:c r="G597" s="38" t="n">
        <x:v>61.546</x:v>
      </x:c>
      <x:c r="H597" s="38" t="n">
        <x:v>11.549</x:v>
      </x:c>
      <x:c r="I597" s="38" t="n">
        <x:v>3.428</x:v>
      </x:c>
      <x:c r="J597" s="38" t="n">
        <x:v>1.182</x:v>
      </x:c>
      <x:c r="K597" s="38" t="n">
        <x:v>0.061</x:v>
      </x:c>
      <x:c r="L597" s="38" t="n">
        <x:f>SUM(G597:K597)</x:f>
        <x:v>77.766</x:v>
      </x:c>
      <x:c r="M597" s="38" t="n">
        <x:v>93.978</x:v>
      </x:c>
      <x:c r="N597" s="38" t="n">
        <x:v>592.23</x:v>
      </x:c>
      <x:c r="O597" s="38" t="n">
        <x:v>450.72</x:v>
      </x:c>
      <x:c r="P597" s="38" t="n">
        <x:v>669.9</x:v>
      </x:c>
      <x:c r="Q597" s="38" t="n">
        <x:v>19.88</x:v>
      </x:c>
      <x:c r="R597" s="38" t="n">
        <x:v>43.7475</x:v>
      </x:c>
      <x:c r="S597" s="38" t="n">
        <x:v>89.82</x:v>
      </x:c>
      <x:c r="T597" s="40" t="n">
        <x:v>26.89</x:v>
      </x:c>
      <x:c r="U597" s="40" t="n">
        <x:v>1.7</x:v>
      </x:c>
      <x:c r="V597" s="38" t="n">
        <x:f>L597*(1-T597/100)*(1-U597/100)</x:f>
        <x:v>55.888192315800005</x:v>
      </x:c>
      <x:c r="W597" s="38" t="n">
        <x:f>G597*N597</x:f>
        <x:v>36449.38758</x:v>
      </x:c>
      <x:c r="X597" s="38" t="n">
        <x:f>H597*O597</x:f>
        <x:v>5205.36528</x:v>
      </x:c>
      <x:c r="Y597" s="38" t="n">
        <x:f>I597*P597</x:f>
        <x:v>2296.4172</x:v>
      </x:c>
      <x:c r="Z597" s="38" t="n">
        <x:f>J597*Q597+K597*P597</x:f>
        <x:v>64.36206</x:v>
      </x:c>
      <x:c r="AA597" s="38" t="n">
        <x:f>M597*R597</x:f>
        <x:v>4111.302555</x:v>
      </x:c>
      <x:c r="AB597" s="38" t="n">
        <x:f>SUM(W597:AA597)</x:f>
        <x:v>48126.834675000006</x:v>
      </x:c>
      <x:c r="AC597" s="38" t="n">
        <x:v>3.71</x:v>
      </x:c>
      <x:c r="AD597" s="38" t="n">
        <x:v>174.33</x:v>
      </x:c>
      <x:c r="AE597" s="38" t="n">
        <x:v>23.27</x:v>
      </x:c>
      <x:c r="AF597" s="38" t="n">
        <x:v>4.8148</x:v>
      </x:c>
      <x:c r="AG597" s="38" t="n">
        <x:v>5.3</x:v>
      </x:c>
      <x:c r="AH597" s="38" t="n">
        <x:f>IF(E597="Fason",L597*S597,0)</x:f>
        <x:v>0</x:v>
      </x:c>
      <x:c r="AI597" s="38" t="n">
        <x:f>IF(E597="Kurum içi",AC597*AD597+AE597*AF597+AB597*12%,0)</x:f>
        <x:v>6534.024857</x:v>
      </x:c>
      <x:c r="AJ597" s="38" t="n">
        <x:f>V597*AG597</x:f>
        <x:v>296.20741927374</x:v>
      </x:c>
      <x:c r="AK597" s="38" t="n">
        <x:f>AB597*2%</x:f>
        <x:v>962.5366935000002</x:v>
      </x:c>
      <x:c r="AL597" s="38" t="n">
        <x:f>AB597+AH597+AI597+AJ597+AK597</x:f>
        <x:v>55919.60364477374</x:v>
      </x:c>
      <x:c r="AM597" s="38" t="n">
        <x:f>AL597/V597</x:f>
        <x:v>1000.5620387361296</x:v>
      </x:c>
      <x:c r="AN597" s="40" t="n">
        <x:f>(W597+X597)/AL597*100</x:f>
        <x:v>74.49042937537534</x:v>
      </x:c>
      <x:c r="AO597" s="28" t="str">
        <x:v>R01-R20; ilgili satırdaki bölgesel fiyat ve maliyet varsayımları</x:v>
      </x:c>
      <x:c r="AP597" s="28" t="str">
        <x:v>Girdi miktarları, alım fiyatı değişimi, fason bedeli ve parti sonucu simüle edilmiştir; işletme kaydı değildir.</x:v>
      </x:c>
    </x:row>
    <x:row r="598" ht="22" customHeight="1">
      <x:c r="A598" t="str">
        <x:v>SUC-0597</x:v>
      </x:c>
      <x:c r="B598" s="36" t="n">
        <x:v>46291</x:v>
      </x:c>
      <x:c r="C598" t="str">
        <x:v>Akdeniz</x:v>
      </x:c>
      <x:c r="D598" t="str">
        <x:v>ERZURUM_CI</x:v>
      </x:c>
      <x:c r="E598" t="str">
        <x:v>Fason</x:v>
      </x:c>
      <x:c r="F598" s="42" t="str">
        <x:v>SENTETİK/SİMÜLE — gerçek parti kaydı değildir</x:v>
      </x:c>
      <x:c r="G598" s="38" t="n">
        <x:v>66.613</x:v>
      </x:c>
      <x:c r="H598" s="38" t="n">
        <x:v>12.101</x:v>
      </x:c>
      <x:c r="I598" s="38" t="n">
        <x:v>3.916</x:v>
      </x:c>
      <x:c r="J598" s="38" t="n">
        <x:v>1.221</x:v>
      </x:c>
      <x:c r="K598" s="38" t="n">
        <x:v>0.008</x:v>
      </x:c>
      <x:c r="L598" s="38" t="n">
        <x:f>SUM(G598:K598)</x:f>
        <x:v>83.859</x:v>
      </x:c>
      <x:c r="M598" s="38" t="n">
        <x:v>106.886</x:v>
      </x:c>
      <x:c r="N598" s="38" t="n">
        <x:v>581.55</x:v>
      </x:c>
      <x:c r="O598" s="38" t="n">
        <x:v>451.21</x:v>
      </x:c>
      <x:c r="P598" s="38" t="n">
        <x:v>550</x:v>
      </x:c>
      <x:c r="Q598" s="38" t="n">
        <x:v>19.88</x:v>
      </x:c>
      <x:c r="R598" s="38" t="n">
        <x:v>43.7475</x:v>
      </x:c>
      <x:c r="S598" s="38" t="n">
        <x:v>121.12</x:v>
      </x:c>
      <x:c r="T598" s="40" t="n">
        <x:v>20.22</x:v>
      </x:c>
      <x:c r="U598" s="40" t="n">
        <x:v>1.35</x:v>
      </x:c>
      <x:c r="V598" s="38" t="n">
        <x:f>L598*(1-T598/100)*(1-U598/100)</x:f>
        <x:v>65.99952361230001</x:v>
      </x:c>
      <x:c r="W598" s="38" t="n">
        <x:f>G598*N598</x:f>
        <x:v>38738.79014999999</x:v>
      </x:c>
      <x:c r="X598" s="38" t="n">
        <x:f>H598*O598</x:f>
        <x:v>5460.09221</x:v>
      </x:c>
      <x:c r="Y598" s="38" t="n">
        <x:f>I598*P598</x:f>
        <x:v>2153.8</x:v>
      </x:c>
      <x:c r="Z598" s="38" t="n">
        <x:f>J598*Q598+K598*P598</x:f>
        <x:v>28.673479999999998</x:v>
      </x:c>
      <x:c r="AA598" s="38" t="n">
        <x:f>M598*R598</x:f>
        <x:v>4675.995285</x:v>
      </x:c>
      <x:c r="AB598" s="38" t="n">
        <x:f>SUM(W598:AA598)</x:f>
        <x:v>51057.351124999994</x:v>
      </x:c>
      <x:c r="AC598" s="38" t="n">
        <x:v>5.09</x:v>
      </x:c>
      <x:c r="AD598" s="38" t="n">
        <x:v>174.33</x:v>
      </x:c>
      <x:c r="AE598" s="38" t="n">
        <x:v>34.65</x:v>
      </x:c>
      <x:c r="AF598" s="38" t="n">
        <x:v>4.8148</x:v>
      </x:c>
      <x:c r="AG598" s="38" t="n">
        <x:v>5.32</x:v>
      </x:c>
      <x:c r="AH598" s="38" t="n">
        <x:f>IF(E598="Fason",L598*S598,0)</x:f>
        <x:v>10157.00208</x:v>
      </x:c>
      <x:c r="AI598" s="38" t="n">
        <x:f>IF(E598="Kurum içi",AC598*AD598+AE598*AF598+AB598*12%,0)</x:f>
        <x:v>0</x:v>
      </x:c>
      <x:c r="AJ598" s="38" t="n">
        <x:f>V598*AG598</x:f>
        <x:v>351.1174656174361</x:v>
      </x:c>
      <x:c r="AK598" s="38" t="n">
        <x:f>AB598*2%</x:f>
        <x:v>1021.1470224999999</x:v>
      </x:c>
      <x:c r="AL598" s="38" t="n">
        <x:f>AB598+AH598+AI598+AJ598+AK598</x:f>
        <x:v>62586.61769311743</x:v>
      </x:c>
      <x:c r="AM598" s="38" t="n">
        <x:f>AL598/V598</x:f>
        <x:v>948.2889310045484</x:v>
      </x:c>
      <x:c r="AN598" s="40" t="n">
        <x:f>(W598+X598)/AL598*100</x:f>
        <x:v>70.62034024065898</x:v>
      </x:c>
      <x:c r="AO598" s="28" t="str">
        <x:v>R01-R20; ilgili satırdaki bölgesel fiyat ve maliyet varsayımları</x:v>
      </x:c>
      <x:c r="AP598" s="28" t="str">
        <x:v>Girdi miktarları, alım fiyatı değişimi, fason bedeli ve parti sonucu simüle edilmiştir; işletme kaydı değildir.</x:v>
      </x:c>
    </x:row>
    <x:row r="599" ht="22" customHeight="1">
      <x:c r="A599" t="str">
        <x:v>SUC-0598</x:v>
      </x:c>
      <x:c r="B599" s="36" t="n">
        <x:v>46309</x:v>
      </x:c>
      <x:c r="C599" t="str">
        <x:v>Marmara</x:v>
      </x:c>
      <x:c r="D599" t="str">
        <x:v>MEB_STANDART</x:v>
      </x:c>
      <x:c r="E599" t="str">
        <x:v>Kurum içi</x:v>
      </x:c>
      <x:c r="F599" s="42" t="str">
        <x:v>SENTETİK/SİMÜLE — gerçek parti kaydı değildir</x:v>
      </x:c>
      <x:c r="G599" s="38" t="n">
        <x:v>340.643</x:v>
      </x:c>
      <x:c r="H599" s="38" t="n">
        <x:v>104.853</x:v>
      </x:c>
      <x:c r="I599" s="38" t="n">
        <x:v>22.964</x:v>
      </x:c>
      <x:c r="J599" s="38" t="n">
        <x:v>11.535</x:v>
      </x:c>
      <x:c r="K599" s="38" t="n">
        <x:v>4.89</x:v>
      </x:c>
      <x:c r="L599" s="38" t="n">
        <x:f>SUM(G599:K599)</x:f>
        <x:v>484.885</x:v>
      </x:c>
      <x:c r="M599" s="38" t="n">
        <x:v>613.012</x:v>
      </x:c>
      <x:c r="N599" s="38" t="n">
        <x:v>591.73</x:v>
      </x:c>
      <x:c r="O599" s="38" t="n">
        <x:v>478.25</x:v>
      </x:c>
      <x:c r="P599" s="38" t="n">
        <x:v>669.9</x:v>
      </x:c>
      <x:c r="Q599" s="38" t="n">
        <x:v>19.88</x:v>
      </x:c>
      <x:c r="R599" s="38" t="n">
        <x:v>43.7475</x:v>
      </x:c>
      <x:c r="S599" s="38" t="n">
        <x:v>68</x:v>
      </x:c>
      <x:c r="T599" s="40" t="n">
        <x:v>22.61</x:v>
      </x:c>
      <x:c r="U599" s="40" t="n">
        <x:v>1.38</x:v>
      </x:c>
      <x:c r="V599" s="38" t="n">
        <x:f>L599*(1-T599/100)*(1-U599/100)</x:f>
        <x:v>370.0740169793</x:v>
      </x:c>
      <x:c r="W599" s="38" t="n">
        <x:f>G599*N599</x:f>
        <x:v>201568.68239</x:v>
      </x:c>
      <x:c r="X599" s="38" t="n">
        <x:f>H599*O599</x:f>
        <x:v>50145.94725</x:v>
      </x:c>
      <x:c r="Y599" s="38" t="n">
        <x:f>I599*P599</x:f>
        <x:v>15383.583599999998</x:v>
      </x:c>
      <x:c r="Z599" s="38" t="n">
        <x:f>J599*Q599+K599*P599</x:f>
        <x:v>3505.1267999999995</x:v>
      </x:c>
      <x:c r="AA599" s="38" t="n">
        <x:f>M599*R599</x:f>
        <x:v>26817.742469999997</x:v>
      </x:c>
      <x:c r="AB599" s="38" t="n">
        <x:f>SUM(W599:AA599)</x:f>
        <x:v>297421.08251000004</x:v>
      </x:c>
      <x:c r="AC599" s="38" t="n">
        <x:v>33.78</x:v>
      </x:c>
      <x:c r="AD599" s="38" t="n">
        <x:v>174.33</x:v>
      </x:c>
      <x:c r="AE599" s="38" t="n">
        <x:v>220.92</x:v>
      </x:c>
      <x:c r="AF599" s="38" t="n">
        <x:v>4.8148</x:v>
      </x:c>
      <x:c r="AG599" s="38" t="n">
        <x:v>5.74</x:v>
      </x:c>
      <x:c r="AH599" s="38" t="n">
        <x:f>IF(E599="Fason",L599*S599,0)</x:f>
        <x:v>0</x:v>
      </x:c>
      <x:c r="AI599" s="38" t="n">
        <x:f>IF(E599="Kurum içi",AC599*AD599+AE599*AF599+AB599*12%,0)</x:f>
        <x:v>42643.0829172</x:v>
      </x:c>
      <x:c r="AJ599" s="38" t="n">
        <x:f>V599*AG599</x:f>
        <x:v>2124.224857461182</x:v>
      </x:c>
      <x:c r="AK599" s="38" t="n">
        <x:f>AB599*2%</x:f>
        <x:v>5948.421650200001</x:v>
      </x:c>
      <x:c r="AL599" s="38" t="n">
        <x:f>AB599+AH599+AI599+AJ599+AK599</x:f>
        <x:v>348136.8119348612</x:v>
      </x:c>
      <x:c r="AM599" s="38" t="n">
        <x:f>AL599/V599</x:f>
        <x:v>940.7221149339273</x:v>
      </x:c>
      <x:c r="AN599" s="40" t="n">
        <x:f>(W599+X599)/AL599*100</x:f>
        <x:v>72.30336494466938</x:v>
      </x:c>
      <x:c r="AO599" s="28" t="str">
        <x:v>R01-R20; ilgili satırdaki bölgesel fiyat ve maliyet varsayımları</x:v>
      </x:c>
      <x:c r="AP599" s="28" t="str">
        <x:v>Girdi miktarları, alım fiyatı değişimi, fason bedeli ve parti sonucu simüle edilmiştir; işletme kaydı değildir.</x:v>
      </x:c>
    </x:row>
    <x:row r="600" ht="22" customHeight="1">
      <x:c r="A600" t="str">
        <x:v>SUC-0599</x:v>
      </x:c>
      <x:c r="B600" s="36" t="n">
        <x:v>46289</x:v>
      </x:c>
      <x:c r="C600" t="str">
        <x:v>Akdeniz</x:v>
      </x:c>
      <x:c r="D600" t="str">
        <x:v>MEB_STANDART</x:v>
      </x:c>
      <x:c r="E600" t="str">
        <x:v>Kurum içi</x:v>
      </x:c>
      <x:c r="F600" s="42" t="str">
        <x:v>SENTETİK/SİMÜLE — gerçek parti kaydı değildir</x:v>
      </x:c>
      <x:c r="G600" s="38" t="n">
        <x:v>132.127</x:v>
      </x:c>
      <x:c r="H600" s="38" t="n">
        <x:v>43.03</x:v>
      </x:c>
      <x:c r="I600" s="38" t="n">
        <x:v>8.624</x:v>
      </x:c>
      <x:c r="J600" s="38" t="n">
        <x:v>4.633</x:v>
      </x:c>
      <x:c r="K600" s="38" t="n">
        <x:v>1.635</x:v>
      </x:c>
      <x:c r="L600" s="38" t="n">
        <x:f>SUM(G600:K600)</x:f>
        <x:v>190.049</x:v>
      </x:c>
      <x:c r="M600" s="38" t="n">
        <x:v>235.874</x:v>
      </x:c>
      <x:c r="N600" s="38" t="n">
        <x:v>602.74</x:v>
      </x:c>
      <x:c r="O600" s="38" t="n">
        <x:v>420.32</x:v>
      </x:c>
      <x:c r="P600" s="38" t="n">
        <x:v>550</x:v>
      </x:c>
      <x:c r="Q600" s="38" t="n">
        <x:v>19.88</x:v>
      </x:c>
      <x:c r="R600" s="38" t="n">
        <x:v>43.7475</x:v>
      </x:c>
      <x:c r="S600" s="38" t="n">
        <x:v>108.47</x:v>
      </x:c>
      <x:c r="T600" s="40" t="n">
        <x:v>18.48</x:v>
      </x:c>
      <x:c r="U600" s="40" t="n">
        <x:v>0.97</x:v>
      </x:c>
      <x:c r="V600" s="38" t="n">
        <x:f>L600*(1-T600/100)*(1-U600/100)</x:f>
        <x:v>153.42514373544</x:v>
      </x:c>
      <x:c r="W600" s="38" t="n">
        <x:f>G600*N600</x:f>
        <x:v>79638.22798000001</x:v>
      </x:c>
      <x:c r="X600" s="38" t="n">
        <x:f>H600*O600</x:f>
        <x:v>18086.3696</x:v>
      </x:c>
      <x:c r="Y600" s="38" t="n">
        <x:f>I600*P600</x:f>
        <x:v>4743.200000000001</x:v>
      </x:c>
      <x:c r="Z600" s="38" t="n">
        <x:f>J600*Q600+K600*P600</x:f>
        <x:v>991.3540399999999</x:v>
      </x:c>
      <x:c r="AA600" s="38" t="n">
        <x:f>M600*R600</x:f>
        <x:v>10318.897815</x:v>
      </x:c>
      <x:c r="AB600" s="38" t="n">
        <x:f>SUM(W600:AA600)</x:f>
        <x:v>113778.04943500002</x:v>
      </x:c>
      <x:c r="AC600" s="38" t="n">
        <x:v>8.3</x:v>
      </x:c>
      <x:c r="AD600" s="38" t="n">
        <x:v>174.33</x:v>
      </x:c>
      <x:c r="AE600" s="38" t="n">
        <x:v>88.33</x:v>
      </x:c>
      <x:c r="AF600" s="38" t="n">
        <x:v>4.8148</x:v>
      </x:c>
      <x:c r="AG600" s="38" t="n">
        <x:v>5.52</x:v>
      </x:c>
      <x:c r="AH600" s="38" t="n">
        <x:f>IF(E600="Fason",L600*S600,0)</x:f>
        <x:v>0</x:v>
      </x:c>
      <x:c r="AI600" s="38" t="n">
        <x:f>IF(E600="Kurum içi",AC600*AD600+AE600*AF600+AB600*12%,0)</x:f>
        <x:v>15525.596216200003</x:v>
      </x:c>
      <x:c r="AJ600" s="38" t="n">
        <x:f>V600*AG600</x:f>
        <x:v>846.9067934196288</x:v>
      </x:c>
      <x:c r="AK600" s="38" t="n">
        <x:f>AB600*2%</x:f>
        <x:v>2275.5609887000005</x:v>
      </x:c>
      <x:c r="AL600" s="38" t="n">
        <x:f>AB600+AH600+AI600+AJ600+AK600</x:f>
        <x:v>132426.11343331967</x:v>
      </x:c>
      <x:c r="AM600" s="38" t="n">
        <x:f>AL600/V600</x:f>
        <x:v>863.1317540863432</x:v>
      </x:c>
      <x:c r="AN600" s="40" t="n">
        <x:f>(W600+X600)/AL600*100</x:f>
        <x:v>73.79556421793436</x:v>
      </x:c>
      <x:c r="AO600" s="28" t="str">
        <x:v>R01-R20; ilgili satırdaki bölgesel fiyat ve maliyet varsayımları</x:v>
      </x:c>
      <x:c r="AP600" s="28" t="str">
        <x:v>Girdi miktarları, alım fiyatı değişimi, fason bedeli ve parti sonucu simüle edilmiştir; işletme kaydı değildir.</x:v>
      </x:c>
    </x:row>
    <x:row r="601" ht="22" customHeight="1">
      <x:c r="A601" t="str">
        <x:v>SUC-0600</x:v>
      </x:c>
      <x:c r="B601" s="36" t="n">
        <x:v>46274</x:v>
      </x:c>
      <x:c r="C601" t="str">
        <x:v>İç Anadolu</x:v>
      </x:c>
      <x:c r="D601" t="str">
        <x:v>ERZURUM_CI</x:v>
      </x:c>
      <x:c r="E601" t="str">
        <x:v>Fason</x:v>
      </x:c>
      <x:c r="F601" s="42" t="str">
        <x:v>SENTETİK/SİMÜLE — gerçek parti kaydı değildir</x:v>
      </x:c>
      <x:c r="G601" s="38" t="n">
        <x:v>386.454</x:v>
      </x:c>
      <x:c r="H601" s="38" t="n">
        <x:v>66.492</x:v>
      </x:c>
      <x:c r="I601" s="38" t="n">
        <x:v>23.616</x:v>
      </x:c>
      <x:c r="J601" s="38" t="n">
        <x:v>8.209</x:v>
      </x:c>
      <x:c r="K601" s="38" t="n">
        <x:v>1.019</x:v>
      </x:c>
      <x:c r="L601" s="38" t="n">
        <x:f>SUM(G601:K601)</x:f>
        <x:v>485.79</x:v>
      </x:c>
      <x:c r="M601" s="38" t="n">
        <x:v>614.335</x:v>
      </x:c>
      <x:c r="N601" s="38" t="n">
        <x:v>575.77</x:v>
      </x:c>
      <x:c r="O601" s="38" t="n">
        <x:v>441.76</x:v>
      </x:c>
      <x:c r="P601" s="38" t="n">
        <x:v>400</x:v>
      </x:c>
      <x:c r="Q601" s="38" t="n">
        <x:v>19.88</x:v>
      </x:c>
      <x:c r="R601" s="38" t="n">
        <x:v>43.7475</x:v>
      </x:c>
      <x:c r="S601" s="38" t="n">
        <x:v>65.02</x:v>
      </x:c>
      <x:c r="T601" s="40" t="n">
        <x:v>18.85</x:v>
      </x:c>
      <x:c r="U601" s="40" t="n">
        <x:v>0.98</x:v>
      </x:c>
      <x:c r="V601" s="38" t="n">
        <x:f>L601*(1-T601/100)*(1-U601/100)</x:f>
        <x:v>390.355242867</x:v>
      </x:c>
      <x:c r="W601" s="38" t="n">
        <x:f>G601*N601</x:f>
        <x:v>222508.61958</x:v>
      </x:c>
      <x:c r="X601" s="38" t="n">
        <x:f>H601*O601</x:f>
        <x:v>29373.50592</x:v>
      </x:c>
      <x:c r="Y601" s="38" t="n">
        <x:f>I601*P601</x:f>
        <x:v>9446.4</x:v>
      </x:c>
      <x:c r="Z601" s="38" t="n">
        <x:f>J601*Q601+K601*P601</x:f>
        <x:v>570.7949199999999</x:v>
      </x:c>
      <x:c r="AA601" s="38" t="n">
        <x:f>M601*R601</x:f>
        <x:v>26875.620412500004</x:v>
      </x:c>
      <x:c r="AB601" s="38" t="n">
        <x:f>SUM(W601:AA601)</x:f>
        <x:v>288774.9408325</x:v>
      </x:c>
      <x:c r="AC601" s="38" t="n">
        <x:v>17.96</x:v>
      </x:c>
      <x:c r="AD601" s="38" t="n">
        <x:v>174.33</x:v>
      </x:c>
      <x:c r="AE601" s="38" t="n">
        <x:v>164.42</x:v>
      </x:c>
      <x:c r="AF601" s="38" t="n">
        <x:v>4.8148</x:v>
      </x:c>
      <x:c r="AG601" s="38" t="n">
        <x:v>5.39</x:v>
      </x:c>
      <x:c r="AH601" s="38" t="n">
        <x:f>IF(E601="Fason",L601*S601,0)</x:f>
        <x:v>31586.0658</x:v>
      </x:c>
      <x:c r="AI601" s="38" t="n">
        <x:f>IF(E601="Kurum içi",AC601*AD601+AE601*AF601+AB601*12%,0)</x:f>
        <x:v>0</x:v>
      </x:c>
      <x:c r="AJ601" s="38" t="n">
        <x:f>V601*AG601</x:f>
        <x:v>2104.01475905313</x:v>
      </x:c>
      <x:c r="AK601" s="38" t="n">
        <x:f>AB601*2%</x:f>
        <x:v>5775.49881665</x:v>
      </x:c>
      <x:c r="AL601" s="38" t="n">
        <x:f>AB601+AH601+AI601+AJ601+AK601</x:f>
        <x:v>328240.5202082031</x:v>
      </x:c>
      <x:c r="AM601" s="38" t="n">
        <x:f>AL601/V601</x:f>
        <x:v>840.8764227102738</x:v>
      </x:c>
      <x:c r="AN601" s="40" t="n">
        <x:f>(W601+X601)/AL601*100</x:f>
        <x:v>76.73706017167869</x:v>
      </x:c>
      <x:c r="AO601" s="28" t="str">
        <x:v>R01-R20; ilgili satırdaki bölgesel fiyat ve maliyet varsayımları</x:v>
      </x:c>
      <x:c r="AP601" s="28" t="str">
        <x:v>Girdi miktarları, alım fiyatı değişimi, fason bedeli ve parti sonucu simüle edilmiştir; işletme kaydı değildir.</x:v>
      </x:c>
    </x:row>
    <x:row r="602" ht="22" customHeight="1">
      <x:c r="A602" t="str">
        <x:v>SUC-0601</x:v>
      </x:c>
      <x:c r="B602" s="36" t="n">
        <x:v>46280</x:v>
      </x:c>
      <x:c r="C602" t="str">
        <x:v>Ege</x:v>
      </x:c>
      <x:c r="D602" t="str">
        <x:v>ERZURUM_CI</x:v>
      </x:c>
      <x:c r="E602" t="str">
        <x:v>Kurum içi</x:v>
      </x:c>
      <x:c r="F602" s="42" t="str">
        <x:v>SENTETİK/SİMÜLE — gerçek parti kaydı değildir</x:v>
      </x:c>
      <x:c r="G602" s="38" t="n">
        <x:v>371.333</x:v>
      </x:c>
      <x:c r="H602" s="38" t="n">
        <x:v>66.714</x:v>
      </x:c>
      <x:c r="I602" s="38" t="n">
        <x:v>21.879</x:v>
      </x:c>
      <x:c r="J602" s="38" t="n">
        <x:v>7.848</x:v>
      </x:c>
      <x:c r="K602" s="38" t="n">
        <x:v>0.437</x:v>
      </x:c>
      <x:c r="L602" s="38" t="n">
        <x:f>SUM(G602:K602)</x:f>
        <x:v>468.21100000000007</x:v>
      </x:c>
      <x:c r="M602" s="38" t="n">
        <x:v>573.673</x:v>
      </x:c>
      <x:c r="N602" s="38" t="n">
        <x:v>588.33</x:v>
      </x:c>
      <x:c r="O602" s="38" t="n">
        <x:v>462.9</x:v>
      </x:c>
      <x:c r="P602" s="38" t="n">
        <x:v>400</x:v>
      </x:c>
      <x:c r="Q602" s="38" t="n">
        <x:v>19.88</x:v>
      </x:c>
      <x:c r="R602" s="38" t="n">
        <x:v>43.7475</x:v>
      </x:c>
      <x:c r="S602" s="38" t="n">
        <x:v>76.79</x:v>
      </x:c>
      <x:c r="T602" s="40" t="n">
        <x:v>17.44</x:v>
      </x:c>
      <x:c r="U602" s="40" t="n">
        <x:v>0.82</x:v>
      </x:c>
      <x:c r="V602" s="38" t="n">
        <x:f>L602*(1-T602/100)*(1-U602/100)</x:f>
        <x:v>383.3852505868801</x:v>
      </x:c>
      <x:c r="W602" s="38" t="n">
        <x:f>G602*N602</x:f>
        <x:v>218466.34389000002</x:v>
      </x:c>
      <x:c r="X602" s="38" t="n">
        <x:f>H602*O602</x:f>
        <x:v>30881.9106</x:v>
      </x:c>
      <x:c r="Y602" s="38" t="n">
        <x:f>I602*P602</x:f>
        <x:v>8751.6</x:v>
      </x:c>
      <x:c r="Z602" s="38" t="n">
        <x:f>J602*Q602+K602*P602</x:f>
        <x:v>330.81824</x:v>
      </x:c>
      <x:c r="AA602" s="38" t="n">
        <x:f>M602*R602</x:f>
        <x:v>25096.7595675</x:v>
      </x:c>
      <x:c r="AB602" s="38" t="n">
        <x:f>SUM(W602:AA602)</x:f>
        <x:v>283527.4322975</x:v>
      </x:c>
      <x:c r="AC602" s="38" t="n">
        <x:v>30.01</x:v>
      </x:c>
      <x:c r="AD602" s="38" t="n">
        <x:v>174.33</x:v>
      </x:c>
      <x:c r="AE602" s="38" t="n">
        <x:v>221.65</x:v>
      </x:c>
      <x:c r="AF602" s="38" t="n">
        <x:v>4.8148</x:v>
      </x:c>
      <x:c r="AG602" s="38" t="n">
        <x:v>5.88</x:v>
      </x:c>
      <x:c r="AH602" s="38" t="n">
        <x:f>IF(E602="Fason",L602*S602,0)</x:f>
        <x:v>0</x:v>
      </x:c>
      <x:c r="AI602" s="38" t="n">
        <x:f>IF(E602="Kurum içi",AC602*AD602+AE602*AF602+AB602*12%,0)</x:f>
        <x:v>40322.135595700005</x:v>
      </x:c>
      <x:c r="AJ602" s="38" t="n">
        <x:f>V602*AG602</x:f>
        <x:v>2254.305273450855</x:v>
      </x:c>
      <x:c r="AK602" s="38" t="n">
        <x:f>AB602*2%</x:f>
        <x:v>5670.548645950001</x:v>
      </x:c>
      <x:c r="AL602" s="38" t="n">
        <x:f>AB602+AH602+AI602+AJ602+AK602</x:f>
        <x:v>331774.42181260086</x:v>
      </x:c>
      <x:c r="AM602" s="38" t="n">
        <x:f>AL602/V602</x:f>
        <x:v>865.38128763359</x:v>
      </x:c>
      <x:c r="AN602" s="40" t="n">
        <x:f>(W602+X602)/AL602*100</x:f>
        <x:v>75.1559608265527</x:v>
      </x:c>
      <x:c r="AO602" s="28" t="str">
        <x:v>R01-R20; ilgili satırdaki bölgesel fiyat ve maliyet varsayımları</x:v>
      </x:c>
      <x:c r="AP602" s="28" t="str">
        <x:v>Girdi miktarları, alım fiyatı değişimi, fason bedeli ve parti sonucu simüle edilmiştir; işletme kaydı değildir.</x:v>
      </x:c>
    </x:row>
    <x:row r="603" ht="22" customHeight="1">
      <x:c r="A603" t="str">
        <x:v>SUC-0602</x:v>
      </x:c>
      <x:c r="B603" s="36" t="n">
        <x:v>46273</x:v>
      </x:c>
      <x:c r="C603" t="str">
        <x:v>Ege</x:v>
      </x:c>
      <x:c r="D603" t="str">
        <x:v>ERZURUM_CI</x:v>
      </x:c>
      <x:c r="E603" t="str">
        <x:v>Kurum içi</x:v>
      </x:c>
      <x:c r="F603" s="42" t="str">
        <x:v>SENTETİK/SİMÜLE — gerçek parti kaydı değildir</x:v>
      </x:c>
      <x:c r="G603" s="38" t="n">
        <x:v>53.593</x:v>
      </x:c>
      <x:c r="H603" s="38" t="n">
        <x:v>9.776</x:v>
      </x:c>
      <x:c r="I603" s="38" t="n">
        <x:v>3.258</x:v>
      </x:c>
      <x:c r="J603" s="38" t="n">
        <x:v>0.954</x:v>
      </x:c>
      <x:c r="K603" s="38" t="n">
        <x:v>0.074</x:v>
      </x:c>
      <x:c r="L603" s="38" t="n">
        <x:f>SUM(G603:K603)</x:f>
        <x:v>67.65499999999999</x:v>
      </x:c>
      <x:c r="M603" s="38" t="n">
        <x:v>87.081</x:v>
      </x:c>
      <x:c r="N603" s="38" t="n">
        <x:v>595.9</x:v>
      </x:c>
      <x:c r="O603" s="38" t="n">
        <x:v>460.43</x:v>
      </x:c>
      <x:c r="P603" s="38" t="n">
        <x:v>400</x:v>
      </x:c>
      <x:c r="Q603" s="38" t="n">
        <x:v>19.88</x:v>
      </x:c>
      <x:c r="R603" s="38" t="n">
        <x:v>43.7475</x:v>
      </x:c>
      <x:c r="S603" s="38" t="n">
        <x:v>105.18</x:v>
      </x:c>
      <x:c r="T603" s="40" t="n">
        <x:v>17.78</x:v>
      </x:c>
      <x:c r="U603" s="40" t="n">
        <x:v>0.65</x:v>
      </x:c>
      <x:c r="V603" s="38" t="n">
        <x:f>L603*(1-T603/100)*(1-U603/100)</x:f>
        <x:v>55.264372383499996</x:v>
      </x:c>
      <x:c r="W603" s="38" t="n">
        <x:f>G603*N603</x:f>
        <x:v>31936.0687</x:v>
      </x:c>
      <x:c r="X603" s="38" t="n">
        <x:f>H603*O603</x:f>
        <x:v>4501.16368</x:v>
      </x:c>
      <x:c r="Y603" s="38" t="n">
        <x:f>I603*P603</x:f>
        <x:v>1303.2</x:v>
      </x:c>
      <x:c r="Z603" s="38" t="n">
        <x:f>J603*Q603+K603*P603</x:f>
        <x:v>48.56551999999999</x:v>
      </x:c>
      <x:c r="AA603" s="38" t="n">
        <x:f>M603*R603</x:f>
        <x:v>3809.5760475</x:v>
      </x:c>
      <x:c r="AB603" s="38" t="n">
        <x:f>SUM(W603:AA603)</x:f>
        <x:v>41598.573947499994</x:v>
      </x:c>
      <x:c r="AC603" s="38" t="n">
        <x:v>3.93</x:v>
      </x:c>
      <x:c r="AD603" s="38" t="n">
        <x:v>174.33</x:v>
      </x:c>
      <x:c r="AE603" s="38" t="n">
        <x:v>29.39</x:v>
      </x:c>
      <x:c r="AF603" s="38" t="n">
        <x:v>4.8148</x:v>
      </x:c>
      <x:c r="AG603" s="38" t="n">
        <x:v>5.21</x:v>
      </x:c>
      <x:c r="AH603" s="38" t="n">
        <x:f>IF(E603="Fason",L603*S603,0)</x:f>
        <x:v>0</x:v>
      </x:c>
      <x:c r="AI603" s="38" t="n">
        <x:f>IF(E603="Kurum içi",AC603*AD603+AE603*AF603+AB603*12%,0)</x:f>
        <x:v>5818.4527456999995</x:v>
      </x:c>
      <x:c r="AJ603" s="38" t="n">
        <x:f>V603*AG603</x:f>
        <x:v>287.927380118035</x:v>
      </x:c>
      <x:c r="AK603" s="38" t="n">
        <x:f>AB603*2%</x:f>
        <x:v>831.9714789499999</x:v>
      </x:c>
      <x:c r="AL603" s="38" t="n">
        <x:f>AB603+AH603+AI603+AJ603+AK603</x:f>
        <x:v>48536.925552268025</x:v>
      </x:c>
      <x:c r="AM603" s="38" t="n">
        <x:f>AL603/V603</x:f>
        <x:v>878.2679230563278</x:v>
      </x:c>
      <x:c r="AN603" s="40" t="n">
        <x:f>(W603+X603)/AL603*100</x:f>
        <x:v>75.07115863933696</x:v>
      </x:c>
      <x:c r="AO603" s="28" t="str">
        <x:v>R01-R20; ilgili satırdaki bölgesel fiyat ve maliyet varsayımları</x:v>
      </x:c>
      <x:c r="AP603" s="28" t="str">
        <x:v>Girdi miktarları, alım fiyatı değişimi, fason bedeli ve parti sonucu simüle edilmiştir; işletme kaydı değildir.</x:v>
      </x:c>
    </x:row>
    <x:row r="604" ht="22" customHeight="1">
      <x:c r="A604" t="str">
        <x:v>SUC-0603</x:v>
      </x:c>
      <x:c r="B604" s="36" t="n">
        <x:v>46273</x:v>
      </x:c>
      <x:c r="C604" t="str">
        <x:v>İç Anadolu</x:v>
      </x:c>
      <x:c r="D604" t="str">
        <x:v>MEB_STANDART</x:v>
      </x:c>
      <x:c r="E604" t="str">
        <x:v>Kurum içi</x:v>
      </x:c>
      <x:c r="F604" s="42" t="str">
        <x:v>SENTETİK/SİMÜLE — gerçek parti kaydı değildir</x:v>
      </x:c>
      <x:c r="G604" s="38" t="n">
        <x:v>328.811</x:v>
      </x:c>
      <x:c r="H604" s="38" t="n">
        <x:v>104.184</x:v>
      </x:c>
      <x:c r="I604" s="38" t="n">
        <x:v>20.354</x:v>
      </x:c>
      <x:c r="J604" s="38" t="n">
        <x:v>12.18</x:v>
      </x:c>
      <x:c r="K604" s="38" t="n">
        <x:v>5.259</x:v>
      </x:c>
      <x:c r="L604" s="38" t="n">
        <x:f>SUM(G604:K604)</x:f>
        <x:v>470.788</x:v>
      </x:c>
      <x:c r="M604" s="38" t="n">
        <x:v>596.374</x:v>
      </x:c>
      <x:c r="N604" s="38" t="n">
        <x:v>574.27</x:v>
      </x:c>
      <x:c r="O604" s="38" t="n">
        <x:v>431.89</x:v>
      </x:c>
      <x:c r="P604" s="38" t="n">
        <x:v>669.9</x:v>
      </x:c>
      <x:c r="Q604" s="38" t="n">
        <x:v>19.88</x:v>
      </x:c>
      <x:c r="R604" s="38" t="n">
        <x:v>43.7475</x:v>
      </x:c>
      <x:c r="S604" s="38" t="n">
        <x:v>66.85</x:v>
      </x:c>
      <x:c r="T604" s="40" t="n">
        <x:v>16.61</x:v>
      </x:c>
      <x:c r="U604" s="40" t="n">
        <x:v>1.19</x:v>
      </x:c>
      <x:c r="V604" s="38" t="n">
        <x:f>L604*(1-T604/100)*(1-U604/100)</x:f>
        <x:v>387.91829085292</x:v>
      </x:c>
      <x:c r="W604" s="38" t="n">
        <x:f>G604*N604</x:f>
        <x:v>188826.29296999998</x:v>
      </x:c>
      <x:c r="X604" s="38" t="n">
        <x:f>H604*O604</x:f>
        <x:v>44996.02776</x:v>
      </x:c>
      <x:c r="Y604" s="38" t="n">
        <x:f>I604*P604</x:f>
        <x:v>13635.1446</x:v>
      </x:c>
      <x:c r="Z604" s="38" t="n">
        <x:f>J604*Q604+K604*P604</x:f>
        <x:v>3765.1425</x:v>
      </x:c>
      <x:c r="AA604" s="38" t="n">
        <x:f>M604*R604</x:f>
        <x:v>26089.871565</x:v>
      </x:c>
      <x:c r="AB604" s="38" t="n">
        <x:f>SUM(W604:AA604)</x:f>
        <x:v>277312.479395</x:v>
      </x:c>
      <x:c r="AC604" s="38" t="n">
        <x:v>16.5</x:v>
      </x:c>
      <x:c r="AD604" s="38" t="n">
        <x:v>174.33</x:v>
      </x:c>
      <x:c r="AE604" s="38" t="n">
        <x:v>223.39</x:v>
      </x:c>
      <x:c r="AF604" s="38" t="n">
        <x:v>4.8148</x:v>
      </x:c>
      <x:c r="AG604" s="38" t="n">
        <x:v>5.73</x:v>
      </x:c>
      <x:c r="AH604" s="38" t="n">
        <x:f>IF(E604="Fason",L604*S604,0)</x:f>
        <x:v>0</x:v>
      </x:c>
      <x:c r="AI604" s="38" t="n">
        <x:f>IF(E604="Kurum içi",AC604*AD604+AE604*AF604+AB604*12%,0)</x:f>
        <x:v>37229.5206994</x:v>
      </x:c>
      <x:c r="AJ604" s="38" t="n">
        <x:f>V604*AG604</x:f>
        <x:v>2222.771806587232</x:v>
      </x:c>
      <x:c r="AK604" s="38" t="n">
        <x:f>AB604*2%</x:f>
        <x:v>5546.2495879</x:v>
      </x:c>
      <x:c r="AL604" s="38" t="n">
        <x:f>AB604+AH604+AI604+AJ604+AK604</x:f>
        <x:v>322311.0214888872</x:v>
      </x:c>
      <x:c r="AM604" s="38" t="n">
        <x:f>AL604/V604</x:f>
        <x:v>830.8734831250638</x:v>
      </x:c>
      <x:c r="AN604" s="40" t="n">
        <x:f>(W604+X604)/AL604*100</x:f>
        <x:v>72.54555542341633</x:v>
      </x:c>
      <x:c r="AO604" s="28" t="str">
        <x:v>R01-R20; ilgili satırdaki bölgesel fiyat ve maliyet varsayımları</x:v>
      </x:c>
      <x:c r="AP604" s="28" t="str">
        <x:v>Girdi miktarları, alım fiyatı değişimi, fason bedeli ve parti sonucu simüle edilmiştir; işletme kaydı değildir.</x:v>
      </x:c>
    </x:row>
    <x:row r="605" ht="22" customHeight="1">
      <x:c r="A605" t="str">
        <x:v>SUC-0604</x:v>
      </x:c>
      <x:c r="B605" s="36" t="n">
        <x:v>46282</x:v>
      </x:c>
      <x:c r="C605" t="str">
        <x:v>Güneydoğu Anadolu</x:v>
      </x:c>
      <x:c r="D605" t="str">
        <x:v>ERZURUM_CI</x:v>
      </x:c>
      <x:c r="E605" t="str">
        <x:v>Fason</x:v>
      </x:c>
      <x:c r="F605" s="42" t="str">
        <x:v>SENTETİK/SİMÜLE — gerçek parti kaydı değildir</x:v>
      </x:c>
      <x:c r="G605" s="38" t="n">
        <x:v>135.547</x:v>
      </x:c>
      <x:c r="H605" s="38" t="n">
        <x:v>23.315</x:v>
      </x:c>
      <x:c r="I605" s="38" t="n">
        <x:v>8.304</x:v>
      </x:c>
      <x:c r="J605" s="38" t="n">
        <x:v>2.377</x:v>
      </x:c>
      <x:c r="K605" s="38" t="n">
        <x:v>0.139</x:v>
      </x:c>
      <x:c r="L605" s="38" t="n">
        <x:f>SUM(G605:K605)</x:f>
        <x:v>169.68200000000002</x:v>
      </x:c>
      <x:c r="M605" s="38" t="n">
        <x:v>231.522</x:v>
      </x:c>
      <x:c r="N605" s="38" t="n">
        <x:v>598.2</x:v>
      </x:c>
      <x:c r="O605" s="38" t="n">
        <x:v>465.37</x:v>
      </x:c>
      <x:c r="P605" s="38" t="n">
        <x:v>669.9</x:v>
      </x:c>
      <x:c r="Q605" s="38" t="n">
        <x:v>19.88</x:v>
      </x:c>
      <x:c r="R605" s="38" t="n">
        <x:v>43.7475</x:v>
      </x:c>
      <x:c r="S605" s="38" t="n">
        <x:v>84.69</x:v>
      </x:c>
      <x:c r="T605" s="40" t="n">
        <x:v>26.36</x:v>
      </x:c>
      <x:c r="U605" s="40" t="n">
        <x:v>1.11</x:v>
      </x:c>
      <x:c r="V605" s="38" t="n">
        <x:f>L605*(1-T605/100)*(1-U605/100)</x:f>
        <x:v>123.56683734472</x:v>
      </x:c>
      <x:c r="W605" s="38" t="n">
        <x:f>G605*N605</x:f>
        <x:v>81084.2154</x:v>
      </x:c>
      <x:c r="X605" s="38" t="n">
        <x:f>H605*O605</x:f>
        <x:v>10850.101550000001</x:v>
      </x:c>
      <x:c r="Y605" s="38" t="n">
        <x:f>I605*P605</x:f>
        <x:v>5562.8496</x:v>
      </x:c>
      <x:c r="Z605" s="38" t="n">
        <x:f>J605*Q605+K605*P605</x:f>
        <x:v>140.37086</x:v>
      </x:c>
      <x:c r="AA605" s="38" t="n">
        <x:f>M605*R605</x:f>
        <x:v>10128.508695</x:v>
      </x:c>
      <x:c r="AB605" s="38" t="n">
        <x:f>SUM(W605:AA605)</x:f>
        <x:v>107766.046105</x:v>
      </x:c>
      <x:c r="AC605" s="38" t="n">
        <x:v>7.58</x:v>
      </x:c>
      <x:c r="AD605" s="38" t="n">
        <x:v>174.33</x:v>
      </x:c>
      <x:c r="AE605" s="38" t="n">
        <x:v>60.53</x:v>
      </x:c>
      <x:c r="AF605" s="38" t="n">
        <x:v>4.8148</x:v>
      </x:c>
      <x:c r="AG605" s="38" t="n">
        <x:v>5.3</x:v>
      </x:c>
      <x:c r="AH605" s="38" t="n">
        <x:f>IF(E605="Fason",L605*S605,0)</x:f>
        <x:v>14370.36858</x:v>
      </x:c>
      <x:c r="AI605" s="38" t="n">
        <x:f>IF(E605="Kurum içi",AC605*AD605+AE605*AF605+AB605*12%,0)</x:f>
        <x:v>0</x:v>
      </x:c>
      <x:c r="AJ605" s="38" t="n">
        <x:f>V605*AG605</x:f>
        <x:v>654.904237927016</x:v>
      </x:c>
      <x:c r="AK605" s="38" t="n">
        <x:f>AB605*2%</x:f>
        <x:v>2155.3209221</x:v>
      </x:c>
      <x:c r="AL605" s="38" t="n">
        <x:f>AB605+AH605+AI605+AJ605+AK605</x:f>
        <x:v>124946.639845027</x:v>
      </x:c>
      <x:c r="AM605" s="38" t="n">
        <x:f>AL605/V605</x:f>
        <x:v>1011.1664466774181</x:v>
      </x:c>
      <x:c r="AN605" s="40" t="n">
        <x:f>(W605+X605)/AL605*100</x:f>
        <x:v>73.57886299625774</x:v>
      </x:c>
      <x:c r="AO605" s="28" t="str">
        <x:v>R01-R20; ilgili satırdaki bölgesel fiyat ve maliyet varsayımları</x:v>
      </x:c>
      <x:c r="AP605" s="28" t="str">
        <x:v>Girdi miktarları, alım fiyatı değişimi, fason bedeli ve parti sonucu simüle edilmiştir; işletme kaydı değildir.</x:v>
      </x:c>
    </x:row>
    <x:row r="606" ht="22" customHeight="1">
      <x:c r="A606" t="str">
        <x:v>SUC-0605</x:v>
      </x:c>
      <x:c r="B606" s="36" t="n">
        <x:v>46302</x:v>
      </x:c>
      <x:c r="C606" t="str">
        <x:v>Güneydoğu Anadolu</x:v>
      </x:c>
      <x:c r="D606" t="str">
        <x:v>MEB_STANDART</x:v>
      </x:c>
      <x:c r="E606" t="str">
        <x:v>Kurum içi</x:v>
      </x:c>
      <x:c r="F606" s="42" t="str">
        <x:v>SENTETİK/SİMÜLE — gerçek parti kaydı değildir</x:v>
      </x:c>
      <x:c r="G606" s="38" t="n">
        <x:v>120.815</x:v>
      </x:c>
      <x:c r="H606" s="38" t="n">
        <x:v>36.927</x:v>
      </x:c>
      <x:c r="I606" s="38" t="n">
        <x:v>7.821</x:v>
      </x:c>
      <x:c r="J606" s="38" t="n">
        <x:v>4.265</x:v>
      </x:c>
      <x:c r="K606" s="38" t="n">
        <x:v>1.534</x:v>
      </x:c>
      <x:c r="L606" s="38" t="n">
        <x:f>SUM(G606:K606)</x:f>
        <x:v>171.36199999999997</x:v>
      </x:c>
      <x:c r="M606" s="38" t="n">
        <x:v>206.556</x:v>
      </x:c>
      <x:c r="N606" s="38" t="n">
        <x:v>586.82</x:v>
      </x:c>
      <x:c r="O606" s="38" t="n">
        <x:v>483.42</x:v>
      </x:c>
      <x:c r="P606" s="38" t="n">
        <x:v>669.9</x:v>
      </x:c>
      <x:c r="Q606" s="38" t="n">
        <x:v>19.88</x:v>
      </x:c>
      <x:c r="R606" s="38" t="n">
        <x:v>43.7475</x:v>
      </x:c>
      <x:c r="S606" s="38" t="n">
        <x:v>73.8</x:v>
      </x:c>
      <x:c r="T606" s="40" t="n">
        <x:v>15.67</x:v>
      </x:c>
      <x:c r="U606" s="40" t="n">
        <x:v>1.49</x:v>
      </x:c>
      <x:c r="V606" s="38" t="n">
        <x:f>L606*(1-T606/100)*(1-U606/100)</x:f>
        <x:v>142.35638193845995</x:v>
      </x:c>
      <x:c r="W606" s="38" t="n">
        <x:f>G606*N606</x:f>
        <x:v>70896.65830000001</x:v>
      </x:c>
      <x:c r="X606" s="38" t="n">
        <x:f>H606*O606</x:f>
        <x:v>17851.25034</x:v>
      </x:c>
      <x:c r="Y606" s="38" t="n">
        <x:f>I606*P606</x:f>
        <x:v>5239.287899999999</x:v>
      </x:c>
      <x:c r="Z606" s="38" t="n">
        <x:f>J606*Q606+K606*P606</x:f>
        <x:v>1112.4148</x:v>
      </x:c>
      <x:c r="AA606" s="38" t="n">
        <x:f>M606*R606</x:f>
        <x:v>9036.308610000002</x:v>
      </x:c>
      <x:c r="AB606" s="38" t="n">
        <x:f>SUM(W606:AA606)</x:f>
        <x:v>104135.91995000001</x:v>
      </x:c>
      <x:c r="AC606" s="38" t="n">
        <x:v>9.26</x:v>
      </x:c>
      <x:c r="AD606" s="38" t="n">
        <x:v>174.33</x:v>
      </x:c>
      <x:c r="AE606" s="38" t="n">
        <x:v>43.32</x:v>
      </x:c>
      <x:c r="AF606" s="38" t="n">
        <x:v>4.8148</x:v>
      </x:c>
      <x:c r="AG606" s="38" t="n">
        <x:v>5.37</x:v>
      </x:c>
      <x:c r="AH606" s="38" t="n">
        <x:f>IF(E606="Fason",L606*S606,0)</x:f>
        <x:v>0</x:v>
      </x:c>
      <x:c r="AI606" s="38" t="n">
        <x:f>IF(E606="Kurum içi",AC606*AD606+AE606*AF606+AB606*12%,0)</x:f>
        <x:v>14319.18333</x:v>
      </x:c>
      <x:c r="AJ606" s="38" t="n">
        <x:f>V606*AG606</x:f>
        <x:v>764.4537710095299</x:v>
      </x:c>
      <x:c r="AK606" s="38" t="n">
        <x:f>AB606*2%</x:f>
        <x:v>2082.7183990000003</x:v>
      </x:c>
      <x:c r="AL606" s="38" t="n">
        <x:f>AB606+AH606+AI606+AJ606+AK606</x:f>
        <x:v>121302.27545000955</x:v>
      </x:c>
      <x:c r="AM606" s="38" t="n">
        <x:f>AL606/V606</x:f>
        <x:v>852.102826710277</x:v>
      </x:c>
      <x:c r="AN606" s="40" t="n">
        <x:f>(W606+X606)/AL606*100</x:f>
        <x:v>73.16260829466</x:v>
      </x:c>
      <x:c r="AO606" s="28" t="str">
        <x:v>R01-R20; ilgili satırdaki bölgesel fiyat ve maliyet varsayımları</x:v>
      </x:c>
      <x:c r="AP606" s="28" t="str">
        <x:v>Girdi miktarları, alım fiyatı değişimi, fason bedeli ve parti sonucu simüle edilmiştir; işletme kaydı değildir.</x:v>
      </x:c>
    </x:row>
    <x:row r="607" ht="22" customHeight="1">
      <x:c r="A607" t="str">
        <x:v>SUC-0606</x:v>
      </x:c>
      <x:c r="B607" s="36" t="n">
        <x:v>46277</x:v>
      </x:c>
      <x:c r="C607" t="str">
        <x:v>Ege</x:v>
      </x:c>
      <x:c r="D607" t="str">
        <x:v>MEB_STANDART</x:v>
      </x:c>
      <x:c r="E607" t="str">
        <x:v>Kurum içi</x:v>
      </x:c>
      <x:c r="F607" s="42" t="str">
        <x:v>SENTETİK/SİMÜLE — gerçek parti kaydı değildir</x:v>
      </x:c>
      <x:c r="G607" s="38" t="n">
        <x:v>276.928</x:v>
      </x:c>
      <x:c r="H607" s="38" t="n">
        <x:v>84.97</x:v>
      </x:c>
      <x:c r="I607" s="38" t="n">
        <x:v>17.526</x:v>
      </x:c>
      <x:c r="J607" s="38" t="n">
        <x:v>9.295</x:v>
      </x:c>
      <x:c r="K607" s="38" t="n">
        <x:v>4.025</x:v>
      </x:c>
      <x:c r="L607" s="38" t="n">
        <x:f>SUM(G607:K607)</x:f>
        <x:v>392.744</x:v>
      </x:c>
      <x:c r="M607" s="38" t="n">
        <x:v>462.497</x:v>
      </x:c>
      <x:c r="N607" s="38" t="n">
        <x:v>585.8</x:v>
      </x:c>
      <x:c r="O607" s="38" t="n">
        <x:v>430.94</x:v>
      </x:c>
      <x:c r="P607" s="38" t="n">
        <x:v>669.9</x:v>
      </x:c>
      <x:c r="Q607" s="38" t="n">
        <x:v>19.88</x:v>
      </x:c>
      <x:c r="R607" s="38" t="n">
        <x:v>43.7475</x:v>
      </x:c>
      <x:c r="S607" s="38" t="n">
        <x:v>95.63</x:v>
      </x:c>
      <x:c r="T607" s="40" t="n">
        <x:v>22.9</x:v>
      </x:c>
      <x:c r="U607" s="40" t="n">
        <x:v>1.23</x:v>
      </x:c>
      <x:c r="V607" s="38" t="n">
        <x:f>L607*(1-T607/100)*(1-U607/100)</x:f>
        <x:v>299.0811148248</x:v>
      </x:c>
      <x:c r="W607" s="38" t="n">
        <x:f>G607*N607</x:f>
        <x:v>162224.42239999998</x:v>
      </x:c>
      <x:c r="X607" s="38" t="n">
        <x:f>H607*O607</x:f>
        <x:v>36616.9718</x:v>
      </x:c>
      <x:c r="Y607" s="38" t="n">
        <x:f>I607*P607</x:f>
        <x:v>11740.6674</x:v>
      </x:c>
      <x:c r="Z607" s="38" t="n">
        <x:f>J607*Q607+K607*P607</x:f>
        <x:v>2881.1321000000003</x:v>
      </x:c>
      <x:c r="AA607" s="38" t="n">
        <x:f>M607*R607</x:f>
        <x:v>20233.0875075</x:v>
      </x:c>
      <x:c r="AB607" s="38" t="n">
        <x:f>SUM(W607:AA607)</x:f>
        <x:v>233696.28120749997</x:v>
      </x:c>
      <x:c r="AC607" s="38" t="n">
        <x:v>14.23</x:v>
      </x:c>
      <x:c r="AD607" s="38" t="n">
        <x:v>174.33</x:v>
      </x:c>
      <x:c r="AE607" s="38" t="n">
        <x:v>114.39</x:v>
      </x:c>
      <x:c r="AF607" s="38" t="n">
        <x:v>4.8148</x:v>
      </x:c>
      <x:c r="AG607" s="38" t="n">
        <x:v>5.33</x:v>
      </x:c>
      <x:c r="AH607" s="38" t="n">
        <x:f>IF(E607="Fason",L607*S607,0)</x:f>
        <x:v>0</x:v>
      </x:c>
      <x:c r="AI607" s="38" t="n">
        <x:f>IF(E607="Kurum içi",AC607*AD607+AE607*AF607+AB607*12%,0)</x:f>
        <x:v>31075.034616899997</x:v>
      </x:c>
      <x:c r="AJ607" s="38" t="n">
        <x:f>V607*AG607</x:f>
        <x:v>1594.1023420161841</x:v>
      </x:c>
      <x:c r="AK607" s="38" t="n">
        <x:f>AB607*2%</x:f>
        <x:v>4673.92562415</x:v>
      </x:c>
      <x:c r="AL607" s="38" t="n">
        <x:f>AB607+AH607+AI607+AJ607+AK607</x:f>
        <x:v>271039.34379056614</x:v>
      </x:c>
      <x:c r="AM607" s="38" t="n">
        <x:f>AL607/V607</x:f>
        <x:v>906.2402483999681</x:v>
      </x:c>
      <x:c r="AN607" s="40" t="n">
        <x:f>(W607+X607)/AL607*100</x:f>
        <x:v>73.36255741293634</x:v>
      </x:c>
      <x:c r="AO607" s="28" t="str">
        <x:v>R01-R20; ilgili satırdaki bölgesel fiyat ve maliyet varsayımları</x:v>
      </x:c>
      <x:c r="AP607" s="28" t="str">
        <x:v>Girdi miktarları, alım fiyatı değişimi, fason bedeli ve parti sonucu simüle edilmiştir; işletme kaydı değildir.</x:v>
      </x:c>
    </x:row>
    <x:row r="608" ht="22" customHeight="1">
      <x:c r="A608" t="str">
        <x:v>SUC-0607</x:v>
      </x:c>
      <x:c r="B608" s="36" t="n">
        <x:v>46277</x:v>
      </x:c>
      <x:c r="C608" t="str">
        <x:v>İç Anadolu</x:v>
      </x:c>
      <x:c r="D608" t="str">
        <x:v>ERZURUM_CI</x:v>
      </x:c>
      <x:c r="E608" t="str">
        <x:v>Kurum içi</x:v>
      </x:c>
      <x:c r="F608" s="42" t="str">
        <x:v>SENTETİK/SİMÜLE — gerçek parti kaydı değildir</x:v>
      </x:c>
      <x:c r="G608" s="38" t="n">
        <x:v>82.747</x:v>
      </x:c>
      <x:c r="H608" s="38" t="n">
        <x:v>14.64</x:v>
      </x:c>
      <x:c r="I608" s="38" t="n">
        <x:v>4.777</x:v>
      </x:c>
      <x:c r="J608" s="38" t="n">
        <x:v>1.688</x:v>
      </x:c>
      <x:c r="K608" s="38" t="n">
        <x:v>0.144</x:v>
      </x:c>
      <x:c r="L608" s="38" t="n">
        <x:f>SUM(G608:K608)</x:f>
        <x:v>103.99600000000001</x:v>
      </x:c>
      <x:c r="M608" s="38" t="n">
        <x:v>137.184</x:v>
      </x:c>
      <x:c r="N608" s="38" t="n">
        <x:v>581.58</x:v>
      </x:c>
      <x:c r="O608" s="38" t="n">
        <x:v>421.73</x:v>
      </x:c>
      <x:c r="P608" s="38" t="n">
        <x:v>400</x:v>
      </x:c>
      <x:c r="Q608" s="38" t="n">
        <x:v>19.88</x:v>
      </x:c>
      <x:c r="R608" s="38" t="n">
        <x:v>43.7475</x:v>
      </x:c>
      <x:c r="S608" s="38" t="n">
        <x:v>123.73</x:v>
      </x:c>
      <x:c r="T608" s="40" t="n">
        <x:v>25.01</x:v>
      </x:c>
      <x:c r="U608" s="40" t="n">
        <x:v>1.07</x:v>
      </x:c>
      <x:c r="V608" s="38" t="n">
        <x:f>L608*(1-T608/100)*(1-U608/100)</x:f>
        <x:v>77.15214377572</x:v>
      </x:c>
      <x:c r="W608" s="38" t="n">
        <x:f>G608*N608</x:f>
        <x:v>48124.00026</x:v>
      </x:c>
      <x:c r="X608" s="38" t="n">
        <x:f>H608*O608</x:f>
        <x:v>6174.127200000001</x:v>
      </x:c>
      <x:c r="Y608" s="38" t="n">
        <x:f>I608*P608</x:f>
        <x:v>1910.8</x:v>
      </x:c>
      <x:c r="Z608" s="38" t="n">
        <x:f>J608*Q608+K608*P608</x:f>
        <x:v>91.15744</x:v>
      </x:c>
      <x:c r="AA608" s="38" t="n">
        <x:f>M608*R608</x:f>
        <x:v>6001.45704</x:v>
      </x:c>
      <x:c r="AB608" s="38" t="n">
        <x:f>SUM(W608:AA608)</x:f>
        <x:v>62301.54194000001</x:v>
      </x:c>
      <x:c r="AC608" s="38" t="n">
        <x:v>4.13</x:v>
      </x:c>
      <x:c r="AD608" s="38" t="n">
        <x:v>174.33</x:v>
      </x:c>
      <x:c r="AE608" s="38" t="n">
        <x:v>49.06</x:v>
      </x:c>
      <x:c r="AF608" s="38" t="n">
        <x:v>4.8148</x:v>
      </x:c>
      <x:c r="AG608" s="38" t="n">
        <x:v>5.59</x:v>
      </x:c>
      <x:c r="AH608" s="38" t="n">
        <x:f>IF(E608="Fason",L608*S608,0)</x:f>
        <x:v>0</x:v>
      </x:c>
      <x:c r="AI608" s="38" t="n">
        <x:f>IF(E608="Kurum içi",AC608*AD608+AE608*AF608+AB608*12%,0)</x:f>
        <x:v>8432.382020800002</x:v>
      </x:c>
      <x:c r="AJ608" s="38" t="n">
        <x:f>V608*AG608</x:f>
        <x:v>431.2804837062748</x:v>
      </x:c>
      <x:c r="AK608" s="38" t="n">
        <x:f>AB608*2%</x:f>
        <x:v>1246.0308388000003</x:v>
      </x:c>
      <x:c r="AL608" s="38" t="n">
        <x:f>AB608+AH608+AI608+AJ608+AK608</x:f>
        <x:v>72411.23528330628</x:v>
      </x:c>
      <x:c r="AM608" s="38" t="n">
        <x:f>AL608/V608</x:f>
        <x:v>938.5511761514305</x:v>
      </x:c>
      <x:c r="AN608" s="40" t="n">
        <x:f>(W608+X608)/AL608*100</x:f>
        <x:v>74.98577706561778</x:v>
      </x:c>
      <x:c r="AO608" s="28" t="str">
        <x:v>R01-R20; ilgili satırdaki bölgesel fiyat ve maliyet varsayımları</x:v>
      </x:c>
      <x:c r="AP608" s="28" t="str">
        <x:v>Girdi miktarları, alım fiyatı değişimi, fason bedeli ve parti sonucu simüle edilmiştir; işletme kaydı değildir.</x:v>
      </x:c>
    </x:row>
    <x:row r="609" ht="22" customHeight="1">
      <x:c r="A609" t="str">
        <x:v>SUC-0608</x:v>
      </x:c>
      <x:c r="B609" s="36" t="n">
        <x:v>46309</x:v>
      </x:c>
      <x:c r="C609" t="str">
        <x:v>Doğu Anadolu</x:v>
      </x:c>
      <x:c r="D609" t="str">
        <x:v>ERZURUM_CI</x:v>
      </x:c>
      <x:c r="E609" t="str">
        <x:v>Kurum içi</x:v>
      </x:c>
      <x:c r="F609" s="42" t="str">
        <x:v>SENTETİK/SİMÜLE — gerçek parti kaydı değildir</x:v>
      </x:c>
      <x:c r="G609" s="38" t="n">
        <x:v>241.07</x:v>
      </x:c>
      <x:c r="H609" s="38" t="n">
        <x:v>43.554</x:v>
      </x:c>
      <x:c r="I609" s="38" t="n">
        <x:v>13.895</x:v>
      </x:c>
      <x:c r="J609" s="38" t="n">
        <x:v>4.545</x:v>
      </x:c>
      <x:c r="K609" s="38" t="n">
        <x:v>0.678</x:v>
      </x:c>
      <x:c r="L609" s="38" t="n">
        <x:f>SUM(G609:K609)</x:f>
        <x:v>303.742</x:v>
      </x:c>
      <x:c r="M609" s="38" t="n">
        <x:v>407.255</x:v>
      </x:c>
      <x:c r="N609" s="38" t="n">
        <x:v>604.88</x:v>
      </x:c>
      <x:c r="O609" s="38" t="n">
        <x:v>436.26</x:v>
      </x:c>
      <x:c r="P609" s="38" t="n">
        <x:v>669.9</x:v>
      </x:c>
      <x:c r="Q609" s="38" t="n">
        <x:v>19.88</x:v>
      </x:c>
      <x:c r="R609" s="38" t="n">
        <x:v>43.7475</x:v>
      </x:c>
      <x:c r="S609" s="38" t="n">
        <x:v>123.14</x:v>
      </x:c>
      <x:c r="T609" s="40" t="n">
        <x:v>23.67</x:v>
      </x:c>
      <x:c r="U609" s="40" t="n">
        <x:v>1.17</x:v>
      </x:c>
      <x:c r="V609" s="38" t="n">
        <x:f>L609*(1-T609/100)*(1-U609/100)</x:f>
        <x:v>229.13366725737998</x:v>
      </x:c>
      <x:c r="W609" s="38" t="n">
        <x:f>G609*N609</x:f>
        <x:v>145818.4216</x:v>
      </x:c>
      <x:c r="X609" s="38" t="n">
        <x:f>H609*O609</x:f>
        <x:v>19000.86804</x:v>
      </x:c>
      <x:c r="Y609" s="38" t="n">
        <x:f>I609*P609</x:f>
        <x:v>9308.260499999999</x:v>
      </x:c>
      <x:c r="Z609" s="38" t="n">
        <x:f>J609*Q609+K609*P609</x:f>
        <x:v>544.5468</x:v>
      </x:c>
      <x:c r="AA609" s="38" t="n">
        <x:f>M609*R609</x:f>
        <x:v>17816.3881125</x:v>
      </x:c>
      <x:c r="AB609" s="38" t="n">
        <x:f>SUM(W609:AA609)</x:f>
        <x:v>192488.4850525</x:v>
      </x:c>
      <x:c r="AC609" s="38" t="n">
        <x:v>20.78</x:v>
      </x:c>
      <x:c r="AD609" s="38" t="n">
        <x:v>174.33</x:v>
      </x:c>
      <x:c r="AE609" s="38" t="n">
        <x:v>74.01</x:v>
      </x:c>
      <x:c r="AF609" s="38" t="n">
        <x:v>4.8148</x:v>
      </x:c>
      <x:c r="AG609" s="38" t="n">
        <x:v>5.58</x:v>
      </x:c>
      <x:c r="AH609" s="38" t="n">
        <x:f>IF(E609="Fason",L609*S609,0)</x:f>
        <x:v>0</x:v>
      </x:c>
      <x:c r="AI609" s="38" t="n">
        <x:f>IF(E609="Kurum içi",AC609*AD609+AE609*AF609+AB609*12%,0)</x:f>
        <x:v>27077.538954300002</x:v>
      </x:c>
      <x:c r="AJ609" s="38" t="n">
        <x:f>V609*AG609</x:f>
        <x:v>1278.5658632961804</x:v>
      </x:c>
      <x:c r="AK609" s="38" t="n">
        <x:f>AB609*2%</x:f>
        <x:v>3849.76970105</x:v>
      </x:c>
      <x:c r="AL609" s="38" t="n">
        <x:f>AB609+AH609+AI609+AJ609+AK609</x:f>
        <x:v>224694.3595711462</x:v>
      </x:c>
      <x:c r="AM609" s="38" t="n">
        <x:f>AL609/V609</x:f>
        <x:v>980.625685699661</x:v>
      </x:c>
      <x:c r="AN609" s="40" t="n">
        <x:f>(W609+X609)/AL609*100</x:f>
        <x:v>73.35266001094806</x:v>
      </x:c>
      <x:c r="AO609" s="28" t="str">
        <x:v>R01-R20; ilgili satırdaki bölgesel fiyat ve maliyet varsayımları</x:v>
      </x:c>
      <x:c r="AP609" s="28" t="str">
        <x:v>Girdi miktarları, alım fiyatı değişimi, fason bedeli ve parti sonucu simüle edilmiştir; işletme kaydı değildir.</x:v>
      </x:c>
    </x:row>
    <x:row r="610" ht="22" customHeight="1">
      <x:c r="A610" t="str">
        <x:v>SUC-0609</x:v>
      </x:c>
      <x:c r="B610" s="36" t="n">
        <x:v>46308</x:v>
      </x:c>
      <x:c r="C610" t="str">
        <x:v>Ege</x:v>
      </x:c>
      <x:c r="D610" t="str">
        <x:v>ERZURUM_CI</x:v>
      </x:c>
      <x:c r="E610" t="str">
        <x:v>Fason</x:v>
      </x:c>
      <x:c r="F610" s="42" t="str">
        <x:v>SENTETİK/SİMÜLE — gerçek parti kaydı değildir</x:v>
      </x:c>
      <x:c r="G610" s="38" t="n">
        <x:v>190.813</x:v>
      </x:c>
      <x:c r="H610" s="38" t="n">
        <x:v>35.658</x:v>
      </x:c>
      <x:c r="I610" s="38" t="n">
        <x:v>11.797</x:v>
      </x:c>
      <x:c r="J610" s="38" t="n">
        <x:v>3.785</x:v>
      </x:c>
      <x:c r="K610" s="38" t="n">
        <x:v>0.024</x:v>
      </x:c>
      <x:c r="L610" s="38" t="n">
        <x:f>SUM(G610:K610)</x:f>
        <x:v>242.077</x:v>
      </x:c>
      <x:c r="M610" s="38" t="n">
        <x:v>290.804</x:v>
      </x:c>
      <x:c r="N610" s="38" t="n">
        <x:v>598.86</x:v>
      </x:c>
      <x:c r="O610" s="38" t="n">
        <x:v>451.19</x:v>
      </x:c>
      <x:c r="P610" s="38" t="n">
        <x:v>550</x:v>
      </x:c>
      <x:c r="Q610" s="38" t="n">
        <x:v>19.88</x:v>
      </x:c>
      <x:c r="R610" s="38" t="n">
        <x:v>43.7475</x:v>
      </x:c>
      <x:c r="S610" s="38" t="n">
        <x:v>84.4</x:v>
      </x:c>
      <x:c r="T610" s="40" t="n">
        <x:v>33.06</x:v>
      </x:c>
      <x:c r="U610" s="40" t="n">
        <x:v>1.09</x:v>
      </x:c>
      <x:c r="V610" s="38" t="n">
        <x:f>L610*(1-T610/100)*(1-U610/100)</x:f>
        <x:v>160.28003865257998</x:v>
      </x:c>
      <x:c r="W610" s="38" t="n">
        <x:f>G610*N610</x:f>
        <x:v>114270.27317999999</x:v>
      </x:c>
      <x:c r="X610" s="38" t="n">
        <x:f>H610*O610</x:f>
        <x:v>16088.53302</x:v>
      </x:c>
      <x:c r="Y610" s="38" t="n">
        <x:f>I610*P610</x:f>
        <x:v>6488.35</x:v>
      </x:c>
      <x:c r="Z610" s="38" t="n">
        <x:f>J610*Q610+K610*P610</x:f>
        <x:v>88.4458</x:v>
      </x:c>
      <x:c r="AA610" s="38" t="n">
        <x:f>M610*R610</x:f>
        <x:v>12721.947989999999</x:v>
      </x:c>
      <x:c r="AB610" s="38" t="n">
        <x:f>SUM(W610:AA610)</x:f>
        <x:v>149657.54998999997</x:v>
      </x:c>
      <x:c r="AC610" s="38" t="n">
        <x:v>9.73</x:v>
      </x:c>
      <x:c r="AD610" s="38" t="n">
        <x:v>174.33</x:v>
      </x:c>
      <x:c r="AE610" s="38" t="n">
        <x:v>85.07</x:v>
      </x:c>
      <x:c r="AF610" s="38" t="n">
        <x:v>4.8148</x:v>
      </x:c>
      <x:c r="AG610" s="38" t="n">
        <x:v>5.33</x:v>
      </x:c>
      <x:c r="AH610" s="38" t="n">
        <x:f>IF(E610="Fason",L610*S610,0)</x:f>
        <x:v>20431.2988</x:v>
      </x:c>
      <x:c r="AI610" s="38" t="n">
        <x:f>IF(E610="Kurum içi",AC610*AD610+AE610*AF610+AB610*12%,0)</x:f>
        <x:v>0</x:v>
      </x:c>
      <x:c r="AJ610" s="38" t="n">
        <x:f>V610*AG610</x:f>
        <x:v>854.2926060182513</x:v>
      </x:c>
      <x:c r="AK610" s="38" t="n">
        <x:f>AB610*2%</x:f>
        <x:v>2993.1509997999997</x:v>
      </x:c>
      <x:c r="AL610" s="38" t="n">
        <x:f>AB610+AH610+AI610+AJ610+AK610</x:f>
        <x:v>173936.29239581822</x:v>
      </x:c>
      <x:c r="AM610" s="38" t="n">
        <x:f>AL610/V610</x:f>
        <x:v>1085.2024610053863</x:v>
      </x:c>
      <x:c r="AN610" s="40" t="n">
        <x:f>(W610+X610)/AL610*100</x:f>
        <x:v>74.94629464870327</x:v>
      </x:c>
      <x:c r="AO610" s="28" t="str">
        <x:v>R01-R20; ilgili satırdaki bölgesel fiyat ve maliyet varsayımları</x:v>
      </x:c>
      <x:c r="AP610" s="28" t="str">
        <x:v>Girdi miktarları, alım fiyatı değişimi, fason bedeli ve parti sonucu simüle edilmiştir; işletme kaydı değildir.</x:v>
      </x:c>
    </x:row>
    <x:row r="611" ht="22" customHeight="1">
      <x:c r="A611" t="str">
        <x:v>SUC-0610</x:v>
      </x:c>
      <x:c r="B611" s="36" t="n">
        <x:v>46278</x:v>
      </x:c>
      <x:c r="C611" t="str">
        <x:v>Marmara</x:v>
      </x:c>
      <x:c r="D611" t="str">
        <x:v>MEB_STANDART</x:v>
      </x:c>
      <x:c r="E611" t="str">
        <x:v>Fason</x:v>
      </x:c>
      <x:c r="F611" s="42" t="str">
        <x:v>SENTETİK/SİMÜLE — gerçek parti kaydı değildir</x:v>
      </x:c>
      <x:c r="G611" s="38" t="n">
        <x:v>215.529</x:v>
      </x:c>
      <x:c r="H611" s="38" t="n">
        <x:v>67.808</x:v>
      </x:c>
      <x:c r="I611" s="38" t="n">
        <x:v>13.457</x:v>
      </x:c>
      <x:c r="J611" s="38" t="n">
        <x:v>7.567</x:v>
      </x:c>
      <x:c r="K611" s="38" t="n">
        <x:v>3.408</x:v>
      </x:c>
      <x:c r="L611" s="38" t="n">
        <x:f>SUM(G611:K611)</x:f>
        <x:v>307.769</x:v>
      </x:c>
      <x:c r="M611" s="38" t="n">
        <x:v>411.167</x:v>
      </x:c>
      <x:c r="N611" s="38" t="n">
        <x:v>590.75</x:v>
      </x:c>
      <x:c r="O611" s="38" t="n">
        <x:v>466.25</x:v>
      </x:c>
      <x:c r="P611" s="38" t="n">
        <x:v>550</x:v>
      </x:c>
      <x:c r="Q611" s="38" t="n">
        <x:v>19.88</x:v>
      </x:c>
      <x:c r="R611" s="38" t="n">
        <x:v>43.7475</x:v>
      </x:c>
      <x:c r="S611" s="38" t="n">
        <x:v>112.1</x:v>
      </x:c>
      <x:c r="T611" s="40" t="n">
        <x:v>25.06</x:v>
      </x:c>
      <x:c r="U611" s="40" t="n">
        <x:v>0.79</x:v>
      </x:c>
      <x:c r="V611" s="38" t="n">
        <x:f>L611*(1-T611/100)*(1-U611/100)</x:f>
        <x:v>228.82001610006003</x:v>
      </x:c>
      <x:c r="W611" s="38" t="n">
        <x:f>G611*N611</x:f>
        <x:v>127323.75675</x:v>
      </x:c>
      <x:c r="X611" s="38" t="n">
        <x:f>H611*O611</x:f>
        <x:v>31615.480000000003</x:v>
      </x:c>
      <x:c r="Y611" s="38" t="n">
        <x:f>I611*P611</x:f>
        <x:v>7401.35</x:v>
      </x:c>
      <x:c r="Z611" s="38" t="n">
        <x:f>J611*Q611+K611*P611</x:f>
        <x:v>2024.83196</x:v>
      </x:c>
      <x:c r="AA611" s="38" t="n">
        <x:f>M611*R611</x:f>
        <x:v>17987.5283325</x:v>
      </x:c>
      <x:c r="AB611" s="38" t="n">
        <x:f>SUM(W611:AA611)</x:f>
        <x:v>186352.94704250002</x:v>
      </x:c>
      <x:c r="AC611" s="38" t="n">
        <x:v>17.52</x:v>
      </x:c>
      <x:c r="AD611" s="38" t="n">
        <x:v>174.33</x:v>
      </x:c>
      <x:c r="AE611" s="38" t="n">
        <x:v>127.23</x:v>
      </x:c>
      <x:c r="AF611" s="38" t="n">
        <x:v>4.8148</x:v>
      </x:c>
      <x:c r="AG611" s="38" t="n">
        <x:v>5.9</x:v>
      </x:c>
      <x:c r="AH611" s="38" t="n">
        <x:f>IF(E611="Fason",L611*S611,0)</x:f>
        <x:v>34500.9049</x:v>
      </x:c>
      <x:c r="AI611" s="38" t="n">
        <x:f>IF(E611="Kurum içi",AC611*AD611+AE611*AF611+AB611*12%,0)</x:f>
        <x:v>0</x:v>
      </x:c>
      <x:c r="AJ611" s="38" t="n">
        <x:f>V611*AG611</x:f>
        <x:v>1350.0380949903542</x:v>
      </x:c>
      <x:c r="AK611" s="38" t="n">
        <x:f>AB611*2%</x:f>
        <x:v>3727.0589408500005</x:v>
      </x:c>
      <x:c r="AL611" s="38" t="n">
        <x:f>AB611+AH611+AI611+AJ611+AK611</x:f>
        <x:v>225930.94897834037</x:v>
      </x:c>
      <x:c r="AM611" s="38" t="n">
        <x:f>AL611/V611</x:f>
        <x:v>987.3740629383738</x:v>
      </x:c>
      <x:c r="AN611" s="40" t="n">
        <x:f>(W611+X611)/AL611*100</x:f>
        <x:v>70.34858989825128</x:v>
      </x:c>
      <x:c r="AO611" s="28" t="str">
        <x:v>R01-R20; ilgili satırdaki bölgesel fiyat ve maliyet varsayımları</x:v>
      </x:c>
      <x:c r="AP611" s="28" t="str">
        <x:v>Girdi miktarları, alım fiyatı değişimi, fason bedeli ve parti sonucu simüle edilmiştir; işletme kaydı değildir.</x:v>
      </x:c>
    </x:row>
    <x:row r="612" ht="22" customHeight="1">
      <x:c r="A612" t="str">
        <x:v>SUC-0611</x:v>
      </x:c>
      <x:c r="B612" s="36" t="n">
        <x:v>46290</x:v>
      </x:c>
      <x:c r="C612" t="str">
        <x:v>Ege</x:v>
      </x:c>
      <x:c r="D612" t="str">
        <x:v>MEB_STANDART</x:v>
      </x:c>
      <x:c r="E612" t="str">
        <x:v>Fason</x:v>
      </x:c>
      <x:c r="F612" s="42" t="str">
        <x:v>SENTETİK/SİMÜLE — gerçek parti kaydı değildir</x:v>
      </x:c>
      <x:c r="G612" s="38" t="n">
        <x:v>197.978</x:v>
      </x:c>
      <x:c r="H612" s="38" t="n">
        <x:v>62.67</x:v>
      </x:c>
      <x:c r="I612" s="38" t="n">
        <x:v>12.39</x:v>
      </x:c>
      <x:c r="J612" s="38" t="n">
        <x:v>6.615</x:v>
      </x:c>
      <x:c r="K612" s="38" t="n">
        <x:v>3.188</x:v>
      </x:c>
      <x:c r="L612" s="38" t="n">
        <x:f>SUM(G612:K612)</x:f>
        <x:v>282.841</x:v>
      </x:c>
      <x:c r="M612" s="38" t="n">
        <x:v>334.123</x:v>
      </x:c>
      <x:c r="N612" s="38" t="n">
        <x:v>598.96</x:v>
      </x:c>
      <x:c r="O612" s="38" t="n">
        <x:v>418.45</x:v>
      </x:c>
      <x:c r="P612" s="38" t="n">
        <x:v>669.9</x:v>
      </x:c>
      <x:c r="Q612" s="38" t="n">
        <x:v>19.88</x:v>
      </x:c>
      <x:c r="R612" s="38" t="n">
        <x:v>43.7475</x:v>
      </x:c>
      <x:c r="S612" s="38" t="n">
        <x:v>79.81</x:v>
      </x:c>
      <x:c r="T612" s="40" t="n">
        <x:v>17.8</x:v>
      </x:c>
      <x:c r="U612" s="40" t="n">
        <x:v>1.71</x:v>
      </x:c>
      <x:c r="V612" s="38" t="n">
        <x:f>L612*(1-T612/100)*(1-U612/100)</x:f>
        <x:v>228.51963233579997</x:v>
      </x:c>
      <x:c r="W612" s="38" t="n">
        <x:f>G612*N612</x:f>
        <x:v>118580.90288000001</x:v>
      </x:c>
      <x:c r="X612" s="38" t="n">
        <x:f>H612*O612</x:f>
        <x:v>26224.2615</x:v>
      </x:c>
      <x:c r="Y612" s="38" t="n">
        <x:f>I612*P612</x:f>
        <x:v>8300.061</x:v>
      </x:c>
      <x:c r="Z612" s="38" t="n">
        <x:f>J612*Q612+K612*P612</x:f>
        <x:v>2267.1474</x:v>
      </x:c>
      <x:c r="AA612" s="38" t="n">
        <x:f>M612*R612</x:f>
        <x:v>14617.0459425</x:v>
      </x:c>
      <x:c r="AB612" s="38" t="n">
        <x:f>SUM(W612:AA612)</x:f>
        <x:v>169989.41872249998</x:v>
      </x:c>
      <x:c r="AC612" s="38" t="n">
        <x:v>13.13</x:v>
      </x:c>
      <x:c r="AD612" s="38" t="n">
        <x:v>174.33</x:v>
      </x:c>
      <x:c r="AE612" s="38" t="n">
        <x:v>132.46</x:v>
      </x:c>
      <x:c r="AF612" s="38" t="n">
        <x:v>4.8148</x:v>
      </x:c>
      <x:c r="AG612" s="38" t="n">
        <x:v>5.65</x:v>
      </x:c>
      <x:c r="AH612" s="38" t="n">
        <x:f>IF(E612="Fason",L612*S612,0)</x:f>
        <x:v>22573.540210000003</x:v>
      </x:c>
      <x:c r="AI612" s="38" t="n">
        <x:f>IF(E612="Kurum içi",AC612*AD612+AE612*AF612+AB612*12%,0)</x:f>
        <x:v>0</x:v>
      </x:c>
      <x:c r="AJ612" s="38" t="n">
        <x:f>V612*AG612</x:f>
        <x:v>1291.13592269727</x:v>
      </x:c>
      <x:c r="AK612" s="38" t="n">
        <x:f>AB612*2%</x:f>
        <x:v>3399.7883744499995</x:v>
      </x:c>
      <x:c r="AL612" s="38" t="n">
        <x:f>AB612+AH612+AI612+AJ612+AK612</x:f>
        <x:v>197253.88322964724</x:v>
      </x:c>
      <x:c r="AM612" s="38" t="n">
        <x:f>AL612/V612</x:f>
        <x:v>863.1813433858101</x:v>
      </x:c>
      <x:c r="AN612" s="40" t="n">
        <x:f>(W612+X612)/AL612*100</x:f>
        <x:v>73.41055192886353</x:v>
      </x:c>
      <x:c r="AO612" s="28" t="str">
        <x:v>R01-R20; ilgili satırdaki bölgesel fiyat ve maliyet varsayımları</x:v>
      </x:c>
      <x:c r="AP612" s="28" t="str">
        <x:v>Girdi miktarları, alım fiyatı değişimi, fason bedeli ve parti sonucu simüle edilmiştir; işletme kaydı değildir.</x:v>
      </x:c>
    </x:row>
    <x:row r="613" ht="22" customHeight="1">
      <x:c r="A613" t="str">
        <x:v>SUC-0612</x:v>
      </x:c>
      <x:c r="B613" s="36" t="n">
        <x:v>46309</x:v>
      </x:c>
      <x:c r="C613" t="str">
        <x:v>Doğu Anadolu</x:v>
      </x:c>
      <x:c r="D613" t="str">
        <x:v>ERZURUM_CI</x:v>
      </x:c>
      <x:c r="E613" t="str">
        <x:v>Kurum içi</x:v>
      </x:c>
      <x:c r="F613" s="42" t="str">
        <x:v>SENTETİK/SİMÜLE — gerçek parti kaydı değildir</x:v>
      </x:c>
      <x:c r="G613" s="38" t="n">
        <x:v>177.016</x:v>
      </x:c>
      <x:c r="H613" s="38" t="n">
        <x:v>32.572</x:v>
      </x:c>
      <x:c r="I613" s="38" t="n">
        <x:v>10.375</x:v>
      </x:c>
      <x:c r="J613" s="38" t="n">
        <x:v>3.407</x:v>
      </x:c>
      <x:c r="K613" s="38" t="n">
        <x:v>0.022</x:v>
      </x:c>
      <x:c r="L613" s="38" t="n">
        <x:f>SUM(G613:K613)</x:f>
        <x:v>223.392</x:v>
      </x:c>
      <x:c r="M613" s="38" t="n">
        <x:v>283.33</x:v>
      </x:c>
      <x:c r="N613" s="38" t="n">
        <x:v>588.86</x:v>
      </x:c>
      <x:c r="O613" s="38" t="n">
        <x:v>433.64</x:v>
      </x:c>
      <x:c r="P613" s="38" t="n">
        <x:v>550</x:v>
      </x:c>
      <x:c r="Q613" s="38" t="n">
        <x:v>19.88</x:v>
      </x:c>
      <x:c r="R613" s="38" t="n">
        <x:v>43.7475</x:v>
      </x:c>
      <x:c r="S613" s="38" t="n">
        <x:v>84.32</x:v>
      </x:c>
      <x:c r="T613" s="40" t="n">
        <x:v>25.57</x:v>
      </x:c>
      <x:c r="U613" s="40" t="n">
        <x:v>0.42</x:v>
      </x:c>
      <x:c r="V613" s="38" t="n">
        <x:f>L613*(1-T613/100)*(1-U613/100)</x:f>
        <x:v>165.57232880448</x:v>
      </x:c>
      <x:c r="W613" s="38" t="n">
        <x:f>G613*N613</x:f>
        <x:v>104237.64176</x:v>
      </x:c>
      <x:c r="X613" s="38" t="n">
        <x:f>H613*O613</x:f>
        <x:v>14124.52208</x:v>
      </x:c>
      <x:c r="Y613" s="38" t="n">
        <x:f>I613*P613</x:f>
        <x:v>5706.25</x:v>
      </x:c>
      <x:c r="Z613" s="38" t="n">
        <x:f>J613*Q613+K613*P613</x:f>
        <x:v>79.83116</x:v>
      </x:c>
      <x:c r="AA613" s="38" t="n">
        <x:f>M613*R613</x:f>
        <x:v>12394.979175</x:v>
      </x:c>
      <x:c r="AB613" s="38" t="n">
        <x:f>SUM(W613:AA613)</x:f>
        <x:v>136543.22417499998</x:v>
      </x:c>
      <x:c r="AC613" s="38" t="n">
        <x:v>9.77</x:v>
      </x:c>
      <x:c r="AD613" s="38" t="n">
        <x:v>174.33</x:v>
      </x:c>
      <x:c r="AE613" s="38" t="n">
        <x:v>57.66</x:v>
      </x:c>
      <x:c r="AF613" s="38" t="n">
        <x:v>4.8148</x:v>
      </x:c>
      <x:c r="AG613" s="38" t="n">
        <x:v>5.69</x:v>
      </x:c>
      <x:c r="AH613" s="38" t="n">
        <x:f>IF(E613="Fason",L613*S613,0)</x:f>
        <x:v>0</x:v>
      </x:c>
      <x:c r="AI613" s="38" t="n">
        <x:f>IF(E613="Kurum içi",AC613*AD613+AE613*AF613+AB613*12%,0)</x:f>
        <x:v>18366.012368999996</x:v>
      </x:c>
      <x:c r="AJ613" s="38" t="n">
        <x:f>V613*AG613</x:f>
        <x:v>942.1065508974913</x:v>
      </x:c>
      <x:c r="AK613" s="38" t="n">
        <x:f>AB613*2%</x:f>
        <x:v>2730.8644834999996</x:v>
      </x:c>
      <x:c r="AL613" s="38" t="n">
        <x:f>AB613+AH613+AI613+AJ613+AK613</x:f>
        <x:v>158582.20757839747</x:v>
      </x:c>
      <x:c r="AM613" s="38" t="n">
        <x:f>AL613/V613</x:f>
        <x:v>957.7820685584668</x:v>
      </x:c>
      <x:c r="AN613" s="40" t="n">
        <x:f>(W613+X613)/AL613*100</x:f>
        <x:v>74.63773247164937</x:v>
      </x:c>
      <x:c r="AO613" s="28" t="str">
        <x:v>R01-R20; ilgili satırdaki bölgesel fiyat ve maliyet varsayımları</x:v>
      </x:c>
      <x:c r="AP613" s="28" t="str">
        <x:v>Girdi miktarları, alım fiyatı değişimi, fason bedeli ve parti sonucu simüle edilmiştir; işletme kaydı değildir.</x:v>
      </x:c>
    </x:row>
    <x:row r="614" ht="22" customHeight="1">
      <x:c r="A614" t="str">
        <x:v>SUC-0613</x:v>
      </x:c>
      <x:c r="B614" s="36" t="n">
        <x:v>46285</x:v>
      </x:c>
      <x:c r="C614" t="str">
        <x:v>Güneydoğu Anadolu</x:v>
      </x:c>
      <x:c r="D614" t="str">
        <x:v>MEB_STANDART</x:v>
      </x:c>
      <x:c r="E614" t="str">
        <x:v>Fason</x:v>
      </x:c>
      <x:c r="F614" s="42" t="str">
        <x:v>SENTETİK/SİMÜLE — gerçek parti kaydı değildir</x:v>
      </x:c>
      <x:c r="G614" s="38" t="n">
        <x:v>203.213</x:v>
      </x:c>
      <x:c r="H614" s="38" t="n">
        <x:v>64.236</x:v>
      </x:c>
      <x:c r="I614" s="38" t="n">
        <x:v>12.457</x:v>
      </x:c>
      <x:c r="J614" s="38" t="n">
        <x:v>6.882</x:v>
      </x:c>
      <x:c r="K614" s="38" t="n">
        <x:v>2.806</x:v>
      </x:c>
      <x:c r="L614" s="38" t="n">
        <x:f>SUM(G614:K614)</x:f>
        <x:v>289.594</x:v>
      </x:c>
      <x:c r="M614" s="38" t="n">
        <x:v>391.797</x:v>
      </x:c>
      <x:c r="N614" s="38" t="n">
        <x:v>595.25</x:v>
      </x:c>
      <x:c r="O614" s="38" t="n">
        <x:v>412.73</x:v>
      </x:c>
      <x:c r="P614" s="38" t="n">
        <x:v>400</x:v>
      </x:c>
      <x:c r="Q614" s="38" t="n">
        <x:v>19.88</x:v>
      </x:c>
      <x:c r="R614" s="38" t="n">
        <x:v>43.7475</x:v>
      </x:c>
      <x:c r="S614" s="38" t="n">
        <x:v>84.13</x:v>
      </x:c>
      <x:c r="T614" s="40" t="n">
        <x:v>21.3</x:v>
      </x:c>
      <x:c r="U614" s="40" t="n">
        <x:v>0.31</x:v>
      </x:c>
      <x:c r="V614" s="38" t="n">
        <x:f>L614*(1-T614/100)*(1-U614/100)</x:f>
        <x:v>227.20395551820002</x:v>
      </x:c>
      <x:c r="W614" s="38" t="n">
        <x:f>G614*N614</x:f>
        <x:v>120962.53825</x:v>
      </x:c>
      <x:c r="X614" s="38" t="n">
        <x:f>H614*O614</x:f>
        <x:v>26512.124280000004</x:v>
      </x:c>
      <x:c r="Y614" s="38" t="n">
        <x:f>I614*P614</x:f>
        <x:v>4982.8</x:v>
      </x:c>
      <x:c r="Z614" s="38" t="n">
        <x:f>J614*Q614+K614*P614</x:f>
        <x:v>1259.21416</x:v>
      </x:c>
      <x:c r="AA614" s="38" t="n">
        <x:f>M614*R614</x:f>
        <x:v>17140.139257500003</x:v>
      </x:c>
      <x:c r="AB614" s="38" t="n">
        <x:f>SUM(W614:AA614)</x:f>
        <x:v>170856.8159475</x:v>
      </x:c>
      <x:c r="AC614" s="38" t="n">
        <x:v>17.96</x:v>
      </x:c>
      <x:c r="AD614" s="38" t="n">
        <x:v>174.33</x:v>
      </x:c>
      <x:c r="AE614" s="38" t="n">
        <x:v>72.59</x:v>
      </x:c>
      <x:c r="AF614" s="38" t="n">
        <x:v>4.8148</x:v>
      </x:c>
      <x:c r="AG614" s="38" t="n">
        <x:v>5.17</x:v>
      </x:c>
      <x:c r="AH614" s="38" t="n">
        <x:f>IF(E614="Fason",L614*S614,0)</x:f>
        <x:v>24363.54322</x:v>
      </x:c>
      <x:c r="AI614" s="38" t="n">
        <x:f>IF(E614="Kurum içi",AC614*AD614+AE614*AF614+AB614*12%,0)</x:f>
        <x:v>0</x:v>
      </x:c>
      <x:c r="AJ614" s="38" t="n">
        <x:f>V614*AG614</x:f>
        <x:v>1174.644450029094</x:v>
      </x:c>
      <x:c r="AK614" s="38" t="n">
        <x:f>AB614*2%</x:f>
        <x:v>3417.1363189500003</x:v>
      </x:c>
      <x:c r="AL614" s="38" t="n">
        <x:f>AB614+AH614+AI614+AJ614+AK614</x:f>
        <x:v>199812.1399364791</x:v>
      </x:c>
      <x:c r="AM614" s="38" t="n">
        <x:f>AL614/V614</x:f>
        <x:v>879.4395303583228</x:v>
      </x:c>
      <x:c r="AN614" s="40" t="n">
        <x:f>(W614+X614)/AL614*100</x:f>
        <x:v>73.80665788219007</x:v>
      </x:c>
      <x:c r="AO614" s="28" t="str">
        <x:v>R01-R20; ilgili satırdaki bölgesel fiyat ve maliyet varsayımları</x:v>
      </x:c>
      <x:c r="AP614" s="28" t="str">
        <x:v>Girdi miktarları, alım fiyatı değişimi, fason bedeli ve parti sonucu simüle edilmiştir; işletme kaydı değildir.</x:v>
      </x:c>
    </x:row>
    <x:row r="615" ht="22" customHeight="1">
      <x:c r="A615" t="str">
        <x:v>SUC-0614</x:v>
      </x:c>
      <x:c r="B615" s="36" t="n">
        <x:v>46272</x:v>
      </x:c>
      <x:c r="C615" t="str">
        <x:v>Marmara</x:v>
      </x:c>
      <x:c r="D615" t="str">
        <x:v>ERZURUM_CI</x:v>
      </x:c>
      <x:c r="E615" t="str">
        <x:v>Kurum içi</x:v>
      </x:c>
      <x:c r="F615" s="42" t="str">
        <x:v>SENTETİK/SİMÜLE — gerçek parti kaydı değildir</x:v>
      </x:c>
      <x:c r="G615" s="38" t="n">
        <x:v>202.456</x:v>
      </x:c>
      <x:c r="H615" s="38" t="n">
        <x:v>37.066</x:v>
      </x:c>
      <x:c r="I615" s="38" t="n">
        <x:v>11.684</x:v>
      </x:c>
      <x:c r="J615" s="38" t="n">
        <x:v>4.442</x:v>
      </x:c>
      <x:c r="K615" s="38" t="n">
        <x:v>0.181</x:v>
      </x:c>
      <x:c r="L615" s="38" t="n">
        <x:f>SUM(G615:K615)</x:f>
        <x:v>255.829</x:v>
      </x:c>
      <x:c r="M615" s="38" t="n">
        <x:v>340.054</x:v>
      </x:c>
      <x:c r="N615" s="38" t="n">
        <x:v>602.53</x:v>
      </x:c>
      <x:c r="O615" s="38" t="n">
        <x:v>437.73</x:v>
      </x:c>
      <x:c r="P615" s="38" t="n">
        <x:v>400</x:v>
      </x:c>
      <x:c r="Q615" s="38" t="n">
        <x:v>19.88</x:v>
      </x:c>
      <x:c r="R615" s="38" t="n">
        <x:v>43.7475</x:v>
      </x:c>
      <x:c r="S615" s="38" t="n">
        <x:v>70.55</x:v>
      </x:c>
      <x:c r="T615" s="40" t="n">
        <x:v>25.27</x:v>
      </x:c>
      <x:c r="U615" s="40" t="n">
        <x:v>0.49</x:v>
      </x:c>
      <x:c r="V615" s="38" t="n">
        <x:f>L615*(1-T615/100)*(1-U615/100)</x:f>
        <x:v>190.24422474267</x:v>
      </x:c>
      <x:c r="W615" s="38" t="n">
        <x:f>G615*N615</x:f>
        <x:v>121985.81367999999</x:v>
      </x:c>
      <x:c r="X615" s="38" t="n">
        <x:f>H615*O615</x:f>
        <x:v>16224.900180000002</x:v>
      </x:c>
      <x:c r="Y615" s="38" t="n">
        <x:f>I615*P615</x:f>
        <x:v>4673.599999999999</x:v>
      </x:c>
      <x:c r="Z615" s="38" t="n">
        <x:f>J615*Q615+K615*P615</x:f>
        <x:v>160.70695999999998</x:v>
      </x:c>
      <x:c r="AA615" s="38" t="n">
        <x:f>M615*R615</x:f>
        <x:v>14876.512365</x:v>
      </x:c>
      <x:c r="AB615" s="38" t="n">
        <x:f>SUM(W615:AA615)</x:f>
        <x:v>157921.533185</x:v>
      </x:c>
      <x:c r="AC615" s="38" t="n">
        <x:v>11.79</x:v>
      </x:c>
      <x:c r="AD615" s="38" t="n">
        <x:v>174.33</x:v>
      </x:c>
      <x:c r="AE615" s="38" t="n">
        <x:v>92.85</x:v>
      </x:c>
      <x:c r="AF615" s="38" t="n">
        <x:v>4.8148</x:v>
      </x:c>
      <x:c r="AG615" s="38" t="n">
        <x:v>5.55</x:v>
      </x:c>
      <x:c r="AH615" s="38" t="n">
        <x:f>IF(E615="Fason",L615*S615,0)</x:f>
        <x:v>0</x:v>
      </x:c>
      <x:c r="AI615" s="38" t="n">
        <x:f>IF(E615="Kurum içi",AC615*AD615+AE615*AF615+AB615*12%,0)</x:f>
        <x:v>21452.9888622</x:v>
      </x:c>
      <x:c r="AJ615" s="38" t="n">
        <x:f>V615*AG615</x:f>
        <x:v>1055.8554473218185</x:v>
      </x:c>
      <x:c r="AK615" s="38" t="n">
        <x:f>AB615*2%</x:f>
        <x:v>3158.4306637000004</x:v>
      </x:c>
      <x:c r="AL615" s="38" t="n">
        <x:f>AB615+AH615+AI615+AJ615+AK615</x:f>
        <x:v>183588.80815822183</x:v>
      </x:c>
      <x:c r="AM615" s="38" t="n">
        <x:f>AL615/V615</x:f>
        <x:v>965.0164592725456</x:v>
      </x:c>
      <x:c r="AN615" s="40" t="n">
        <x:f>(W615+X615)/AL615*100</x:f>
        <x:v>75.28275565735262</x:v>
      </x:c>
      <x:c r="AO615" s="28" t="str">
        <x:v>R01-R20; ilgili satırdaki bölgesel fiyat ve maliyet varsayımları</x:v>
      </x:c>
      <x:c r="AP615" s="28" t="str">
        <x:v>Girdi miktarları, alım fiyatı değişimi, fason bedeli ve parti sonucu simüle edilmiştir; işletme kaydı değildir.</x:v>
      </x:c>
    </x:row>
    <x:row r="616" ht="22" customHeight="1">
      <x:c r="A616" t="str">
        <x:v>SUC-0615</x:v>
      </x:c>
      <x:c r="B616" s="36" t="n">
        <x:v>46297</x:v>
      </x:c>
      <x:c r="C616" t="str">
        <x:v>Doğu Anadolu</x:v>
      </x:c>
      <x:c r="D616" t="str">
        <x:v>MEB_STANDART</x:v>
      </x:c>
      <x:c r="E616" t="str">
        <x:v>Fason</x:v>
      </x:c>
      <x:c r="F616" s="42" t="str">
        <x:v>SENTETİK/SİMÜLE — gerçek parti kaydı değildir</x:v>
      </x:c>
      <x:c r="G616" s="38" t="n">
        <x:v>78.501</x:v>
      </x:c>
      <x:c r="H616" s="38" t="n">
        <x:v>24.272</x:v>
      </x:c>
      <x:c r="I616" s="38" t="n">
        <x:v>5.456</x:v>
      </x:c>
      <x:c r="J616" s="38" t="n">
        <x:v>2.621</x:v>
      </x:c>
      <x:c r="K616" s="38" t="n">
        <x:v>1.137</x:v>
      </x:c>
      <x:c r="L616" s="38" t="n">
        <x:f>SUM(G616:K616)</x:f>
        <x:v>111.987</x:v>
      </x:c>
      <x:c r="M616" s="38" t="n">
        <x:v>134.553</x:v>
      </x:c>
      <x:c r="N616" s="38" t="n">
        <x:v>596.02</x:v>
      </x:c>
      <x:c r="O616" s="38" t="n">
        <x:v>428.27</x:v>
      </x:c>
      <x:c r="P616" s="38" t="n">
        <x:v>669.9</x:v>
      </x:c>
      <x:c r="Q616" s="38" t="n">
        <x:v>19.88</x:v>
      </x:c>
      <x:c r="R616" s="38" t="n">
        <x:v>43.7475</x:v>
      </x:c>
      <x:c r="S616" s="38" t="n">
        <x:v>108.56</x:v>
      </x:c>
      <x:c r="T616" s="40" t="n">
        <x:v>21.17</x:v>
      </x:c>
      <x:c r="U616" s="40" t="n">
        <x:v>0.52</x:v>
      </x:c>
      <x:c r="V616" s="38" t="n">
        <x:f>L616*(1-T616/100)*(1-U616/100)</x:f>
        <x:v>87.82029946908</x:v>
      </x:c>
      <x:c r="W616" s="38" t="n">
        <x:f>G616*N616</x:f>
        <x:v>46788.166020000004</x:v>
      </x:c>
      <x:c r="X616" s="38" t="n">
        <x:f>H616*O616</x:f>
        <x:v>10394.969439999999</x:v>
      </x:c>
      <x:c r="Y616" s="38" t="n">
        <x:f>I616*P616</x:f>
        <x:v>3654.9744</x:v>
      </x:c>
      <x:c r="Z616" s="38" t="n">
        <x:f>J616*Q616+K616*P616</x:f>
        <x:v>813.78178</x:v>
      </x:c>
      <x:c r="AA616" s="38" t="n">
        <x:f>M616*R616</x:f>
        <x:v>5886.3573675</x:v>
      </x:c>
      <x:c r="AB616" s="38" t="n">
        <x:f>SUM(W616:AA616)</x:f>
        <x:v>67538.2490075</x:v>
      </x:c>
      <x:c r="AC616" s="38" t="n">
        <x:v>5.18</x:v>
      </x:c>
      <x:c r="AD616" s="38" t="n">
        <x:v>174.33</x:v>
      </x:c>
      <x:c r="AE616" s="38" t="n">
        <x:v>46.09</x:v>
      </x:c>
      <x:c r="AF616" s="38" t="n">
        <x:v>4.8148</x:v>
      </x:c>
      <x:c r="AG616" s="38" t="n">
        <x:v>5.67</x:v>
      </x:c>
      <x:c r="AH616" s="38" t="n">
        <x:f>IF(E616="Fason",L616*S616,0)</x:f>
        <x:v>12157.308719999999</x:v>
      </x:c>
      <x:c r="AI616" s="38" t="n">
        <x:f>IF(E616="Kurum içi",AC616*AD616+AE616*AF616+AB616*12%,0)</x:f>
        <x:v>0</x:v>
      </x:c>
      <x:c r="AJ616" s="38" t="n">
        <x:f>V616*AG616</x:f>
        <x:v>497.9410979896836</x:v>
      </x:c>
      <x:c r="AK616" s="38" t="n">
        <x:f>AB616*2%</x:f>
        <x:v>1350.76498015</x:v>
      </x:c>
      <x:c r="AL616" s="38" t="n">
        <x:f>AB616+AH616+AI616+AJ616+AK616</x:f>
        <x:v>81544.26380563967</x:v>
      </x:c>
      <x:c r="AM616" s="38" t="n">
        <x:f>AL616/V616</x:f>
        <x:v>928.5354786833765</x:v>
      </x:c>
      <x:c r="AN616" s="40" t="n">
        <x:f>(W616+X616)/AL616*100</x:f>
        <x:v>70.12527036395313</x:v>
      </x:c>
      <x:c r="AO616" s="28" t="str">
        <x:v>R01-R20; ilgili satırdaki bölgesel fiyat ve maliyet varsayımları</x:v>
      </x:c>
      <x:c r="AP616" s="28" t="str">
        <x:v>Girdi miktarları, alım fiyatı değişimi, fason bedeli ve parti sonucu simüle edilmiştir; işletme kaydı değildir.</x:v>
      </x:c>
    </x:row>
    <x:row r="617" ht="22" customHeight="1">
      <x:c r="A617" t="str">
        <x:v>SUC-0616</x:v>
      </x:c>
      <x:c r="B617" s="36" t="n">
        <x:v>46301</x:v>
      </x:c>
      <x:c r="C617" t="str">
        <x:v>Akdeniz</x:v>
      </x:c>
      <x:c r="D617" t="str">
        <x:v>ERZURUM_CI</x:v>
      </x:c>
      <x:c r="E617" t="str">
        <x:v>Fason</x:v>
      </x:c>
      <x:c r="F617" s="42" t="str">
        <x:v>SENTETİK/SİMÜLE — gerçek parti kaydı değildir</x:v>
      </x:c>
      <x:c r="G617" s="38" t="n">
        <x:v>384.67</x:v>
      </x:c>
      <x:c r="H617" s="38" t="n">
        <x:v>70.122</x:v>
      </x:c>
      <x:c r="I617" s="38" t="n">
        <x:v>24.278</x:v>
      </x:c>
      <x:c r="J617" s="38" t="n">
        <x:v>7.091</x:v>
      </x:c>
      <x:c r="K617" s="38" t="n">
        <x:v>0.639</x:v>
      </x:c>
      <x:c r="L617" s="38" t="n">
        <x:f>SUM(G617:K617)</x:f>
        <x:v>486.80000000000007</x:v>
      </x:c>
      <x:c r="M617" s="38" t="n">
        <x:v>613.304</x:v>
      </x:c>
      <x:c r="N617" s="38" t="n">
        <x:v>583.72</x:v>
      </x:c>
      <x:c r="O617" s="38" t="n">
        <x:v>477.3</x:v>
      </x:c>
      <x:c r="P617" s="38" t="n">
        <x:v>400</x:v>
      </x:c>
      <x:c r="Q617" s="38" t="n">
        <x:v>19.88</x:v>
      </x:c>
      <x:c r="R617" s="38" t="n">
        <x:v>43.7475</x:v>
      </x:c>
      <x:c r="S617" s="38" t="n">
        <x:v>95.52</x:v>
      </x:c>
      <x:c r="T617" s="40" t="n">
        <x:v>17</x:v>
      </x:c>
      <x:c r="U617" s="40" t="n">
        <x:v>1.24</x:v>
      </x:c>
      <x:c r="V617" s="38" t="n">
        <x:f>L617*(1-T617/100)*(1-U617/100)</x:f>
        <x:v>399.03385440000005</x:v>
      </x:c>
      <x:c r="W617" s="38" t="n">
        <x:f>G617*N617</x:f>
        <x:v>224539.57240000003</x:v>
      </x:c>
      <x:c r="X617" s="38" t="n">
        <x:f>H617*O617</x:f>
        <x:v>33469.2306</x:v>
      </x:c>
      <x:c r="Y617" s="38" t="n">
        <x:f>I617*P617</x:f>
        <x:v>9711.199999999999</x:v>
      </x:c>
      <x:c r="Z617" s="38" t="n">
        <x:f>J617*Q617+K617*P617</x:f>
        <x:v>396.56908</x:v>
      </x:c>
      <x:c r="AA617" s="38" t="n">
        <x:f>M617*R617</x:f>
        <x:v>26830.51674</x:v>
      </x:c>
      <x:c r="AB617" s="38" t="n">
        <x:f>SUM(W617:AA617)</x:f>
        <x:v>294947.08882</x:v>
      </x:c>
      <x:c r="AC617" s="38" t="n">
        <x:v>25.38</x:v>
      </x:c>
      <x:c r="AD617" s="38" t="n">
        <x:v>174.33</x:v>
      </x:c>
      <x:c r="AE617" s="38" t="n">
        <x:v>183.15</x:v>
      </x:c>
      <x:c r="AF617" s="38" t="n">
        <x:v>4.8148</x:v>
      </x:c>
      <x:c r="AG617" s="38" t="n">
        <x:v>5.63</x:v>
      </x:c>
      <x:c r="AH617" s="38" t="n">
        <x:f>IF(E617="Fason",L617*S617,0)</x:f>
        <x:v>46499.136000000006</x:v>
      </x:c>
      <x:c r="AI617" s="38" t="n">
        <x:f>IF(E617="Kurum içi",AC617*AD617+AE617*AF617+AB617*12%,0)</x:f>
        <x:v>0</x:v>
      </x:c>
      <x:c r="AJ617" s="38" t="n">
        <x:f>V617*AG617</x:f>
        <x:v>2246.560600272</x:v>
      </x:c>
      <x:c r="AK617" s="38" t="n">
        <x:f>AB617*2%</x:f>
        <x:v>5898.9417764</x:v>
      </x:c>
      <x:c r="AL617" s="38" t="n">
        <x:f>AB617+AH617+AI617+AJ617+AK617</x:f>
        <x:v>349591.727196672</x:v>
      </x:c>
      <x:c r="AM617" s="38" t="n">
        <x:f>AL617/V617</x:f>
        <x:v>876.0954072990353</x:v>
      </x:c>
      <x:c r="AN617" s="40" t="n">
        <x:f>(W617+X617)/AL617*100</x:f>
        <x:v>73.80289146683681</x:v>
      </x:c>
      <x:c r="AO617" s="28" t="str">
        <x:v>R01-R20; ilgili satırdaki bölgesel fiyat ve maliyet varsayımları</x:v>
      </x:c>
      <x:c r="AP617" s="28" t="str">
        <x:v>Girdi miktarları, alım fiyatı değişimi, fason bedeli ve parti sonucu simüle edilmiştir; işletme kaydı değildir.</x:v>
      </x:c>
    </x:row>
    <x:row r="618" ht="22" customHeight="1">
      <x:c r="A618" t="str">
        <x:v>SUC-0617</x:v>
      </x:c>
      <x:c r="B618" s="36" t="n">
        <x:v>46301</x:v>
      </x:c>
      <x:c r="C618" t="str">
        <x:v>İç Anadolu</x:v>
      </x:c>
      <x:c r="D618" t="str">
        <x:v>ERZURUM_CI</x:v>
      </x:c>
      <x:c r="E618" t="str">
        <x:v>Kurum içi</x:v>
      </x:c>
      <x:c r="F618" s="42" t="str">
        <x:v>SENTETİK/SİMÜLE — gerçek parti kaydı değildir</x:v>
      </x:c>
      <x:c r="G618" s="38" t="n">
        <x:v>339.253</x:v>
      </x:c>
      <x:c r="H618" s="38" t="n">
        <x:v>55.72</x:v>
      </x:c>
      <x:c r="I618" s="38" t="n">
        <x:v>18.776</x:v>
      </x:c>
      <x:c r="J618" s="38" t="n">
        <x:v>6.56</x:v>
      </x:c>
      <x:c r="K618" s="38" t="n">
        <x:v>0.28</x:v>
      </x:c>
      <x:c r="L618" s="38" t="n">
        <x:f>SUM(G618:K618)</x:f>
        <x:v>420.58899999999994</x:v>
      </x:c>
      <x:c r="M618" s="38" t="n">
        <x:v>538.405</x:v>
      </x:c>
      <x:c r="N618" s="38" t="n">
        <x:v>606.55</x:v>
      </x:c>
      <x:c r="O618" s="38" t="n">
        <x:v>433.17</x:v>
      </x:c>
      <x:c r="P618" s="38" t="n">
        <x:v>550</x:v>
      </x:c>
      <x:c r="Q618" s="38" t="n">
        <x:v>19.88</x:v>
      </x:c>
      <x:c r="R618" s="38" t="n">
        <x:v>43.7475</x:v>
      </x:c>
      <x:c r="S618" s="38" t="n">
        <x:v>120.07</x:v>
      </x:c>
      <x:c r="T618" s="40" t="n">
        <x:v>20.76</x:v>
      </x:c>
      <x:c r="U618" s="40" t="n">
        <x:v>0.36</x:v>
      </x:c>
      <x:c r="V618" s="38" t="n">
        <x:f>L618*(1-T618/100)*(1-U618/100)</x:f>
        <x:v>332.07493459503996</x:v>
      </x:c>
      <x:c r="W618" s="38" t="n">
        <x:f>G618*N618</x:f>
        <x:v>205773.90714999998</x:v>
      </x:c>
      <x:c r="X618" s="38" t="n">
        <x:f>H618*O618</x:f>
        <x:v>24136.2324</x:v>
      </x:c>
      <x:c r="Y618" s="38" t="n">
        <x:f>I618*P618</x:f>
        <x:v>10326.8</x:v>
      </x:c>
      <x:c r="Z618" s="38" t="n">
        <x:f>J618*Q618+K618*P618</x:f>
        <x:v>284.4128</x:v>
      </x:c>
      <x:c r="AA618" s="38" t="n">
        <x:f>M618*R618</x:f>
        <x:v>23553.8727375</x:v>
      </x:c>
      <x:c r="AB618" s="38" t="n">
        <x:f>SUM(W618:AA618)</x:f>
        <x:v>264075.22508749994</x:v>
      </x:c>
      <x:c r="AC618" s="38" t="n">
        <x:v>27.9</x:v>
      </x:c>
      <x:c r="AD618" s="38" t="n">
        <x:v>174.33</x:v>
      </x:c>
      <x:c r="AE618" s="38" t="n">
        <x:v>195.82</x:v>
      </x:c>
      <x:c r="AF618" s="38" t="n">
        <x:v>4.8148</x:v>
      </x:c>
      <x:c r="AG618" s="38" t="n">
        <x:v>5.11</x:v>
      </x:c>
      <x:c r="AH618" s="38" t="n">
        <x:f>IF(E618="Fason",L618*S618,0)</x:f>
        <x:v>0</x:v>
      </x:c>
      <x:c r="AI618" s="38" t="n">
        <x:f>IF(E618="Kurum içi",AC618*AD618+AE618*AF618+AB618*12%,0)</x:f>
        <x:v>37495.66814649999</x:v>
      </x:c>
      <x:c r="AJ618" s="38" t="n">
        <x:f>V618*AG618</x:f>
        <x:v>1696.9029157806542</x:v>
      </x:c>
      <x:c r="AK618" s="38" t="n">
        <x:f>AB618*2%</x:f>
        <x:v>5281.504501749999</x:v>
      </x:c>
      <x:c r="AL618" s="38" t="n">
        <x:f>AB618+AH618+AI618+AJ618+AK618</x:f>
        <x:v>308549.3006515306</x:v>
      </x:c>
      <x:c r="AM618" s="38" t="n">
        <x:f>AL618/V618</x:f>
        <x:v>929.15564683556</x:v>
      </x:c>
      <x:c r="AN618" s="40" t="n">
        <x:f>(W618+X618)/AL618*100</x:f>
        <x:v>74.5132590041602</x:v>
      </x:c>
      <x:c r="AO618" s="28" t="str">
        <x:v>R01-R20; ilgili satırdaki bölgesel fiyat ve maliyet varsayımları</x:v>
      </x:c>
      <x:c r="AP618" s="28" t="str">
        <x:v>Girdi miktarları, alım fiyatı değişimi, fason bedeli ve parti sonucu simüle edilmiştir; işletme kaydı değildir.</x:v>
      </x:c>
    </x:row>
    <x:row r="619" ht="22" customHeight="1">
      <x:c r="A619" t="str">
        <x:v>SUC-0618</x:v>
      </x:c>
      <x:c r="B619" s="36" t="n">
        <x:v>46278</x:v>
      </x:c>
      <x:c r="C619" t="str">
        <x:v>Güneydoğu Anadolu</x:v>
      </x:c>
      <x:c r="D619" t="str">
        <x:v>ERZURUM_CI</x:v>
      </x:c>
      <x:c r="E619" t="str">
        <x:v>Fason</x:v>
      </x:c>
      <x:c r="F619" s="42" t="str">
        <x:v>SENTETİK/SİMÜLE — gerçek parti kaydı değildir</x:v>
      </x:c>
      <x:c r="G619" s="38" t="n">
        <x:v>72.375</x:v>
      </x:c>
      <x:c r="H619" s="38" t="n">
        <x:v>11.758</x:v>
      </x:c>
      <x:c r="I619" s="38" t="n">
        <x:v>4.478</x:v>
      </x:c>
      <x:c r="J619" s="38" t="n">
        <x:v>1.357</x:v>
      </x:c>
      <x:c r="K619" s="38" t="n">
        <x:v>0.073</x:v>
      </x:c>
      <x:c r="L619" s="38" t="n">
        <x:f>SUM(G619:K619)</x:f>
        <x:v>90.04099999999998</x:v>
      </x:c>
      <x:c r="M619" s="38" t="n">
        <x:v>112.129</x:v>
      </x:c>
      <x:c r="N619" s="38" t="n">
        <x:v>581.86</x:v>
      </x:c>
      <x:c r="O619" s="38" t="n">
        <x:v>476.88</x:v>
      </x:c>
      <x:c r="P619" s="38" t="n">
        <x:v>400</x:v>
      </x:c>
      <x:c r="Q619" s="38" t="n">
        <x:v>19.88</x:v>
      </x:c>
      <x:c r="R619" s="38" t="n">
        <x:v>43.7475</x:v>
      </x:c>
      <x:c r="S619" s="38" t="n">
        <x:v>66.66</x:v>
      </x:c>
      <x:c r="T619" s="40" t="n">
        <x:v>17.08</x:v>
      </x:c>
      <x:c r="U619" s="40" t="n">
        <x:v>0.44</x:v>
      </x:c>
      <x:c r="V619" s="38" t="n">
        <x:f>L619*(1-T619/100)*(1-U619/100)</x:f>
        <x:v>74.33348441231999</x:v>
      </x:c>
      <x:c r="W619" s="38" t="n">
        <x:f>G619*N619</x:f>
        <x:v>42112.1175</x:v>
      </x:c>
      <x:c r="X619" s="38" t="n">
        <x:f>H619*O619</x:f>
        <x:v>5607.15504</x:v>
      </x:c>
      <x:c r="Y619" s="38" t="n">
        <x:f>I619*P619</x:f>
        <x:v>1791.1999999999998</x:v>
      </x:c>
      <x:c r="Z619" s="38" t="n">
        <x:f>J619*Q619+K619*P619</x:f>
        <x:v>56.17716</x:v>
      </x:c>
      <x:c r="AA619" s="38" t="n">
        <x:f>M619*R619</x:f>
        <x:v>4905.3634275</x:v>
      </x:c>
      <x:c r="AB619" s="38" t="n">
        <x:f>SUM(W619:AA619)</x:f>
        <x:v>54472.013127499995</x:v>
      </x:c>
      <x:c r="AC619" s="38" t="n">
        <x:v>3.79</x:v>
      </x:c>
      <x:c r="AD619" s="38" t="n">
        <x:v>174.33</x:v>
      </x:c>
      <x:c r="AE619" s="38" t="n">
        <x:v>31.53</x:v>
      </x:c>
      <x:c r="AF619" s="38" t="n">
        <x:v>4.8148</x:v>
      </x:c>
      <x:c r="AG619" s="38" t="n">
        <x:v>5.36</x:v>
      </x:c>
      <x:c r="AH619" s="38" t="n">
        <x:f>IF(E619="Fason",L619*S619,0)</x:f>
        <x:v>6002.133059999998</x:v>
      </x:c>
      <x:c r="AI619" s="38" t="n">
        <x:f>IF(E619="Kurum içi",AC619*AD619+AE619*AF619+AB619*12%,0)</x:f>
        <x:v>0</x:v>
      </x:c>
      <x:c r="AJ619" s="38" t="n">
        <x:f>V619*AG619</x:f>
        <x:v>398.42747645003516</x:v>
      </x:c>
      <x:c r="AK619" s="38" t="n">
        <x:f>AB619*2%</x:f>
        <x:v>1089.44026255</x:v>
      </x:c>
      <x:c r="AL619" s="38" t="n">
        <x:f>AB619+AH619+AI619+AJ619+AK619</x:f>
        <x:v>61962.01392650003</x:v>
      </x:c>
      <x:c r="AM619" s="38" t="n">
        <x:f>AL619/V619</x:f>
        <x:v>833.5679998909144</x:v>
      </x:c>
      <x:c r="AN619" s="40" t="n">
        <x:f>(W619+X619)/AL619*100</x:f>
        <x:v>77.0137532918234</x:v>
      </x:c>
      <x:c r="AO619" s="28" t="str">
        <x:v>R01-R20; ilgili satırdaki bölgesel fiyat ve maliyet varsayımları</x:v>
      </x:c>
      <x:c r="AP619" s="28" t="str">
        <x:v>Girdi miktarları, alım fiyatı değişimi, fason bedeli ve parti sonucu simüle edilmiştir; işletme kaydı değildir.</x:v>
      </x:c>
    </x:row>
    <x:row r="620" ht="22" customHeight="1">
      <x:c r="A620" t="str">
        <x:v>SUC-0619</x:v>
      </x:c>
      <x:c r="B620" s="36" t="n">
        <x:v>46271</x:v>
      </x:c>
      <x:c r="C620" t="str">
        <x:v>Karadeniz</x:v>
      </x:c>
      <x:c r="D620" t="str">
        <x:v>MEB_STANDART</x:v>
      </x:c>
      <x:c r="E620" t="str">
        <x:v>Kurum içi</x:v>
      </x:c>
      <x:c r="F620" s="42" t="str">
        <x:v>SENTETİK/SİMÜLE — gerçek parti kaydı değildir</x:v>
      </x:c>
      <x:c r="G620" s="38" t="n">
        <x:v>179.178</x:v>
      </x:c>
      <x:c r="H620" s="38" t="n">
        <x:v>58.704</x:v>
      </x:c>
      <x:c r="I620" s="38" t="n">
        <x:v>11.621</x:v>
      </x:c>
      <x:c r="J620" s="38" t="n">
        <x:v>6.235</x:v>
      </x:c>
      <x:c r="K620" s="38" t="n">
        <x:v>2.567</x:v>
      </x:c>
      <x:c r="L620" s="38" t="n">
        <x:f>SUM(G620:K620)</x:f>
        <x:v>258.305</x:v>
      </x:c>
      <x:c r="M620" s="38" t="n">
        <x:v>313.792</x:v>
      </x:c>
      <x:c r="N620" s="38" t="n">
        <x:v>588.85</x:v>
      </x:c>
      <x:c r="O620" s="38" t="n">
        <x:v>411.79</x:v>
      </x:c>
      <x:c r="P620" s="38" t="n">
        <x:v>550</x:v>
      </x:c>
      <x:c r="Q620" s="38" t="n">
        <x:v>19.88</x:v>
      </x:c>
      <x:c r="R620" s="38" t="n">
        <x:v>43.7475</x:v>
      </x:c>
      <x:c r="S620" s="38" t="n">
        <x:v>87.52</x:v>
      </x:c>
      <x:c r="T620" s="40" t="n">
        <x:v>28.45</x:v>
      </x:c>
      <x:c r="U620" s="40" t="n">
        <x:v>0.94</x:v>
      </x:c>
      <x:c r="V620" s="38" t="n">
        <x:f>L620*(1-T620/100)*(1-U620/100)</x:f>
        <x:v>183.0799455615</x:v>
      </x:c>
      <x:c r="W620" s="38" t="n">
        <x:f>G620*N620</x:f>
        <x:v>105508.9653</x:v>
      </x:c>
      <x:c r="X620" s="38" t="n">
        <x:f>H620*O620</x:f>
        <x:v>24173.72016</x:v>
      </x:c>
      <x:c r="Y620" s="38" t="n">
        <x:f>I620*P620</x:f>
        <x:v>6391.55</x:v>
      </x:c>
      <x:c r="Z620" s="38" t="n">
        <x:f>J620*Q620+K620*P620</x:f>
        <x:v>1535.8018000000002</x:v>
      </x:c>
      <x:c r="AA620" s="38" t="n">
        <x:f>M620*R620</x:f>
        <x:v>13727.61552</x:v>
      </x:c>
      <x:c r="AB620" s="38" t="n">
        <x:f>SUM(W620:AA620)</x:f>
        <x:v>151337.65277999997</x:v>
      </x:c>
      <x:c r="AC620" s="38" t="n">
        <x:v>16.32</x:v>
      </x:c>
      <x:c r="AD620" s="38" t="n">
        <x:v>174.33</x:v>
      </x:c>
      <x:c r="AE620" s="38" t="n">
        <x:v>93.81</x:v>
      </x:c>
      <x:c r="AF620" s="38" t="n">
        <x:v>4.8148</x:v>
      </x:c>
      <x:c r="AG620" s="38" t="n">
        <x:v>5.62</x:v>
      </x:c>
      <x:c r="AH620" s="38" t="n">
        <x:f>IF(E620="Fason",L620*S620,0)</x:f>
        <x:v>0</x:v>
      </x:c>
      <x:c r="AI620" s="38" t="n">
        <x:f>IF(E620="Kurum içi",AC620*AD620+AE620*AF620+AB620*12%,0)</x:f>
        <x:v>21457.2603216</x:v>
      </x:c>
      <x:c r="AJ620" s="38" t="n">
        <x:f>V620*AG620</x:f>
        <x:v>1028.90929405563</x:v>
      </x:c>
      <x:c r="AK620" s="38" t="n">
        <x:f>AB620*2%</x:f>
        <x:v>3026.7530555999997</x:v>
      </x:c>
      <x:c r="AL620" s="38" t="n">
        <x:f>AB620+AH620+AI620+AJ620+AK620</x:f>
        <x:v>176850.5754512556</x:v>
      </x:c>
      <x:c r="AM620" s="38" t="n">
        <x:f>AL620/V620</x:f>
        <x:v>965.9745905476477</x:v>
      </x:c>
      <x:c r="AN620" s="40" t="n">
        <x:f>(W620+X620)/AL620*100</x:f>
        <x:v>73.32895871506155</x:v>
      </x:c>
      <x:c r="AO620" s="28" t="str">
        <x:v>R01-R20; ilgili satırdaki bölgesel fiyat ve maliyet varsayımları</x:v>
      </x:c>
      <x:c r="AP620" s="28" t="str">
        <x:v>Girdi miktarları, alım fiyatı değişimi, fason bedeli ve parti sonucu simüle edilmiştir; işletme kaydı değildir.</x:v>
      </x:c>
    </x:row>
    <x:row r="621" ht="22" customHeight="1">
      <x:c r="A621" t="str">
        <x:v>SUC-0620</x:v>
      </x:c>
      <x:c r="B621" s="36" t="n">
        <x:v>46302</x:v>
      </x:c>
      <x:c r="C621" t="str">
        <x:v>Ege</x:v>
      </x:c>
      <x:c r="D621" t="str">
        <x:v>MEB_STANDART</x:v>
      </x:c>
      <x:c r="E621" t="str">
        <x:v>Kurum içi</x:v>
      </x:c>
      <x:c r="F621" s="42" t="str">
        <x:v>SENTETİK/SİMÜLE — gerçek parti kaydı değildir</x:v>
      </x:c>
      <x:c r="G621" s="38" t="n">
        <x:v>211.823</x:v>
      </x:c>
      <x:c r="H621" s="38" t="n">
        <x:v>67.409</x:v>
      </x:c>
      <x:c r="I621" s="38" t="n">
        <x:v>13.121</x:v>
      </x:c>
      <x:c r="J621" s="38" t="n">
        <x:v>7.484</x:v>
      </x:c>
      <x:c r="K621" s="38" t="n">
        <x:v>2.893</x:v>
      </x:c>
      <x:c r="L621" s="38" t="n">
        <x:f>SUM(G621:K621)</x:f>
        <x:v>302.72999999999996</x:v>
      </x:c>
      <x:c r="M621" s="38" t="n">
        <x:v>386.462</x:v>
      </x:c>
      <x:c r="N621" s="38" t="n">
        <x:v>588.98</x:v>
      </x:c>
      <x:c r="O621" s="38" t="n">
        <x:v>477.01</x:v>
      </x:c>
      <x:c r="P621" s="38" t="n">
        <x:v>669.9</x:v>
      </x:c>
      <x:c r="Q621" s="38" t="n">
        <x:v>19.88</x:v>
      </x:c>
      <x:c r="R621" s="38" t="n">
        <x:v>43.7475</x:v>
      </x:c>
      <x:c r="S621" s="38" t="n">
        <x:v>85.84</x:v>
      </x:c>
      <x:c r="T621" s="40" t="n">
        <x:v>19.09</x:v>
      </x:c>
      <x:c r="U621" s="40" t="n">
        <x:v>1.34</x:v>
      </x:c>
      <x:c r="V621" s="38" t="n">
        <x:f>L621*(1-T621/100)*(1-U621/100)</x:f>
        <x:v>241.6566625038</x:v>
      </x:c>
      <x:c r="W621" s="38" t="n">
        <x:f>G621*N621</x:f>
        <x:v>124759.51054</x:v>
      </x:c>
      <x:c r="X621" s="38" t="n">
        <x:f>H621*O621</x:f>
        <x:v>32154.76709</x:v>
      </x:c>
      <x:c r="Y621" s="38" t="n">
        <x:f>I621*P621</x:f>
        <x:v>8789.7579</x:v>
      </x:c>
      <x:c r="Z621" s="38" t="n">
        <x:f>J621*Q621+K621*P621</x:f>
        <x:v>2086.80262</x:v>
      </x:c>
      <x:c r="AA621" s="38" t="n">
        <x:f>M621*R621</x:f>
        <x:v>16906.746345</x:v>
      </x:c>
      <x:c r="AB621" s="38" t="n">
        <x:f>SUM(W621:AA621)</x:f>
        <x:v>184697.584495</x:v>
      </x:c>
      <x:c r="AC621" s="38" t="n">
        <x:v>16.72</x:v>
      </x:c>
      <x:c r="AD621" s="38" t="n">
        <x:v>174.33</x:v>
      </x:c>
      <x:c r="AE621" s="38" t="n">
        <x:v>137.69</x:v>
      </x:c>
      <x:c r="AF621" s="38" t="n">
        <x:v>4.8148</x:v>
      </x:c>
      <x:c r="AG621" s="38" t="n">
        <x:v>5.29</x:v>
      </x:c>
      <x:c r="AH621" s="38" t="n">
        <x:f>IF(E621="Fason",L621*S621,0)</x:f>
        <x:v>0</x:v>
      </x:c>
      <x:c r="AI621" s="38" t="n">
        <x:f>IF(E621="Kurum içi",AC621*AD621+AE621*AF621+AB621*12%,0)</x:f>
        <x:v>25741.4575514</x:v>
      </x:c>
      <x:c r="AJ621" s="38" t="n">
        <x:f>V621*AG621</x:f>
        <x:v>1278.3637446451019</x:v>
      </x:c>
      <x:c r="AK621" s="38" t="n">
        <x:f>AB621*2%</x:f>
        <x:v>3693.9516899</x:v>
      </x:c>
      <x:c r="AL621" s="38" t="n">
        <x:f>AB621+AH621+AI621+AJ621+AK621</x:f>
        <x:v>215411.35748094507</x:v>
      </x:c>
      <x:c r="AM621" s="38" t="n">
        <x:f>AL621/V621</x:f>
        <x:v>891.3942419342887</x:v>
      </x:c>
      <x:c r="AN621" s="40" t="n">
        <x:f>(W621+X621)/AL621*100</x:f>
        <x:v>72.84401317784759</x:v>
      </x:c>
      <x:c r="AO621" s="28" t="str">
        <x:v>R01-R20; ilgili satırdaki bölgesel fiyat ve maliyet varsayımları</x:v>
      </x:c>
      <x:c r="AP621" s="28" t="str">
        <x:v>Girdi miktarları, alım fiyatı değişimi, fason bedeli ve parti sonucu simüle edilmiştir; işletme kaydı değildir.</x:v>
      </x:c>
    </x:row>
    <x:row r="622" ht="22" customHeight="1">
      <x:c r="A622" t="str">
        <x:v>SUC-0621</x:v>
      </x:c>
      <x:c r="B622" s="36" t="n">
        <x:v>46290</x:v>
      </x:c>
      <x:c r="C622" t="str">
        <x:v>İç Anadolu</x:v>
      </x:c>
      <x:c r="D622" t="str">
        <x:v>MEB_STANDART</x:v>
      </x:c>
      <x:c r="E622" t="str">
        <x:v>Kurum içi</x:v>
      </x:c>
      <x:c r="F622" s="42" t="str">
        <x:v>SENTETİK/SİMÜLE — gerçek parti kaydı değildir</x:v>
      </x:c>
      <x:c r="G622" s="38" t="n">
        <x:v>172.744</x:v>
      </x:c>
      <x:c r="H622" s="38" t="n">
        <x:v>54.451</x:v>
      </x:c>
      <x:c r="I622" s="38" t="n">
        <x:v>11.631</x:v>
      </x:c>
      <x:c r="J622" s="38" t="n">
        <x:v>6.377</x:v>
      </x:c>
      <x:c r="K622" s="38" t="n">
        <x:v>2.756</x:v>
      </x:c>
      <x:c r="L622" s="38" t="n">
        <x:f>SUM(G622:K622)</x:f>
        <x:v>247.959</x:v>
      </x:c>
      <x:c r="M622" s="38" t="n">
        <x:v>303.519</x:v>
      </x:c>
      <x:c r="N622" s="38" t="n">
        <x:v>582.35</x:v>
      </x:c>
      <x:c r="O622" s="38" t="n">
        <x:v>479.64</x:v>
      </x:c>
      <x:c r="P622" s="38" t="n">
        <x:v>400</x:v>
      </x:c>
      <x:c r="Q622" s="38" t="n">
        <x:v>19.88</x:v>
      </x:c>
      <x:c r="R622" s="38" t="n">
        <x:v>43.7475</x:v>
      </x:c>
      <x:c r="S622" s="38" t="n">
        <x:v>67.46</x:v>
      </x:c>
      <x:c r="T622" s="40" t="n">
        <x:v>18.41</x:v>
      </x:c>
      <x:c r="U622" s="40" t="n">
        <x:v>1</x:v>
      </x:c>
      <x:c r="V622" s="38" t="n">
        <x:f>L622*(1-T622/100)*(1-U622/100)</x:f>
        <x:v>200.28665061899997</x:v>
      </x:c>
      <x:c r="W622" s="38" t="n">
        <x:f>G622*N622</x:f>
        <x:v>100597.4684</x:v>
      </x:c>
      <x:c r="X622" s="38" t="n">
        <x:f>H622*O622</x:f>
        <x:v>26116.87764</x:v>
      </x:c>
      <x:c r="Y622" s="38" t="n">
        <x:f>I622*P622</x:f>
        <x:v>4652.4</x:v>
      </x:c>
      <x:c r="Z622" s="38" t="n">
        <x:f>J622*Q622+K622*P622</x:f>
        <x:v>1229.1747599999999</x:v>
      </x:c>
      <x:c r="AA622" s="38" t="n">
        <x:f>M622*R622</x:f>
        <x:v>13278.1974525</x:v>
      </x:c>
      <x:c r="AB622" s="38" t="n">
        <x:f>SUM(W622:AA622)</x:f>
        <x:v>145874.1182525</x:v>
      </x:c>
      <x:c r="AC622" s="38" t="n">
        <x:v>12.01</x:v>
      </x:c>
      <x:c r="AD622" s="38" t="n">
        <x:v>174.33</x:v>
      </x:c>
      <x:c r="AE622" s="38" t="n">
        <x:v>83.22</x:v>
      </x:c>
      <x:c r="AF622" s="38" t="n">
        <x:v>4.8148</x:v>
      </x:c>
      <x:c r="AG622" s="38" t="n">
        <x:v>5.75</x:v>
      </x:c>
      <x:c r="AH622" s="38" t="n">
        <x:f>IF(E622="Fason",L622*S622,0)</x:f>
        <x:v>0</x:v>
      </x:c>
      <x:c r="AI622" s="38" t="n">
        <x:f>IF(E622="Kurum içi",AC622*AD622+AE622*AF622+AB622*12%,0)</x:f>
        <x:v>19999.285146299997</x:v>
      </x:c>
      <x:c r="AJ622" s="38" t="n">
        <x:f>V622*AG622</x:f>
        <x:v>1151.6482410592498</x:v>
      </x:c>
      <x:c r="AK622" s="38" t="n">
        <x:f>AB622*2%</x:f>
        <x:v>2917.4823650499998</x:v>
      </x:c>
      <x:c r="AL622" s="38" t="n">
        <x:f>AB622+AH622+AI622+AJ622+AK622</x:f>
        <x:v>169942.53400490925</x:v>
      </x:c>
      <x:c r="AM622" s="38" t="n">
        <x:f>AL622/V622</x:f>
        <x:v>848.4965597042534</x:v>
      </x:c>
      <x:c r="AN622" s="40" t="n">
        <x:f>(W622+X622)/AL622*100</x:f>
        <x:v>74.563055554026</x:v>
      </x:c>
      <x:c r="AO622" s="28" t="str">
        <x:v>R01-R20; ilgili satırdaki bölgesel fiyat ve maliyet varsayımları</x:v>
      </x:c>
      <x:c r="AP622" s="28" t="str">
        <x:v>Girdi miktarları, alım fiyatı değişimi, fason bedeli ve parti sonucu simüle edilmiştir; işletme kaydı değildir.</x:v>
      </x:c>
    </x:row>
    <x:row r="623" ht="22" customHeight="1">
      <x:c r="A623" t="str">
        <x:v>SUC-0622</x:v>
      </x:c>
      <x:c r="B623" s="36" t="n">
        <x:v>46296</x:v>
      </x:c>
      <x:c r="C623" t="str">
        <x:v>İç Anadolu</x:v>
      </x:c>
      <x:c r="D623" t="str">
        <x:v>MEB_STANDART</x:v>
      </x:c>
      <x:c r="E623" t="str">
        <x:v>Fason</x:v>
      </x:c>
      <x:c r="F623" s="42" t="str">
        <x:v>SENTETİK/SİMÜLE — gerçek parti kaydı değildir</x:v>
      </x:c>
      <x:c r="G623" s="38" t="n">
        <x:v>198.069</x:v>
      </x:c>
      <x:c r="H623" s="38" t="n">
        <x:v>62.724</x:v>
      </x:c>
      <x:c r="I623" s="38" t="n">
        <x:v>12.7</x:v>
      </x:c>
      <x:c r="J623" s="38" t="n">
        <x:v>7.307</x:v>
      </x:c>
      <x:c r="K623" s="38" t="n">
        <x:v>3.195</x:v>
      </x:c>
      <x:c r="L623" s="38" t="n">
        <x:f>SUM(G623:K623)</x:f>
        <x:v>283.995</x:v>
      </x:c>
      <x:c r="M623" s="38" t="n">
        <x:v>349.374</x:v>
      </x:c>
      <x:c r="N623" s="38" t="n">
        <x:v>578.02</x:v>
      </x:c>
      <x:c r="O623" s="38" t="n">
        <x:v>423.73</x:v>
      </x:c>
      <x:c r="P623" s="38" t="n">
        <x:v>400</x:v>
      </x:c>
      <x:c r="Q623" s="38" t="n">
        <x:v>19.88</x:v>
      </x:c>
      <x:c r="R623" s="38" t="n">
        <x:v>43.7475</x:v>
      </x:c>
      <x:c r="S623" s="38" t="n">
        <x:v>105.49</x:v>
      </x:c>
      <x:c r="T623" s="40" t="n">
        <x:v>21.55</x:v>
      </x:c>
      <x:c r="U623" s="40" t="n">
        <x:v>1.48</x:v>
      </x:c>
      <x:c r="V623" s="38" t="n">
        <x:f>L623*(1-T623/100)*(1-U623/100)</x:f>
        <x:v>219.49672515299997</x:v>
      </x:c>
      <x:c r="W623" s="38" t="n">
        <x:f>G623*N623</x:f>
        <x:v>114487.84337999999</x:v>
      </x:c>
      <x:c r="X623" s="38" t="n">
        <x:f>H623*O623</x:f>
        <x:v>26578.04052</x:v>
      </x:c>
      <x:c r="Y623" s="38" t="n">
        <x:f>I623*P623</x:f>
        <x:v>5080</x:v>
      </x:c>
      <x:c r="Z623" s="38" t="n">
        <x:f>J623*Q623+K623*P623</x:f>
        <x:v>1423.26316</x:v>
      </x:c>
      <x:c r="AA623" s="38" t="n">
        <x:f>M623*R623</x:f>
        <x:v>15284.239065000002</x:v>
      </x:c>
      <x:c r="AB623" s="38" t="n">
        <x:f>SUM(W623:AA623)</x:f>
        <x:v>162853.386125</x:v>
      </x:c>
      <x:c r="AC623" s="38" t="n">
        <x:v>15.93</x:v>
      </x:c>
      <x:c r="AD623" s="38" t="n">
        <x:v>174.33</x:v>
      </x:c>
      <x:c r="AE623" s="38" t="n">
        <x:v>66.37</x:v>
      </x:c>
      <x:c r="AF623" s="38" t="n">
        <x:v>4.8148</x:v>
      </x:c>
      <x:c r="AG623" s="38" t="n">
        <x:v>5.59</x:v>
      </x:c>
      <x:c r="AH623" s="38" t="n">
        <x:f>IF(E623="Fason",L623*S623,0)</x:f>
        <x:v>29958.63255</x:v>
      </x:c>
      <x:c r="AI623" s="38" t="n">
        <x:f>IF(E623="Kurum içi",AC623*AD623+AE623*AF623+AB623*12%,0)</x:f>
        <x:v>0</x:v>
      </x:c>
      <x:c r="AJ623" s="38" t="n">
        <x:f>V623*AG623</x:f>
        <x:v>1226.98669360527</x:v>
      </x:c>
      <x:c r="AK623" s="38" t="n">
        <x:f>AB623*2%</x:f>
        <x:v>3257.0677225</x:v>
      </x:c>
      <x:c r="AL623" s="38" t="n">
        <x:f>AB623+AH623+AI623+AJ623+AK623</x:f>
        <x:v>197296.07309110527</x:v>
      </x:c>
      <x:c r="AM623" s="38" t="n">
        <x:f>AL623/V623</x:f>
        <x:v>898.856568149617</x:v>
      </x:c>
      <x:c r="AN623" s="40" t="n">
        <x:f>(W623+X623)/AL623*100</x:f>
        <x:v>71.49959028067431</x:v>
      </x:c>
      <x:c r="AO623" s="28" t="str">
        <x:v>R01-R20; ilgili satırdaki bölgesel fiyat ve maliyet varsayımları</x:v>
      </x:c>
      <x:c r="AP623" s="28" t="str">
        <x:v>Girdi miktarları, alım fiyatı değişimi, fason bedeli ve parti sonucu simüle edilmiştir; işletme kaydı değildir.</x:v>
      </x:c>
    </x:row>
    <x:row r="624" ht="22" customHeight="1">
      <x:c r="A624" t="str">
        <x:v>SUC-0623</x:v>
      </x:c>
      <x:c r="B624" s="36" t="n">
        <x:v>46317</x:v>
      </x:c>
      <x:c r="C624" t="str">
        <x:v>İç Anadolu</x:v>
      </x:c>
      <x:c r="D624" t="str">
        <x:v>ERZURUM_CI</x:v>
      </x:c>
      <x:c r="E624" t="str">
        <x:v>Kurum içi</x:v>
      </x:c>
      <x:c r="F624" s="42" t="str">
        <x:v>SENTETİK/SİMÜLE — gerçek parti kaydı değildir</x:v>
      </x:c>
      <x:c r="G624" s="38" t="n">
        <x:v>372.073</x:v>
      </x:c>
      <x:c r="H624" s="38" t="n">
        <x:v>63.073</x:v>
      </x:c>
      <x:c r="I624" s="38" t="n">
        <x:v>23.175</x:v>
      </x:c>
      <x:c r="J624" s="38" t="n">
        <x:v>7.457</x:v>
      </x:c>
      <x:c r="K624" s="38" t="n">
        <x:v>0.348</x:v>
      </x:c>
      <x:c r="L624" s="38" t="n">
        <x:f>SUM(G624:K624)</x:f>
        <x:v>466.126</x:v>
      </x:c>
      <x:c r="M624" s="38" t="n">
        <x:v>608.034</x:v>
      </x:c>
      <x:c r="N624" s="38" t="n">
        <x:v>597.39</x:v>
      </x:c>
      <x:c r="O624" s="38" t="n">
        <x:v>428.33</x:v>
      </x:c>
      <x:c r="P624" s="38" t="n">
        <x:v>669.9</x:v>
      </x:c>
      <x:c r="Q624" s="38" t="n">
        <x:v>19.88</x:v>
      </x:c>
      <x:c r="R624" s="38" t="n">
        <x:v>43.7475</x:v>
      </x:c>
      <x:c r="S624" s="38" t="n">
        <x:v>90.88</x:v>
      </x:c>
      <x:c r="T624" s="40" t="n">
        <x:v>17.09</x:v>
      </x:c>
      <x:c r="U624" s="40" t="n">
        <x:v>1.66</x:v>
      </x:c>
      <x:c r="V624" s="38" t="n">
        <x:f>L624*(1-T624/100)*(1-U624/100)</x:f>
        <x:v>380.04974649443994</x:v>
      </x:c>
      <x:c r="W624" s="38" t="n">
        <x:f>G624*N624</x:f>
        <x:v>222272.68946999998</x:v>
      </x:c>
      <x:c r="X624" s="38" t="n">
        <x:f>H624*O624</x:f>
        <x:v>27016.05809</x:v>
      </x:c>
      <x:c r="Y624" s="38" t="n">
        <x:f>I624*P624</x:f>
        <x:v>15524.9325</x:v>
      </x:c>
      <x:c r="Z624" s="38" t="n">
        <x:f>J624*Q624+K624*P624</x:f>
        <x:v>381.37036</x:v>
      </x:c>
      <x:c r="AA624" s="38" t="n">
        <x:f>M624*R624</x:f>
        <x:v>26599.967415000003</x:v>
      </x:c>
      <x:c r="AB624" s="38" t="n">
        <x:f>SUM(W624:AA624)</x:f>
        <x:v>291795.017835</x:v>
      </x:c>
      <x:c r="AC624" s="38" t="n">
        <x:v>25.05</x:v>
      </x:c>
      <x:c r="AD624" s="38" t="n">
        <x:v>174.33</x:v>
      </x:c>
      <x:c r="AE624" s="38" t="n">
        <x:v>128.88</x:v>
      </x:c>
      <x:c r="AF624" s="38" t="n">
        <x:v>4.8148</x:v>
      </x:c>
      <x:c r="AG624" s="38" t="n">
        <x:v>5.37</x:v>
      </x:c>
      <x:c r="AH624" s="38" t="n">
        <x:f>IF(E624="Fason",L624*S624,0)</x:f>
        <x:v>0</x:v>
      </x:c>
      <x:c r="AI624" s="38" t="n">
        <x:f>IF(E624="Kurum içi",AC624*AD624+AE624*AF624+AB624*12%,0)</x:f>
        <x:v>40002.9000642</x:v>
      </x:c>
      <x:c r="AJ624" s="38" t="n">
        <x:f>V624*AG624</x:f>
        <x:v>2040.8671386751425</x:v>
      </x:c>
      <x:c r="AK624" s="38" t="n">
        <x:f>AB624*2%</x:f>
        <x:v>5835.9003567</x:v>
      </x:c>
      <x:c r="AL624" s="38" t="n">
        <x:f>AB624+AH624+AI624+AJ624+AK624</x:f>
        <x:v>339674.6853945751</x:v>
      </x:c>
      <x:c r="AM624" s="38" t="n">
        <x:f>AL624/V624</x:f>
        <x:v>893.7637467929334</x:v>
      </x:c>
      <x:c r="AN624" s="40" t="n">
        <x:f>(W624+X624)/AL624*100</x:f>
        <x:v>73.39044040636104</x:v>
      </x:c>
      <x:c r="AO624" s="28" t="str">
        <x:v>R01-R20; ilgili satırdaki bölgesel fiyat ve maliyet varsayımları</x:v>
      </x:c>
      <x:c r="AP624" s="28" t="str">
        <x:v>Girdi miktarları, alım fiyatı değişimi, fason bedeli ve parti sonucu simüle edilmiştir; işletme kaydı değildir.</x:v>
      </x:c>
    </x:row>
    <x:row r="625" ht="22" customHeight="1">
      <x:c r="A625" t="str">
        <x:v>SUC-0624</x:v>
      </x:c>
      <x:c r="B625" s="36" t="n">
        <x:v>46280</x:v>
      </x:c>
      <x:c r="C625" t="str">
        <x:v>Doğu Anadolu</x:v>
      </x:c>
      <x:c r="D625" t="str">
        <x:v>ERZURUM_CI</x:v>
      </x:c>
      <x:c r="E625" t="str">
        <x:v>Kurum içi</x:v>
      </x:c>
      <x:c r="F625" s="42" t="str">
        <x:v>SENTETİK/SİMÜLE — gerçek parti kaydı değildir</x:v>
      </x:c>
      <x:c r="G625" s="38" t="n">
        <x:v>73.405</x:v>
      </x:c>
      <x:c r="H625" s="38" t="n">
        <x:v>12.182</x:v>
      </x:c>
      <x:c r="I625" s="38" t="n">
        <x:v>4.515</x:v>
      </x:c>
      <x:c r="J625" s="38" t="n">
        <x:v>1.616</x:v>
      </x:c>
      <x:c r="K625" s="38" t="n">
        <x:v>0.01</x:v>
      </x:c>
      <x:c r="L625" s="38" t="n">
        <x:f>SUM(G625:K625)</x:f>
        <x:v>91.72800000000001</x:v>
      </x:c>
      <x:c r="M625" s="38" t="n">
        <x:v>105.967</x:v>
      </x:c>
      <x:c r="N625" s="38" t="n">
        <x:v>586.41</x:v>
      </x:c>
      <x:c r="O625" s="38" t="n">
        <x:v>416.58</x:v>
      </x:c>
      <x:c r="P625" s="38" t="n">
        <x:v>550</x:v>
      </x:c>
      <x:c r="Q625" s="38" t="n">
        <x:v>19.88</x:v>
      </x:c>
      <x:c r="R625" s="38" t="n">
        <x:v>43.7475</x:v>
      </x:c>
      <x:c r="S625" s="38" t="n">
        <x:v>113.79</x:v>
      </x:c>
      <x:c r="T625" s="40" t="n">
        <x:v>16.07</x:v>
      </x:c>
      <x:c r="U625" s="40" t="n">
        <x:v>0.8</x:v>
      </x:c>
      <x:c r="V625" s="38" t="n">
        <x:f>L625*(1-T625/100)*(1-U625/100)</x:f>
        <x:v>76.3714119168</x:v>
      </x:c>
      <x:c r="W625" s="38" t="n">
        <x:f>G625*N625</x:f>
        <x:v>43045.42605</x:v>
      </x:c>
      <x:c r="X625" s="38" t="n">
        <x:f>H625*O625</x:f>
        <x:v>5074.7775599999995</x:v>
      </x:c>
      <x:c r="Y625" s="38" t="n">
        <x:f>I625*P625</x:f>
        <x:v>2483.25</x:v>
      </x:c>
      <x:c r="Z625" s="38" t="n">
        <x:f>J625*Q625+K625*P625</x:f>
        <x:v>37.62608</x:v>
      </x:c>
      <x:c r="AA625" s="38" t="n">
        <x:f>M625*R625</x:f>
        <x:v>4635.7913325</x:v>
      </x:c>
      <x:c r="AB625" s="38" t="n">
        <x:f>SUM(W625:AA625)</x:f>
        <x:v>55276.8710225</x:v>
      </x:c>
      <x:c r="AC625" s="38" t="n">
        <x:v>6.12</x:v>
      </x:c>
      <x:c r="AD625" s="38" t="n">
        <x:v>174.33</x:v>
      </x:c>
      <x:c r="AE625" s="38" t="n">
        <x:v>28.91</x:v>
      </x:c>
      <x:c r="AF625" s="38" t="n">
        <x:v>4.8148</x:v>
      </x:c>
      <x:c r="AG625" s="38" t="n">
        <x:v>5.63</x:v>
      </x:c>
      <x:c r="AH625" s="38" t="n">
        <x:f>IF(E625="Fason",L625*S625,0)</x:f>
        <x:v>0</x:v>
      </x:c>
      <x:c r="AI625" s="38" t="n">
        <x:f>IF(E625="Kurum içi",AC625*AD625+AE625*AF625+AB625*12%,0)</x:f>
        <x:v>7839.319990700001</x:v>
      </x:c>
      <x:c r="AJ625" s="38" t="n">
        <x:f>V625*AG625</x:f>
        <x:v>429.971049091584</x:v>
      </x:c>
      <x:c r="AK625" s="38" t="n">
        <x:f>AB625*2%</x:f>
        <x:v>1105.5374204500001</x:v>
      </x:c>
      <x:c r="AL625" s="38" t="n">
        <x:f>AB625+AH625+AI625+AJ625+AK625</x:f>
        <x:v>64651.699482741584</x:v>
      </x:c>
      <x:c r="AM625" s="38" t="n">
        <x:f>AL625/V625</x:f>
        <x:v>846.5432006569943</x:v>
      </x:c>
      <x:c r="AN625" s="40" t="n">
        <x:f>(W625+X625)/AL625*100</x:f>
        <x:v>74.4299128947808</x:v>
      </x:c>
      <x:c r="AO625" s="28" t="str">
        <x:v>R01-R20; ilgili satırdaki bölgesel fiyat ve maliyet varsayımları</x:v>
      </x:c>
      <x:c r="AP625" s="28" t="str">
        <x:v>Girdi miktarları, alım fiyatı değişimi, fason bedeli ve parti sonucu simüle edilmiştir; işletme kaydı değildir.</x:v>
      </x:c>
    </x:row>
    <x:row r="626" ht="22" customHeight="1">
      <x:c r="A626" t="str">
        <x:v>SUC-0625</x:v>
      </x:c>
      <x:c r="B626" s="36" t="n">
        <x:v>46273</x:v>
      </x:c>
      <x:c r="C626" t="str">
        <x:v>Marmara</x:v>
      </x:c>
      <x:c r="D626" t="str">
        <x:v>ERZURUM_CI</x:v>
      </x:c>
      <x:c r="E626" t="str">
        <x:v>Kurum içi</x:v>
      </x:c>
      <x:c r="F626" s="42" t="str">
        <x:v>SENTETİK/SİMÜLE — gerçek parti kaydı değildir</x:v>
      </x:c>
      <x:c r="G626" s="38" t="n">
        <x:v>386.522</x:v>
      </x:c>
      <x:c r="H626" s="38" t="n">
        <x:v>70.806</x:v>
      </x:c>
      <x:c r="I626" s="38" t="n">
        <x:v>22.72</x:v>
      </x:c>
      <x:c r="J626" s="38" t="n">
        <x:v>8.379</x:v>
      </x:c>
      <x:c r="K626" s="38" t="n">
        <x:v>0.286</x:v>
      </x:c>
      <x:c r="L626" s="38" t="n">
        <x:f>SUM(G626:K626)</x:f>
        <x:v>488.713</x:v>
      </x:c>
      <x:c r="M626" s="38" t="n">
        <x:v>580.415</x:v>
      </x:c>
      <x:c r="N626" s="38" t="n">
        <x:v>620.6</x:v>
      </x:c>
      <x:c r="O626" s="38" t="n">
        <x:v>465.11</x:v>
      </x:c>
      <x:c r="P626" s="38" t="n">
        <x:v>400</x:v>
      </x:c>
      <x:c r="Q626" s="38" t="n">
        <x:v>19.88</x:v>
      </x:c>
      <x:c r="R626" s="38" t="n">
        <x:v>43.7475</x:v>
      </x:c>
      <x:c r="S626" s="38" t="n">
        <x:v>78.45</x:v>
      </x:c>
      <x:c r="T626" s="40" t="n">
        <x:v>18.14</x:v>
      </x:c>
      <x:c r="U626" s="40" t="n">
        <x:v>1.36</x:v>
      </x:c>
      <x:c r="V626" s="38" t="n">
        <x:f>L626*(1-T626/100)*(1-U626/100)</x:f>
        <x:v>394.61963951952004</x:v>
      </x:c>
      <x:c r="W626" s="38" t="n">
        <x:f>G626*N626</x:f>
        <x:v>239875.5532</x:v>
      </x:c>
      <x:c r="X626" s="38" t="n">
        <x:f>H626*O626</x:f>
        <x:v>32932.57866</x:v>
      </x:c>
      <x:c r="Y626" s="38" t="n">
        <x:f>I626*P626</x:f>
        <x:v>9088</x:v>
      </x:c>
      <x:c r="Z626" s="38" t="n">
        <x:f>J626*Q626+K626*P626</x:f>
        <x:v>280.97452</x:v>
      </x:c>
      <x:c r="AA626" s="38" t="n">
        <x:f>M626*R626</x:f>
        <x:v>25391.7052125</x:v>
      </x:c>
      <x:c r="AB626" s="38" t="n">
        <x:f>SUM(W626:AA626)</x:f>
        <x:v>307568.81159249996</x:v>
      </x:c>
      <x:c r="AC626" s="38" t="n">
        <x:v>29.12</x:v>
      </x:c>
      <x:c r="AD626" s="38" t="n">
        <x:v>174.33</x:v>
      </x:c>
      <x:c r="AE626" s="38" t="n">
        <x:v>111.58</x:v>
      </x:c>
      <x:c r="AF626" s="38" t="n">
        <x:v>4.8148</x:v>
      </x:c>
      <x:c r="AG626" s="38" t="n">
        <x:v>5.18</x:v>
      </x:c>
      <x:c r="AH626" s="38" t="n">
        <x:f>IF(E626="Fason",L626*S626,0)</x:f>
        <x:v>0</x:v>
      </x:c>
      <x:c r="AI626" s="38" t="n">
        <x:f>IF(E626="Kurum içi",AC626*AD626+AE626*AF626+AB626*12%,0)</x:f>
        <x:v>42521.98237509999</x:v>
      </x:c>
      <x:c r="AJ626" s="38" t="n">
        <x:f>V626*AG626</x:f>
        <x:v>2044.1297327111138</x:v>
      </x:c>
      <x:c r="AK626" s="38" t="n">
        <x:f>AB626*2%</x:f>
        <x:v>6151.376231849999</x:v>
      </x:c>
      <x:c r="AL626" s="38" t="n">
        <x:f>AB626+AH626+AI626+AJ626+AK626</x:f>
        <x:v>358286.2999321611</x:v>
      </x:c>
      <x:c r="AM626" s="38" t="n">
        <x:f>AL626/V626</x:f>
        <x:v>907.9282023783774</x:v>
      </x:c>
      <x:c r="AN626" s="40" t="n">
        <x:f>(W626+X626)/AL626*100</x:f>
        <x:v>76.14249607413238</x:v>
      </x:c>
      <x:c r="AO626" s="28" t="str">
        <x:v>R01-R20; ilgili satırdaki bölgesel fiyat ve maliyet varsayımları</x:v>
      </x:c>
      <x:c r="AP626" s="28" t="str">
        <x:v>Girdi miktarları, alım fiyatı değişimi, fason bedeli ve parti sonucu simüle edilmiştir; işletme kaydı değildir.</x:v>
      </x:c>
    </x:row>
    <x:row r="627" ht="22" customHeight="1">
      <x:c r="A627" t="str">
        <x:v>SUC-0626</x:v>
      </x:c>
      <x:c r="B627" s="36" t="n">
        <x:v>46296</x:v>
      </x:c>
      <x:c r="C627" t="str">
        <x:v>Karadeniz</x:v>
      </x:c>
      <x:c r="D627" t="str">
        <x:v>MEB_STANDART</x:v>
      </x:c>
      <x:c r="E627" t="str">
        <x:v>Kurum içi</x:v>
      </x:c>
      <x:c r="F627" s="42" t="str">
        <x:v>SENTETİK/SİMÜLE — gerçek parti kaydı değildir</x:v>
      </x:c>
      <x:c r="G627" s="38" t="n">
        <x:v>129.823</x:v>
      </x:c>
      <x:c r="H627" s="38" t="n">
        <x:v>40.38</x:v>
      </x:c>
      <x:c r="I627" s="38" t="n">
        <x:v>8.461</x:v>
      </x:c>
      <x:c r="J627" s="38" t="n">
        <x:v>4.517</x:v>
      </x:c>
      <x:c r="K627" s="38" t="n">
        <x:v>1.724</x:v>
      </x:c>
      <x:c r="L627" s="38" t="n">
        <x:f>SUM(G627:K627)</x:f>
        <x:v>184.905</x:v>
      </x:c>
      <x:c r="M627" s="38" t="n">
        <x:v>220.353</x:v>
      </x:c>
      <x:c r="N627" s="38" t="n">
        <x:v>599.26</x:v>
      </x:c>
      <x:c r="O627" s="38" t="n">
        <x:v>466.73</x:v>
      </x:c>
      <x:c r="P627" s="38" t="n">
        <x:v>550</x:v>
      </x:c>
      <x:c r="Q627" s="38" t="n">
        <x:v>19.88</x:v>
      </x:c>
      <x:c r="R627" s="38" t="n">
        <x:v>43.7475</x:v>
      </x:c>
      <x:c r="S627" s="38" t="n">
        <x:v>119.41</x:v>
      </x:c>
      <x:c r="T627" s="40" t="n">
        <x:v>17.13</x:v>
      </x:c>
      <x:c r="U627" s="40" t="n">
        <x:v>1.04</x:v>
      </x:c>
      <x:c r="V627" s="38" t="n">
        <x:f>L627*(1-T627/100)*(1-U627/100)</x:f>
        <x:v>151.6371734556</x:v>
      </x:c>
      <x:c r="W627" s="38" t="n">
        <x:f>G627*N627</x:f>
        <x:v>77797.73098000001</x:v>
      </x:c>
      <x:c r="X627" s="38" t="n">
        <x:f>H627*O627</x:f>
        <x:v>18846.5574</x:v>
      </x:c>
      <x:c r="Y627" s="38" t="n">
        <x:f>I627*P627</x:f>
        <x:v>4653.55</x:v>
      </x:c>
      <x:c r="Z627" s="38" t="n">
        <x:f>J627*Q627+K627*P627</x:f>
        <x:v>1037.99796</x:v>
      </x:c>
      <x:c r="AA627" s="38" t="n">
        <x:f>M627*R627</x:f>
        <x:v>9639.8928675</x:v>
      </x:c>
      <x:c r="AB627" s="38" t="n">
        <x:f>SUM(W627:AA627)</x:f>
        <x:v>111975.72920750002</x:v>
      </x:c>
      <x:c r="AC627" s="38" t="n">
        <x:v>8.01</x:v>
      </x:c>
      <x:c r="AD627" s="38" t="n">
        <x:v>174.33</x:v>
      </x:c>
      <x:c r="AE627" s="38" t="n">
        <x:v>50.22</x:v>
      </x:c>
      <x:c r="AF627" s="38" t="n">
        <x:v>4.8148</x:v>
      </x:c>
      <x:c r="AG627" s="38" t="n">
        <x:v>5.35</x:v>
      </x:c>
      <x:c r="AH627" s="38" t="n">
        <x:f>IF(E627="Fason",L627*S627,0)</x:f>
        <x:v>0</x:v>
      </x:c>
      <x:c r="AI627" s="38" t="n">
        <x:f>IF(E627="Kurum içi",AC627*AD627+AE627*AF627+AB627*12%,0)</x:f>
        <x:v>15075.2700609</x:v>
      </x:c>
      <x:c r="AJ627" s="38" t="n">
        <x:f>V627*AG627</x:f>
        <x:v>811.2588779874599</x:v>
      </x:c>
      <x:c r="AK627" s="38" t="n">
        <x:f>AB627*2%</x:f>
        <x:v>2239.5145841500002</x:v>
      </x:c>
      <x:c r="AL627" s="38" t="n">
        <x:f>AB627+AH627+AI627+AJ627+AK627</x:f>
        <x:v>130101.77273053749</x:v>
      </x:c>
      <x:c r="AM627" s="38" t="n">
        <x:f>AL627/V627</x:f>
        <x:v>857.9807296964146</x:v>
      </x:c>
      <x:c r="AN627" s="40" t="n">
        <x:f>(W627+X627)/AL627*100</x:f>
        <x:v>74.28360609671822</x:v>
      </x:c>
      <x:c r="AO627" s="28" t="str">
        <x:v>R01-R20; ilgili satırdaki bölgesel fiyat ve maliyet varsayımları</x:v>
      </x:c>
      <x:c r="AP627" s="28" t="str">
        <x:v>Girdi miktarları, alım fiyatı değişimi, fason bedeli ve parti sonucu simüle edilmiştir; işletme kaydı değildir.</x:v>
      </x:c>
    </x:row>
    <x:row r="628" ht="22" customHeight="1">
      <x:c r="A628" t="str">
        <x:v>SUC-0627</x:v>
      </x:c>
      <x:c r="B628" s="36" t="n">
        <x:v>46285</x:v>
      </x:c>
      <x:c r="C628" t="str">
        <x:v>Akdeniz</x:v>
      </x:c>
      <x:c r="D628" t="str">
        <x:v>ERZURUM_CI</x:v>
      </x:c>
      <x:c r="E628" t="str">
        <x:v>Kurum içi</x:v>
      </x:c>
      <x:c r="F628" s="42" t="str">
        <x:v>SENTETİK/SİMÜLE — gerçek parti kaydı değildir</x:v>
      </x:c>
      <x:c r="G628" s="38" t="n">
        <x:v>182.425</x:v>
      </x:c>
      <x:c r="H628" s="38" t="n">
        <x:v>29.929</x:v>
      </x:c>
      <x:c r="I628" s="38" t="n">
        <x:v>10.987</x:v>
      </x:c>
      <x:c r="J628" s="38" t="n">
        <x:v>3.926</x:v>
      </x:c>
      <x:c r="K628" s="38" t="n">
        <x:v>0.365</x:v>
      </x:c>
      <x:c r="L628" s="38" t="n">
        <x:f>SUM(G628:K628)</x:f>
        <x:v>227.632</x:v>
      </x:c>
      <x:c r="M628" s="38" t="n">
        <x:v>265.201</x:v>
      </x:c>
      <x:c r="N628" s="38" t="n">
        <x:v>596.98</x:v>
      </x:c>
      <x:c r="O628" s="38" t="n">
        <x:v>410.22</x:v>
      </x:c>
      <x:c r="P628" s="38" t="n">
        <x:v>550</x:v>
      </x:c>
      <x:c r="Q628" s="38" t="n">
        <x:v>19.88</x:v>
      </x:c>
      <x:c r="R628" s="38" t="n">
        <x:v>43.7475</x:v>
      </x:c>
      <x:c r="S628" s="38" t="n">
        <x:v>77.95</x:v>
      </x:c>
      <x:c r="T628" s="40" t="n">
        <x:v>23.06</x:v>
      </x:c>
      <x:c r="U628" s="40" t="n">
        <x:v>1.32</x:v>
      </x:c>
      <x:c r="V628" s="38" t="n">
        <x:f>L628*(1-T628/100)*(1-U628/100)</x:f>
        <x:v>172.82821199743998</x:v>
      </x:c>
      <x:c r="W628" s="38" t="n">
        <x:f>G628*N628</x:f>
        <x:v>108904.07650000001</x:v>
      </x:c>
      <x:c r="X628" s="38" t="n">
        <x:f>H628*O628</x:f>
        <x:v>12277.47438</x:v>
      </x:c>
      <x:c r="Y628" s="38" t="n">
        <x:f>I628*P628</x:f>
        <x:v>6042.85</x:v>
      </x:c>
      <x:c r="Z628" s="38" t="n">
        <x:f>J628*Q628+K628*P628</x:f>
        <x:v>278.79888</x:v>
      </x:c>
      <x:c r="AA628" s="38" t="n">
        <x:f>M628*R628</x:f>
        <x:v>11601.880747500001</x:v>
      </x:c>
      <x:c r="AB628" s="38" t="n">
        <x:f>SUM(W628:AA628)</x:f>
        <x:v>139105.0805075</x:v>
      </x:c>
      <x:c r="AC628" s="38" t="n">
        <x:v>10.15</x:v>
      </x:c>
      <x:c r="AD628" s="38" t="n">
        <x:v>174.33</x:v>
      </x:c>
      <x:c r="AE628" s="38" t="n">
        <x:v>58.8</x:v>
      </x:c>
      <x:c r="AF628" s="38" t="n">
        <x:v>4.8148</x:v>
      </x:c>
      <x:c r="AG628" s="38" t="n">
        <x:v>5.32</x:v>
      </x:c>
      <x:c r="AH628" s="38" t="n">
        <x:f>IF(E628="Fason",L628*S628,0)</x:f>
        <x:v>0</x:v>
      </x:c>
      <x:c r="AI628" s="38" t="n">
        <x:f>IF(E628="Kurum içi",AC628*AD628+AE628*AF628+AB628*12%,0)</x:f>
        <x:v>18745.169400900002</x:v>
      </x:c>
      <x:c r="AJ628" s="38" t="n">
        <x:f>V628*AG628</x:f>
        <x:v>919.4460878263808</x:v>
      </x:c>
      <x:c r="AK628" s="38" t="n">
        <x:f>AB628*2%</x:f>
        <x:v>2782.1016101500004</x:v>
      </x:c>
      <x:c r="AL628" s="38" t="n">
        <x:f>AB628+AH628+AI628+AJ628+AK628</x:f>
        <x:v>161551.7976063764</x:v>
      </x:c>
      <x:c r="AM628" s="38" t="n">
        <x:f>AL628/V628</x:f>
        <x:v>934.7536246499466</x:v>
      </x:c>
      <x:c r="AN628" s="40" t="n">
        <x:f>(W628+X628)/AL628*100</x:f>
        <x:v>75.01095789429768</x:v>
      </x:c>
      <x:c r="AO628" s="28" t="str">
        <x:v>R01-R20; ilgili satırdaki bölgesel fiyat ve maliyet varsayımları</x:v>
      </x:c>
      <x:c r="AP628" s="28" t="str">
        <x:v>Girdi miktarları, alım fiyatı değişimi, fason bedeli ve parti sonucu simüle edilmiştir; işletme kaydı değildir.</x:v>
      </x:c>
    </x:row>
    <x:row r="629" ht="22" customHeight="1">
      <x:c r="A629" t="str">
        <x:v>SUC-0628</x:v>
      </x:c>
      <x:c r="B629" s="36" t="n">
        <x:v>46269</x:v>
      </x:c>
      <x:c r="C629" t="str">
        <x:v>Güneydoğu Anadolu</x:v>
      </x:c>
      <x:c r="D629" t="str">
        <x:v>MEB_STANDART</x:v>
      </x:c>
      <x:c r="E629" t="str">
        <x:v>Fason</x:v>
      </x:c>
      <x:c r="F629" s="42" t="str">
        <x:v>SENTETİK/SİMÜLE — gerçek parti kaydı değildir</x:v>
      </x:c>
      <x:c r="G629" s="38" t="n">
        <x:v>229.907</x:v>
      </x:c>
      <x:c r="H629" s="38" t="n">
        <x:v>73.014</x:v>
      </x:c>
      <x:c r="I629" s="38" t="n">
        <x:v>15.037</x:v>
      </x:c>
      <x:c r="J629" s="38" t="n">
        <x:v>8.331</x:v>
      </x:c>
      <x:c r="K629" s="38" t="n">
        <x:v>3.397</x:v>
      </x:c>
      <x:c r="L629" s="38" t="n">
        <x:f>SUM(G629:K629)</x:f>
        <x:v>329.686</x:v>
      </x:c>
      <x:c r="M629" s="38" t="n">
        <x:v>399.429</x:v>
      </x:c>
      <x:c r="N629" s="38" t="n">
        <x:v>592.36</x:v>
      </x:c>
      <x:c r="O629" s="38" t="n">
        <x:v>420.14</x:v>
      </x:c>
      <x:c r="P629" s="38" t="n">
        <x:v>669.9</x:v>
      </x:c>
      <x:c r="Q629" s="38" t="n">
        <x:v>19.88</x:v>
      </x:c>
      <x:c r="R629" s="38" t="n">
        <x:v>43.7475</x:v>
      </x:c>
      <x:c r="S629" s="38" t="n">
        <x:v>111.9</x:v>
      </x:c>
      <x:c r="T629" s="40" t="n">
        <x:v>20.79</x:v>
      </x:c>
      <x:c r="U629" s="40" t="n">
        <x:v>1.29</x:v>
      </x:c>
      <x:c r="V629" s="38" t="n">
        <x:f>L629*(1-T629/100)*(1-U629/100)</x:f>
        <x:v>257.77551938026</x:v>
      </x:c>
      <x:c r="W629" s="38" t="n">
        <x:f>G629*N629</x:f>
        <x:v>136187.71052000002</x:v>
      </x:c>
      <x:c r="X629" s="38" t="n">
        <x:f>H629*O629</x:f>
        <x:v>30676.101959999996</x:v>
      </x:c>
      <x:c r="Y629" s="38" t="n">
        <x:f>I629*P629</x:f>
        <x:v>10073.2863</x:v>
      </x:c>
      <x:c r="Z629" s="38" t="n">
        <x:f>J629*Q629+K629*P629</x:f>
        <x:v>2441.27058</x:v>
      </x:c>
      <x:c r="AA629" s="38" t="n">
        <x:f>M629*R629</x:f>
        <x:v>17474.0201775</x:v>
      </x:c>
      <x:c r="AB629" s="38" t="n">
        <x:f>SUM(W629:AA629)</x:f>
        <x:v>196852.38953750004</x:v>
      </x:c>
      <x:c r="AC629" s="38" t="n">
        <x:v>21.28</x:v>
      </x:c>
      <x:c r="AD629" s="38" t="n">
        <x:v>174.33</x:v>
      </x:c>
      <x:c r="AE629" s="38" t="n">
        <x:v>128.36</x:v>
      </x:c>
      <x:c r="AF629" s="38" t="n">
        <x:v>4.8148</x:v>
      </x:c>
      <x:c r="AG629" s="38" t="n">
        <x:v>5.17</x:v>
      </x:c>
      <x:c r="AH629" s="38" t="n">
        <x:f>IF(E629="Fason",L629*S629,0)</x:f>
        <x:v>36891.8634</x:v>
      </x:c>
      <x:c r="AI629" s="38" t="n">
        <x:f>IF(E629="Kurum içi",AC629*AD629+AE629*AF629+AB629*12%,0)</x:f>
        <x:v>0</x:v>
      </x:c>
      <x:c r="AJ629" s="38" t="n">
        <x:f>V629*AG629</x:f>
        <x:v>1332.699435195944</x:v>
      </x:c>
      <x:c r="AK629" s="38" t="n">
        <x:f>AB629*2%</x:f>
        <x:v>3937.047790750001</x:v>
      </x:c>
      <x:c r="AL629" s="38" t="n">
        <x:f>AB629+AH629+AI629+AJ629+AK629</x:f>
        <x:v>239014.00016344598</x:v>
      </x:c>
      <x:c r="AM629" s="38" t="n">
        <x:f>AL629/V629</x:f>
        <x:v>927.2176067691759</x:v>
      </x:c>
      <x:c r="AN629" s="40" t="n">
        <x:f>(W629+X629)/AL629*100</x:f>
        <x:v>69.81340522559047</x:v>
      </x:c>
      <x:c r="AO629" s="28" t="str">
        <x:v>R01-R20; ilgili satırdaki bölgesel fiyat ve maliyet varsayımları</x:v>
      </x:c>
      <x:c r="AP629" s="28" t="str">
        <x:v>Girdi miktarları, alım fiyatı değişimi, fason bedeli ve parti sonucu simüle edilmiştir; işletme kaydı değildir.</x:v>
      </x:c>
    </x:row>
    <x:row r="630" ht="22" customHeight="1">
      <x:c r="A630" t="str">
        <x:v>SUC-0629</x:v>
      </x:c>
      <x:c r="B630" s="36" t="n">
        <x:v>46302</x:v>
      </x:c>
      <x:c r="C630" t="str">
        <x:v>Güneydoğu Anadolu</x:v>
      </x:c>
      <x:c r="D630" t="str">
        <x:v>MEB_STANDART</x:v>
      </x:c>
      <x:c r="E630" t="str">
        <x:v>Kurum içi</x:v>
      </x:c>
      <x:c r="F630" s="42" t="str">
        <x:v>SENTETİK/SİMÜLE — gerçek parti kaydı değildir</x:v>
      </x:c>
      <x:c r="G630" s="38" t="n">
        <x:v>289.496</x:v>
      </x:c>
      <x:c r="H630" s="38" t="n">
        <x:v>90.387</x:v>
      </x:c>
      <x:c r="I630" s="38" t="n">
        <x:v>18.763</x:v>
      </x:c>
      <x:c r="J630" s="38" t="n">
        <x:v>10.938</x:v>
      </x:c>
      <x:c r="K630" s="38" t="n">
        <x:v>4.237</x:v>
      </x:c>
      <x:c r="L630" s="38" t="n">
        <x:f>SUM(G630:K630)</x:f>
        <x:v>413.82099999999997</x:v>
      </x:c>
      <x:c r="M630" s="38" t="n">
        <x:v>544.97</x:v>
      </x:c>
      <x:c r="N630" s="38" t="n">
        <x:v>590.54</x:v>
      </x:c>
      <x:c r="O630" s="38" t="n">
        <x:v>425.71</x:v>
      </x:c>
      <x:c r="P630" s="38" t="n">
        <x:v>669.9</x:v>
      </x:c>
      <x:c r="Q630" s="38" t="n">
        <x:v>19.88</x:v>
      </x:c>
      <x:c r="R630" s="38" t="n">
        <x:v>43.7475</x:v>
      </x:c>
      <x:c r="S630" s="38" t="n">
        <x:v>83.42</x:v>
      </x:c>
      <x:c r="T630" s="40" t="n">
        <x:v>18.52</x:v>
      </x:c>
      <x:c r="U630" s="40" t="n">
        <x:v>1.04</x:v>
      </x:c>
      <x:c r="V630" s="38" t="n">
        <x:f>L630*(1-T630/100)*(1-U630/100)</x:f>
        <x:v>333.67466475168</x:v>
      </x:c>
      <x:c r="W630" s="38" t="n">
        <x:f>G630*N630</x:f>
        <x:v>170958.96783999997</x:v>
      </x:c>
      <x:c r="X630" s="38" t="n">
        <x:f>H630*O630</x:f>
        <x:v>38478.649769999996</x:v>
      </x:c>
      <x:c r="Y630" s="38" t="n">
        <x:f>I630*P630</x:f>
        <x:v>12569.333700000001</x:v>
      </x:c>
      <x:c r="Z630" s="38" t="n">
        <x:f>J630*Q630+K630*P630</x:f>
        <x:v>3055.81374</x:v>
      </x:c>
      <x:c r="AA630" s="38" t="n">
        <x:f>M630*R630</x:f>
        <x:v>23841.075075</x:v>
      </x:c>
      <x:c r="AB630" s="38" t="n">
        <x:f>SUM(W630:AA630)</x:f>
        <x:v>248903.84012499996</x:v>
      </x:c>
      <x:c r="AC630" s="38" t="n">
        <x:v>28.62</x:v>
      </x:c>
      <x:c r="AD630" s="38" t="n">
        <x:v>174.33</x:v>
      </x:c>
      <x:c r="AE630" s="38" t="n">
        <x:v>97.21</x:v>
      </x:c>
      <x:c r="AF630" s="38" t="n">
        <x:v>4.8148</x:v>
      </x:c>
      <x:c r="AG630" s="38" t="n">
        <x:v>5.55</x:v>
      </x:c>
      <x:c r="AH630" s="38" t="n">
        <x:f>IF(E630="Fason",L630*S630,0)</x:f>
        <x:v>0</x:v>
      </x:c>
      <x:c r="AI630" s="38" t="n">
        <x:f>IF(E630="Kurum içi",AC630*AD630+AE630*AF630+AB630*12%,0)</x:f>
        <x:v>35325.83212299999</x:v>
      </x:c>
      <x:c r="AJ630" s="38" t="n">
        <x:f>V630*AG630</x:f>
        <x:v>1851.8943893718238</x:v>
      </x:c>
      <x:c r="AK630" s="38" t="n">
        <x:f>AB630*2%</x:f>
        <x:v>4978.076802499999</x:v>
      </x:c>
      <x:c r="AL630" s="38" t="n">
        <x:f>AB630+AH630+AI630+AJ630+AK630</x:f>
        <x:v>291059.6434398717</x:v>
      </x:c>
      <x:c r="AM630" s="38" t="n">
        <x:f>AL630/V630</x:f>
        <x:v>872.2857147589486</x:v>
      </x:c>
      <x:c r="AN630" s="40" t="n">
        <x:f>(W630+X630)/AL630*100</x:f>
        <x:v>71.95694158584594</x:v>
      </x:c>
      <x:c r="AO630" s="28" t="str">
        <x:v>R01-R20; ilgili satırdaki bölgesel fiyat ve maliyet varsayımları</x:v>
      </x:c>
      <x:c r="AP630" s="28" t="str">
        <x:v>Girdi miktarları, alım fiyatı değişimi, fason bedeli ve parti sonucu simüle edilmiştir; işletme kaydı değildir.</x:v>
      </x:c>
    </x:row>
    <x:row r="631" ht="22" customHeight="1">
      <x:c r="A631" t="str">
        <x:v>SUC-0630</x:v>
      </x:c>
      <x:c r="B631" s="36" t="n">
        <x:v>46290</x:v>
      </x:c>
      <x:c r="C631" t="str">
        <x:v>Karadeniz</x:v>
      </x:c>
      <x:c r="D631" t="str">
        <x:v>ERZURUM_CI</x:v>
      </x:c>
      <x:c r="E631" t="str">
        <x:v>Fason</x:v>
      </x:c>
      <x:c r="F631" s="42" t="str">
        <x:v>SENTETİK/SİMÜLE — gerçek parti kaydı değildir</x:v>
      </x:c>
      <x:c r="G631" s="38" t="n">
        <x:v>309.842</x:v>
      </x:c>
      <x:c r="H631" s="38" t="n">
        <x:v>58.599</x:v>
      </x:c>
      <x:c r="I631" s="38" t="n">
        <x:v>19.196</x:v>
      </x:c>
      <x:c r="J631" s="38" t="n">
        <x:v>6.507</x:v>
      </x:c>
      <x:c r="K631" s="38" t="n">
        <x:v>0.271</x:v>
      </x:c>
      <x:c r="L631" s="38" t="n">
        <x:f>SUM(G631:K631)</x:f>
        <x:v>394.415</x:v>
      </x:c>
      <x:c r="M631" s="38" t="n">
        <x:v>471.617</x:v>
      </x:c>
      <x:c r="N631" s="38" t="n">
        <x:v>587.25</x:v>
      </x:c>
      <x:c r="O631" s="38" t="n">
        <x:v>434.61</x:v>
      </x:c>
      <x:c r="P631" s="38" t="n">
        <x:v>669.9</x:v>
      </x:c>
      <x:c r="Q631" s="38" t="n">
        <x:v>19.88</x:v>
      </x:c>
      <x:c r="R631" s="38" t="n">
        <x:v>43.7475</x:v>
      </x:c>
      <x:c r="S631" s="38" t="n">
        <x:v>86.01</x:v>
      </x:c>
      <x:c r="T631" s="40" t="n">
        <x:v>17.6</x:v>
      </x:c>
      <x:c r="U631" s="40" t="n">
        <x:v>1.2</x:v>
      </x:c>
      <x:c r="V631" s="38" t="n">
        <x:f>L631*(1-T631/100)*(1-U631/100)</x:f>
        <x:v>321.09798448</x:v>
      </x:c>
      <x:c r="W631" s="38" t="n">
        <x:f>G631*N631</x:f>
        <x:v>181954.7145</x:v>
      </x:c>
      <x:c r="X631" s="38" t="n">
        <x:f>H631*O631</x:f>
        <x:v>25467.71139</x:v>
      </x:c>
      <x:c r="Y631" s="38" t="n">
        <x:f>I631*P631</x:f>
        <x:v>12859.4004</x:v>
      </x:c>
      <x:c r="Z631" s="38" t="n">
        <x:f>J631*Q631+K631*P631</x:f>
        <x:v>310.90206</x:v>
      </x:c>
      <x:c r="AA631" s="38" t="n">
        <x:f>M631*R631</x:f>
        <x:v>20632.0647075</x:v>
      </x:c>
      <x:c r="AB631" s="38" t="n">
        <x:f>SUM(W631:AA631)</x:f>
        <x:v>241224.79305750004</x:v>
      </x:c>
      <x:c r="AC631" s="38" t="n">
        <x:v>22.77</x:v>
      </x:c>
      <x:c r="AD631" s="38" t="n">
        <x:v>174.33</x:v>
      </x:c>
      <x:c r="AE631" s="38" t="n">
        <x:v>161.56</x:v>
      </x:c>
      <x:c r="AF631" s="38" t="n">
        <x:v>4.8148</x:v>
      </x:c>
      <x:c r="AG631" s="38" t="n">
        <x:v>5.12</x:v>
      </x:c>
      <x:c r="AH631" s="38" t="n">
        <x:f>IF(E631="Fason",L631*S631,0)</x:f>
        <x:v>33923.634150000005</x:v>
      </x:c>
      <x:c r="AI631" s="38" t="n">
        <x:f>IF(E631="Kurum içi",AC631*AD631+AE631*AF631+AB631*12%,0)</x:f>
        <x:v>0</x:v>
      </x:c>
      <x:c r="AJ631" s="38" t="n">
        <x:f>V631*AG631</x:f>
        <x:v>1644.0216805375999</x:v>
      </x:c>
      <x:c r="AK631" s="38" t="n">
        <x:f>AB631*2%</x:f>
        <x:v>4824.495861150001</x:v>
      </x:c>
      <x:c r="AL631" s="38" t="n">
        <x:f>AB631+AH631+AI631+AJ631+AK631</x:f>
        <x:v>281616.9447491876</x:v>
      </x:c>
      <x:c r="AM631" s="38" t="n">
        <x:f>AL631/V631</x:f>
        <x:v>877.04363889188</x:v>
      </x:c>
      <x:c r="AN631" s="40" t="n">
        <x:f>(W631+X631)/AL631*100</x:f>
        <x:v>73.65409992453885</x:v>
      </x:c>
      <x:c r="AO631" s="28" t="str">
        <x:v>R01-R20; ilgili satırdaki bölgesel fiyat ve maliyet varsayımları</x:v>
      </x:c>
      <x:c r="AP631" s="28" t="str">
        <x:v>Girdi miktarları, alım fiyatı değişimi, fason bedeli ve parti sonucu simüle edilmiştir; işletme kaydı değildir.</x:v>
      </x:c>
    </x:row>
    <x:row r="632" ht="22" customHeight="1">
      <x:c r="A632" t="str">
        <x:v>SUC-0631</x:v>
      </x:c>
      <x:c r="B632" s="36" t="n">
        <x:v>46293</x:v>
      </x:c>
      <x:c r="C632" t="str">
        <x:v>Marmara</x:v>
      </x:c>
      <x:c r="D632" t="str">
        <x:v>MEB_STANDART</x:v>
      </x:c>
      <x:c r="E632" t="str">
        <x:v>Kurum içi</x:v>
      </x:c>
      <x:c r="F632" s="42" t="str">
        <x:v>SENTETİK/SİMÜLE — gerçek parti kaydı değildir</x:v>
      </x:c>
      <x:c r="G632" s="38" t="n">
        <x:v>63.147</x:v>
      </x:c>
      <x:c r="H632" s="38" t="n">
        <x:v>19.319</x:v>
      </x:c>
      <x:c r="I632" s="38" t="n">
        <x:v>3.994</x:v>
      </x:c>
      <x:c r="J632" s="38" t="n">
        <x:v>2.257</x:v>
      </x:c>
      <x:c r="K632" s="38" t="n">
        <x:v>1.027</x:v>
      </x:c>
      <x:c r="L632" s="38" t="n">
        <x:f>SUM(G632:K632)</x:f>
        <x:v>89.744</x:v>
      </x:c>
      <x:c r="M632" s="38" t="n">
        <x:v>117.097</x:v>
      </x:c>
      <x:c r="N632" s="38" t="n">
        <x:v>613.34</x:v>
      </x:c>
      <x:c r="O632" s="38" t="n">
        <x:v>431.84</x:v>
      </x:c>
      <x:c r="P632" s="38" t="n">
        <x:v>669.9</x:v>
      </x:c>
      <x:c r="Q632" s="38" t="n">
        <x:v>19.88</x:v>
      </x:c>
      <x:c r="R632" s="38" t="n">
        <x:v>43.7475</x:v>
      </x:c>
      <x:c r="S632" s="38" t="n">
        <x:v>105.58</x:v>
      </x:c>
      <x:c r="T632" s="40" t="n">
        <x:v>30.89</x:v>
      </x:c>
      <x:c r="U632" s="40" t="n">
        <x:v>0.74</x:v>
      </x:c>
      <x:c r="V632" s="38" t="n">
        <x:f>L632*(1-T632/100)*(1-U632/100)</x:f>
        <x:v>61.563115019840005</x:v>
      </x:c>
      <x:c r="W632" s="38" t="n">
        <x:f>G632*N632</x:f>
        <x:v>38730.58098</x:v>
      </x:c>
      <x:c r="X632" s="38" t="n">
        <x:f>H632*O632</x:f>
        <x:v>8342.71696</x:v>
      </x:c>
      <x:c r="Y632" s="38" t="n">
        <x:f>I632*P632</x:f>
        <x:v>2675.5806000000002</x:v>
      </x:c>
      <x:c r="Z632" s="38" t="n">
        <x:f>J632*Q632+K632*P632</x:f>
        <x:v>732.8564599999999</x:v>
      </x:c>
      <x:c r="AA632" s="38" t="n">
        <x:f>M632*R632</x:f>
        <x:v>5122.7010075</x:v>
      </x:c>
      <x:c r="AB632" s="38" t="n">
        <x:f>SUM(W632:AA632)</x:f>
        <x:v>55604.4360075</x:v>
      </x:c>
      <x:c r="AC632" s="38" t="n">
        <x:v>6.11</x:v>
      </x:c>
      <x:c r="AD632" s="38" t="n">
        <x:v>174.33</x:v>
      </x:c>
      <x:c r="AE632" s="38" t="n">
        <x:v>25.74</x:v>
      </x:c>
      <x:c r="AF632" s="38" t="n">
        <x:v>4.8148</x:v>
      </x:c>
      <x:c r="AG632" s="38" t="n">
        <x:v>5.35</x:v>
      </x:c>
      <x:c r="AH632" s="38" t="n">
        <x:f>IF(E632="Fason",L632*S632,0)</x:f>
        <x:v>0</x:v>
      </x:c>
      <x:c r="AI632" s="38" t="n">
        <x:f>IF(E632="Kurum içi",AC632*AD632+AE632*AF632+AB632*12%,0)</x:f>
        <x:v>7861.6215729</x:v>
      </x:c>
      <x:c r="AJ632" s="38" t="n">
        <x:f>V632*AG632</x:f>
        <x:v>329.362665356144</x:v>
      </x:c>
      <x:c r="AK632" s="38" t="n">
        <x:f>AB632*2%</x:f>
        <x:v>1112.08872015</x:v>
      </x:c>
      <x:c r="AL632" s="38" t="n">
        <x:f>AB632+AH632+AI632+AJ632+AK632</x:f>
        <x:v>64907.50896590614</x:v>
      </x:c>
      <x:c r="AM632" s="38" t="n">
        <x:f>AL632/V632</x:f>
        <x:v>1054.3246381374356</x:v>
      </x:c>
      <x:c r="AN632" s="40" t="n">
        <x:f>(W632+X632)/AL632*100</x:f>
        <x:v>72.5236551054919</x:v>
      </x:c>
      <x:c r="AO632" s="28" t="str">
        <x:v>R01-R20; ilgili satırdaki bölgesel fiyat ve maliyet varsayımları</x:v>
      </x:c>
      <x:c r="AP632" s="28" t="str">
        <x:v>Girdi miktarları, alım fiyatı değişimi, fason bedeli ve parti sonucu simüle edilmiştir; işletme kaydı değildir.</x:v>
      </x:c>
    </x:row>
    <x:row r="633" ht="22" customHeight="1">
      <x:c r="A633" t="str">
        <x:v>SUC-0632</x:v>
      </x:c>
      <x:c r="B633" s="36" t="n">
        <x:v>46281</x:v>
      </x:c>
      <x:c r="C633" t="str">
        <x:v>Akdeniz</x:v>
      </x:c>
      <x:c r="D633" t="str">
        <x:v>ERZURUM_CI</x:v>
      </x:c>
      <x:c r="E633" t="str">
        <x:v>Kurum içi</x:v>
      </x:c>
      <x:c r="F633" s="42" t="str">
        <x:v>SENTETİK/SİMÜLE — gerçek parti kaydı değildir</x:v>
      </x:c>
      <x:c r="G633" s="38" t="n">
        <x:v>318.747</x:v>
      </x:c>
      <x:c r="H633" s="38" t="n">
        <x:v>60.288</x:v>
      </x:c>
      <x:c r="I633" s="38" t="n">
        <x:v>19.558</x:v>
      </x:c>
      <x:c r="J633" s="38" t="n">
        <x:v>5.757</x:v>
      </x:c>
      <x:c r="K633" s="38" t="n">
        <x:v>0.566</x:v>
      </x:c>
      <x:c r="L633" s="38" t="n">
        <x:f>SUM(G633:K633)</x:f>
        <x:v>404.916</x:v>
      </x:c>
      <x:c r="M633" s="38" t="n">
        <x:v>520.881</x:v>
      </x:c>
      <x:c r="N633" s="38" t="n">
        <x:v>577.69</x:v>
      </x:c>
      <x:c r="O633" s="38" t="n">
        <x:v>442.39</x:v>
      </x:c>
      <x:c r="P633" s="38" t="n">
        <x:v>400</x:v>
      </x:c>
      <x:c r="Q633" s="38" t="n">
        <x:v>19.88</x:v>
      </x:c>
      <x:c r="R633" s="38" t="n">
        <x:v>43.7475</x:v>
      </x:c>
      <x:c r="S633" s="38" t="n">
        <x:v>98.52</x:v>
      </x:c>
      <x:c r="T633" s="40" t="n">
        <x:v>26.76</x:v>
      </x:c>
      <x:c r="U633" s="40" t="n">
        <x:v>1.55</x:v>
      </x:c>
      <x:c r="V633" s="38" t="n">
        <x:f>L633*(1-T633/100)*(1-U633/100)</x:f>
        <x:v>291.96379098479997</x:v>
      </x:c>
      <x:c r="W633" s="38" t="n">
        <x:f>G633*N633</x:f>
        <x:v>184136.95443</x:v>
      </x:c>
      <x:c r="X633" s="38" t="n">
        <x:f>H633*O633</x:f>
        <x:v>26670.808319999996</x:v>
      </x:c>
      <x:c r="Y633" s="38" t="n">
        <x:f>I633*P633</x:f>
        <x:v>7823.2</x:v>
      </x:c>
      <x:c r="Z633" s="38" t="n">
        <x:f>J633*Q633+K633*P633</x:f>
        <x:v>340.84916</x:v>
      </x:c>
      <x:c r="AA633" s="38" t="n">
        <x:f>M633*R633</x:f>
        <x:v>22787.2415475</x:v>
      </x:c>
      <x:c r="AB633" s="38" t="n">
        <x:f>SUM(W633:AA633)</x:f>
        <x:v>241759.0534575</x:v>
      </x:c>
      <x:c r="AC633" s="38" t="n">
        <x:v>16.34</x:v>
      </x:c>
      <x:c r="AD633" s="38" t="n">
        <x:v>174.33</x:v>
      </x:c>
      <x:c r="AE633" s="38" t="n">
        <x:v>114.55</x:v>
      </x:c>
      <x:c r="AF633" s="38" t="n">
        <x:v>4.8148</x:v>
      </x:c>
      <x:c r="AG633" s="38" t="n">
        <x:v>5.87</x:v>
      </x:c>
      <x:c r="AH633" s="38" t="n">
        <x:f>IF(E633="Fason",L633*S633,0)</x:f>
        <x:v>0</x:v>
      </x:c>
      <x:c r="AI633" s="38" t="n">
        <x:f>IF(E633="Kurum içi",AC633*AD633+AE633*AF633+AB633*12%,0)</x:f>
        <x:v>32411.1739549</x:v>
      </x:c>
      <x:c r="AJ633" s="38" t="n">
        <x:f>V633*AG633</x:f>
        <x:v>1713.827453080776</x:v>
      </x:c>
      <x:c r="AK633" s="38" t="n">
        <x:f>AB633*2%</x:f>
        <x:v>4835.18106915</x:v>
      </x:c>
      <x:c r="AL633" s="38" t="n">
        <x:f>AB633+AH633+AI633+AJ633+AK633</x:f>
        <x:v>280719.2359346308</x:v>
      </x:c>
      <x:c r="AM633" s="38" t="n">
        <x:f>AL633/V633</x:f>
        <x:v>961.4864740170655</x:v>
      </x:c>
      <x:c r="AN633" s="40" t="n">
        <x:f>(W633+X633)/AL633*100</x:f>
        <x:v>75.09558867533018</x:v>
      </x:c>
      <x:c r="AO633" s="28" t="str">
        <x:v>R01-R20; ilgili satırdaki bölgesel fiyat ve maliyet varsayımları</x:v>
      </x:c>
      <x:c r="AP633" s="28" t="str">
        <x:v>Girdi miktarları, alım fiyatı değişimi, fason bedeli ve parti sonucu simüle edilmiştir; işletme kaydı değildir.</x:v>
      </x:c>
    </x:row>
    <x:row r="634" ht="22" customHeight="1">
      <x:c r="A634" t="str">
        <x:v>SUC-0633</x:v>
      </x:c>
      <x:c r="B634" s="36" t="n">
        <x:v>46271</x:v>
      </x:c>
      <x:c r="C634" t="str">
        <x:v>İç Anadolu</x:v>
      </x:c>
      <x:c r="D634" t="str">
        <x:v>ERZURUM_CI</x:v>
      </x:c>
      <x:c r="E634" t="str">
        <x:v>Kurum içi</x:v>
      </x:c>
      <x:c r="F634" s="42" t="str">
        <x:v>SENTETİK/SİMÜLE — gerçek parti kaydı değildir</x:v>
      </x:c>
      <x:c r="G634" s="38" t="n">
        <x:v>228.708</x:v>
      </x:c>
      <x:c r="H634" s="38" t="n">
        <x:v>38.566</x:v>
      </x:c>
      <x:c r="I634" s="38" t="n">
        <x:v>13.197</x:v>
      </x:c>
      <x:c r="J634" s="38" t="n">
        <x:v>4.957</x:v>
      </x:c>
      <x:c r="K634" s="38" t="n">
        <x:v>0.342</x:v>
      </x:c>
      <x:c r="L634" s="38" t="n">
        <x:f>SUM(G634:K634)</x:f>
        <x:v>285.77</x:v>
      </x:c>
      <x:c r="M634" s="38" t="n">
        <x:v>348.758</x:v>
      </x:c>
      <x:c r="N634" s="38" t="n">
        <x:v>590.2</x:v>
      </x:c>
      <x:c r="O634" s="38" t="n">
        <x:v>444.75</x:v>
      </x:c>
      <x:c r="P634" s="38" t="n">
        <x:v>669.9</x:v>
      </x:c>
      <x:c r="Q634" s="38" t="n">
        <x:v>19.88</x:v>
      </x:c>
      <x:c r="R634" s="38" t="n">
        <x:v>43.7475</x:v>
      </x:c>
      <x:c r="S634" s="38" t="n">
        <x:v>84.25</x:v>
      </x:c>
      <x:c r="T634" s="40" t="n">
        <x:v>16.31</x:v>
      </x:c>
      <x:c r="U634" s="40" t="n">
        <x:v>1.03</x:v>
      </x:c>
      <x:c r="V634" s="38" t="n">
        <x:f>L634*(1-T634/100)*(1-U634/100)</x:f>
        <x:v>236.69755559609996</x:v>
      </x:c>
      <x:c r="W634" s="38" t="n">
        <x:f>G634*N634</x:f>
        <x:v>134983.4616</x:v>
      </x:c>
      <x:c r="X634" s="38" t="n">
        <x:f>H634*O634</x:f>
        <x:v>17152.2285</x:v>
      </x:c>
      <x:c r="Y634" s="38" t="n">
        <x:f>I634*P634</x:f>
        <x:v>8840.6703</x:v>
      </x:c>
      <x:c r="Z634" s="38" t="n">
        <x:f>J634*Q634+K634*P634</x:f>
        <x:v>327.65096</x:v>
      </x:c>
      <x:c r="AA634" s="38" t="n">
        <x:f>M634*R634</x:f>
        <x:v>15257.290605</x:v>
      </x:c>
      <x:c r="AB634" s="38" t="n">
        <x:f>SUM(W634:AA634)</x:f>
        <x:v>176561.301965</x:v>
      </x:c>
      <x:c r="AC634" s="38" t="n">
        <x:v>13.09</x:v>
      </x:c>
      <x:c r="AD634" s="38" t="n">
        <x:v>174.33</x:v>
      </x:c>
      <x:c r="AE634" s="38" t="n">
        <x:v>92.23</x:v>
      </x:c>
      <x:c r="AF634" s="38" t="n">
        <x:v>4.8148</x:v>
      </x:c>
      <x:c r="AG634" s="38" t="n">
        <x:v>5.35</x:v>
      </x:c>
      <x:c r="AH634" s="38" t="n">
        <x:f>IF(E634="Fason",L634*S634,0)</x:f>
        <x:v>0</x:v>
      </x:c>
      <x:c r="AI634" s="38" t="n">
        <x:f>IF(E634="Kurum içi",AC634*AD634+AE634*AF634+AB634*12%,0)</x:f>
        <x:v>23913.4049398</x:v>
      </x:c>
      <x:c r="AJ634" s="38" t="n">
        <x:f>V634*AG634</x:f>
        <x:v>1266.3319224391348</x:v>
      </x:c>
      <x:c r="AK634" s="38" t="n">
        <x:f>AB634*2%</x:f>
        <x:v>3531.2260392999997</x:v>
      </x:c>
      <x:c r="AL634" s="38" t="n">
        <x:f>AB634+AH634+AI634+AJ634+AK634</x:f>
        <x:v>205272.26486653913</x:v>
      </x:c>
      <x:c r="AM634" s="38" t="n">
        <x:f>AL634/V634</x:f>
        <x:v>867.234409538285</x:v>
      </x:c>
      <x:c r="AN634" s="40" t="n">
        <x:f>(W634+X634)/AL634*100</x:f>
        <x:v>74.11409924224948</x:v>
      </x:c>
      <x:c r="AO634" s="28" t="str">
        <x:v>R01-R20; ilgili satırdaki bölgesel fiyat ve maliyet varsayımları</x:v>
      </x:c>
      <x:c r="AP634" s="28" t="str">
        <x:v>Girdi miktarları, alım fiyatı değişimi, fason bedeli ve parti sonucu simüle edilmiştir; işletme kaydı değildir.</x:v>
      </x:c>
    </x:row>
    <x:row r="635" ht="22" customHeight="1">
      <x:c r="A635" t="str">
        <x:v>SUC-0634</x:v>
      </x:c>
      <x:c r="B635" s="36" t="n">
        <x:v>46298</x:v>
      </x:c>
      <x:c r="C635" t="str">
        <x:v>Güneydoğu Anadolu</x:v>
      </x:c>
      <x:c r="D635" t="str">
        <x:v>MEB_STANDART</x:v>
      </x:c>
      <x:c r="E635" t="str">
        <x:v>Kurum içi</x:v>
      </x:c>
      <x:c r="F635" s="42" t="str">
        <x:v>SENTETİK/SİMÜLE — gerçek parti kaydı değildir</x:v>
      </x:c>
      <x:c r="G635" s="38" t="n">
        <x:v>142.265</x:v>
      </x:c>
      <x:c r="H635" s="38" t="n">
        <x:v>43.582</x:v>
      </x:c>
      <x:c r="I635" s="38" t="n">
        <x:v>8.825</x:v>
      </x:c>
      <x:c r="J635" s="38" t="n">
        <x:v>4.756</x:v>
      </x:c>
      <x:c r="K635" s="38" t="n">
        <x:v>2.006</x:v>
      </x:c>
      <x:c r="L635" s="38" t="n">
        <x:f>SUM(G635:K635)</x:f>
        <x:v>201.43399999999997</x:v>
      </x:c>
      <x:c r="M635" s="38" t="n">
        <x:v>236.797</x:v>
      </x:c>
      <x:c r="N635" s="38" t="n">
        <x:v>597.85</x:v>
      </x:c>
      <x:c r="O635" s="38" t="n">
        <x:v>476.15</x:v>
      </x:c>
      <x:c r="P635" s="38" t="n">
        <x:v>550</x:v>
      </x:c>
      <x:c r="Q635" s="38" t="n">
        <x:v>19.88</x:v>
      </x:c>
      <x:c r="R635" s="38" t="n">
        <x:v>43.7475</x:v>
      </x:c>
      <x:c r="S635" s="38" t="n">
        <x:v>70.98</x:v>
      </x:c>
      <x:c r="T635" s="40" t="n">
        <x:v>32.97</x:v>
      </x:c>
      <x:c r="U635" s="40" t="n">
        <x:v>1.74</x:v>
      </x:c>
      <x:c r="V635" s="38" t="n">
        <x:f>L635*(1-T635/100)*(1-U635/100)</x:f>
        <x:v>132.67184114251998</x:v>
      </x:c>
      <x:c r="W635" s="38" t="n">
        <x:f>G635*N635</x:f>
        <x:v>85053.13025</x:v>
      </x:c>
      <x:c r="X635" s="38" t="n">
        <x:f>H635*O635</x:f>
        <x:v>20751.5693</x:v>
      </x:c>
      <x:c r="Y635" s="38" t="n">
        <x:f>I635*P635</x:f>
        <x:v>4853.75</x:v>
      </x:c>
      <x:c r="Z635" s="38" t="n">
        <x:f>J635*Q635+K635*P635</x:f>
        <x:v>1197.84928</x:v>
      </x:c>
      <x:c r="AA635" s="38" t="n">
        <x:f>M635*R635</x:f>
        <x:v>10359.2767575</x:v>
      </x:c>
      <x:c r="AB635" s="38" t="n">
        <x:f>SUM(W635:AA635)</x:f>
        <x:v>122215.5755875</x:v>
      </x:c>
      <x:c r="AC635" s="38" t="n">
        <x:v>13.62</x:v>
      </x:c>
      <x:c r="AD635" s="38" t="n">
        <x:v>174.33</x:v>
      </x:c>
      <x:c r="AE635" s="38" t="n">
        <x:v>65.54</x:v>
      </x:c>
      <x:c r="AF635" s="38" t="n">
        <x:v>4.8148</x:v>
      </x:c>
      <x:c r="AG635" s="38" t="n">
        <x:v>5.91</x:v>
      </x:c>
      <x:c r="AH635" s="38" t="n">
        <x:f>IF(E635="Fason",L635*S635,0)</x:f>
        <x:v>0</x:v>
      </x:c>
      <x:c r="AI635" s="38" t="n">
        <x:f>IF(E635="Kurum içi",AC635*AD635+AE635*AF635+AB635*12%,0)</x:f>
        <x:v>17355.8056625</x:v>
      </x:c>
      <x:c r="AJ635" s="38" t="n">
        <x:f>V635*AG635</x:f>
        <x:v>784.0905811522931</x:v>
      </x:c>
      <x:c r="AK635" s="38" t="n">
        <x:f>AB635*2%</x:f>
        <x:v>2444.31151175</x:v>
      </x:c>
      <x:c r="AL635" s="38" t="n">
        <x:f>AB635+AH635+AI635+AJ635+AK635</x:f>
        <x:v>142799.78334290232</x:v>
      </x:c>
      <x:c r="AM635" s="38" t="n">
        <x:f>AL635/V635</x:f>
        <x:v>1076.33829539987</x:v>
      </x:c>
      <x:c r="AN635" s="40" t="n">
        <x:f>(W635+X635)/AL635*100</x:f>
        <x:v>74.09303927018802</x:v>
      </x:c>
      <x:c r="AO635" s="28" t="str">
        <x:v>R01-R20; ilgili satırdaki bölgesel fiyat ve maliyet varsayımları</x:v>
      </x:c>
      <x:c r="AP635" s="28" t="str">
        <x:v>Girdi miktarları, alım fiyatı değişimi, fason bedeli ve parti sonucu simüle edilmiştir; işletme kaydı değildir.</x:v>
      </x:c>
    </x:row>
    <x:row r="636" ht="22" customHeight="1">
      <x:c r="A636" t="str">
        <x:v>SUC-0635</x:v>
      </x:c>
      <x:c r="B636" s="36" t="n">
        <x:v>46280</x:v>
      </x:c>
      <x:c r="C636" t="str">
        <x:v>İç Anadolu</x:v>
      </x:c>
      <x:c r="D636" t="str">
        <x:v>MEB_STANDART</x:v>
      </x:c>
      <x:c r="E636" t="str">
        <x:v>Fason</x:v>
      </x:c>
      <x:c r="F636" s="42" t="str">
        <x:v>SENTETİK/SİMÜLE — gerçek parti kaydı değildir</x:v>
      </x:c>
      <x:c r="G636" s="38" t="n">
        <x:v>288.109</x:v>
      </x:c>
      <x:c r="H636" s="38" t="n">
        <x:v>86.881</x:v>
      </x:c>
      <x:c r="I636" s="38" t="n">
        <x:v>17.184</x:v>
      </x:c>
      <x:c r="J636" s="38" t="n">
        <x:v>9.49</x:v>
      </x:c>
      <x:c r="K636" s="38" t="n">
        <x:v>4.44</x:v>
      </x:c>
      <x:c r="L636" s="38" t="n">
        <x:f>SUM(G636:K636)</x:f>
        <x:v>406.10400000000004</x:v>
      </x:c>
      <x:c r="M636" s="38" t="n">
        <x:v>487.167</x:v>
      </x:c>
      <x:c r="N636" s="38" t="n">
        <x:v>576.44</x:v>
      </x:c>
      <x:c r="O636" s="38" t="n">
        <x:v>479.36</x:v>
      </x:c>
      <x:c r="P636" s="38" t="n">
        <x:v>400</x:v>
      </x:c>
      <x:c r="Q636" s="38" t="n">
        <x:v>19.88</x:v>
      </x:c>
      <x:c r="R636" s="38" t="n">
        <x:v>43.7475</x:v>
      </x:c>
      <x:c r="S636" s="38" t="n">
        <x:v>101.71</x:v>
      </x:c>
      <x:c r="T636" s="40" t="n">
        <x:v>17.63</x:v>
      </x:c>
      <x:c r="U636" s="40" t="n">
        <x:v>0.59</x:v>
      </x:c>
      <x:c r="V636" s="38" t="n">
        <x:f>L636*(1-T636/100)*(1-U636/100)</x:f>
        <x:v>332.53426839768</x:v>
      </x:c>
      <x:c r="W636" s="38" t="n">
        <x:f>G636*N636</x:f>
        <x:v>166077.55196</x:v>
      </x:c>
      <x:c r="X636" s="38" t="n">
        <x:f>H636*O636</x:f>
        <x:v>41647.27616</x:v>
      </x:c>
      <x:c r="Y636" s="38" t="n">
        <x:f>I636*P636</x:f>
        <x:v>6873.6</x:v>
      </x:c>
      <x:c r="Z636" s="38" t="n">
        <x:f>J636*Q636+K636*P636</x:f>
        <x:v>1964.6612000000002</x:v>
      </x:c>
      <x:c r="AA636" s="38" t="n">
        <x:f>M636*R636</x:f>
        <x:v>21312.3383325</x:v>
      </x:c>
      <x:c r="AB636" s="38" t="n">
        <x:f>SUM(W636:AA636)</x:f>
        <x:v>237875.42765250002</x:v>
      </x:c>
      <x:c r="AC636" s="38" t="n">
        <x:v>22.12</x:v>
      </x:c>
      <x:c r="AD636" s="38" t="n">
        <x:v>174.33</x:v>
      </x:c>
      <x:c r="AE636" s="38" t="n">
        <x:v>97.28</x:v>
      </x:c>
      <x:c r="AF636" s="38" t="n">
        <x:v>4.8148</x:v>
      </x:c>
      <x:c r="AG636" s="38" t="n">
        <x:v>5.91</x:v>
      </x:c>
      <x:c r="AH636" s="38" t="n">
        <x:f>IF(E636="Fason",L636*S636,0)</x:f>
        <x:v>41304.83784</x:v>
      </x:c>
      <x:c r="AI636" s="38" t="n">
        <x:f>IF(E636="Kurum içi",AC636*AD636+AE636*AF636+AB636*12%,0)</x:f>
        <x:v>0</x:v>
      </x:c>
      <x:c r="AJ636" s="38" t="n">
        <x:f>V636*AG636</x:f>
        <x:v>1965.277526230289</x:v>
      </x:c>
      <x:c r="AK636" s="38" t="n">
        <x:f>AB636*2%</x:f>
        <x:v>4757.50855305</x:v>
      </x:c>
      <x:c r="AL636" s="38" t="n">
        <x:f>AB636+AH636+AI636+AJ636+AK636</x:f>
        <x:v>285903.0515717803</x:v>
      </x:c>
      <x:c r="AM636" s="38" t="n">
        <x:f>AL636/V636</x:f>
        <x:v>859.7701913532318</x:v>
      </x:c>
      <x:c r="AN636" s="40" t="n">
        <x:f>(W636+X636)/AL636*100</x:f>
        <x:v>72.65568764586885</x:v>
      </x:c>
      <x:c r="AO636" s="28" t="str">
        <x:v>R01-R20; ilgili satırdaki bölgesel fiyat ve maliyet varsayımları</x:v>
      </x:c>
      <x:c r="AP636" s="28" t="str">
        <x:v>Girdi miktarları, alım fiyatı değişimi, fason bedeli ve parti sonucu simüle edilmiştir; işletme kaydı değildir.</x:v>
      </x:c>
    </x:row>
    <x:row r="637" ht="22" customHeight="1">
      <x:c r="A637" t="str">
        <x:v>SUC-0636</x:v>
      </x:c>
      <x:c r="B637" s="36" t="n">
        <x:v>46306</x:v>
      </x:c>
      <x:c r="C637" t="str">
        <x:v>Güneydoğu Anadolu</x:v>
      </x:c>
      <x:c r="D637" t="str">
        <x:v>MEB_STANDART</x:v>
      </x:c>
      <x:c r="E637" t="str">
        <x:v>Kurum içi</x:v>
      </x:c>
      <x:c r="F637" s="42" t="str">
        <x:v>SENTETİK/SİMÜLE — gerçek parti kaydı değildir</x:v>
      </x:c>
      <x:c r="G637" s="38" t="n">
        <x:v>284.254</x:v>
      </x:c>
      <x:c r="H637" s="38" t="n">
        <x:v>89.624</x:v>
      </x:c>
      <x:c r="I637" s="38" t="n">
        <x:v>17.669</x:v>
      </x:c>
      <x:c r="J637" s="38" t="n">
        <x:v>9.637</x:v>
      </x:c>
      <x:c r="K637" s="38" t="n">
        <x:v>3.821</x:v>
      </x:c>
      <x:c r="L637" s="38" t="n">
        <x:f>SUM(G637:K637)</x:f>
        <x:v>405.00500000000005</x:v>
      </x:c>
      <x:c r="M637" s="38" t="n">
        <x:v>502.504</x:v>
      </x:c>
      <x:c r="N637" s="38" t="n">
        <x:v>568.96</x:v>
      </x:c>
      <x:c r="O637" s="38" t="n">
        <x:v>475.01</x:v>
      </x:c>
      <x:c r="P637" s="38" t="n">
        <x:v>400</x:v>
      </x:c>
      <x:c r="Q637" s="38" t="n">
        <x:v>19.88</x:v>
      </x:c>
      <x:c r="R637" s="38" t="n">
        <x:v>43.7475</x:v>
      </x:c>
      <x:c r="S637" s="38" t="n">
        <x:v>96.37</x:v>
      </x:c>
      <x:c r="T637" s="40" t="n">
        <x:v>26.35</x:v>
      </x:c>
      <x:c r="U637" s="40" t="n">
        <x:v>0.84</x:v>
      </x:c>
      <x:c r="V637" s="38" t="n">
        <x:f>L637*(1-T637/100)*(1-U637/100)</x:f>
        <x:v>295.780578567</x:v>
      </x:c>
      <x:c r="W637" s="38" t="n">
        <x:f>G637*N637</x:f>
        <x:v>161729.15584000002</x:v>
      </x:c>
      <x:c r="X637" s="38" t="n">
        <x:f>H637*O637</x:f>
        <x:v>42572.296239999996</x:v>
      </x:c>
      <x:c r="Y637" s="38" t="n">
        <x:f>I637*P637</x:f>
        <x:v>7067.6</x:v>
      </x:c>
      <x:c r="Z637" s="38" t="n">
        <x:f>J637*Q637+K637*P637</x:f>
        <x:v>1719.9835600000001</x:v>
      </x:c>
      <x:c r="AA637" s="38" t="n">
        <x:f>M637*R637</x:f>
        <x:v>21983.29374</x:v>
      </x:c>
      <x:c r="AB637" s="38" t="n">
        <x:f>SUM(W637:AA637)</x:f>
        <x:v>235072.32938</x:v>
      </x:c>
      <x:c r="AC637" s="38" t="n">
        <x:v>16.32</x:v>
      </x:c>
      <x:c r="AD637" s="38" t="n">
        <x:v>174.33</x:v>
      </x:c>
      <x:c r="AE637" s="38" t="n">
        <x:v>166.09</x:v>
      </x:c>
      <x:c r="AF637" s="38" t="n">
        <x:v>4.8148</x:v>
      </x:c>
      <x:c r="AG637" s="38" t="n">
        <x:v>5.13</x:v>
      </x:c>
      <x:c r="AH637" s="38" t="n">
        <x:f>IF(E637="Fason",L637*S637,0)</x:f>
        <x:v>0</x:v>
      </x:c>
      <x:c r="AI637" s="38" t="n">
        <x:f>IF(E637="Kurum içi",AC637*AD637+AE637*AF637+AB637*12%,0)</x:f>
        <x:v>31853.435257600002</x:v>
      </x:c>
      <x:c r="AJ637" s="38" t="n">
        <x:f>V637*AG637</x:f>
        <x:v>1517.35436804871</x:v>
      </x:c>
      <x:c r="AK637" s="38" t="n">
        <x:f>AB637*2%</x:f>
        <x:v>4701.4465876</x:v>
      </x:c>
      <x:c r="AL637" s="38" t="n">
        <x:f>AB637+AH637+AI637+AJ637+AK637</x:f>
        <x:v>273144.5655932487</x:v>
      </x:c>
      <x:c r="AM637" s="38" t="n">
        <x:f>AL637/V637</x:f>
        <x:v>923.4702525655388</x:v>
      </x:c>
      <x:c r="AN637" s="40" t="n">
        <x:f>(W637+X637)/AL637*100</x:f>
        <x:v>74.79608889024506</x:v>
      </x:c>
      <x:c r="AO637" s="28" t="str">
        <x:v>R01-R20; ilgili satırdaki bölgesel fiyat ve maliyet varsayımları</x:v>
      </x:c>
      <x:c r="AP637" s="28" t="str">
        <x:v>Girdi miktarları, alım fiyatı değişimi, fason bedeli ve parti sonucu simüle edilmiştir; işletme kaydı değildir.</x:v>
      </x:c>
    </x:row>
    <x:row r="638" ht="22" customHeight="1">
      <x:c r="A638" t="str">
        <x:v>SUC-0637</x:v>
      </x:c>
      <x:c r="B638" s="36" t="n">
        <x:v>46291</x:v>
      </x:c>
      <x:c r="C638" t="str">
        <x:v>İç Anadolu</x:v>
      </x:c>
      <x:c r="D638" t="str">
        <x:v>MEB_STANDART</x:v>
      </x:c>
      <x:c r="E638" t="str">
        <x:v>Fason</x:v>
      </x:c>
      <x:c r="F638" s="42" t="str">
        <x:v>SENTETİK/SİMÜLE — gerçek parti kaydı değildir</x:v>
      </x:c>
      <x:c r="G638" s="38" t="n">
        <x:v>292.496</x:v>
      </x:c>
      <x:c r="H638" s="38" t="n">
        <x:v>93.318</x:v>
      </x:c>
      <x:c r="I638" s="38" t="n">
        <x:v>18.655</x:v>
      </x:c>
      <x:c r="J638" s="38" t="n">
        <x:v>9.956</x:v>
      </x:c>
      <x:c r="K638" s="38" t="n">
        <x:v>4.76</x:v>
      </x:c>
      <x:c r="L638" s="38" t="n">
        <x:f>SUM(G638:K638)</x:f>
        <x:v>419.18499999999995</x:v>
      </x:c>
      <x:c r="M638" s="38" t="n">
        <x:v>565.486</x:v>
      </x:c>
      <x:c r="N638" s="38" t="n">
        <x:v>590.69</x:v>
      </x:c>
      <x:c r="O638" s="38" t="n">
        <x:v>463.36</x:v>
      </x:c>
      <x:c r="P638" s="38" t="n">
        <x:v>669.9</x:v>
      </x:c>
      <x:c r="Q638" s="38" t="n">
        <x:v>19.88</x:v>
      </x:c>
      <x:c r="R638" s="38" t="n">
        <x:v>43.7475</x:v>
      </x:c>
      <x:c r="S638" s="38" t="n">
        <x:v>77.14</x:v>
      </x:c>
      <x:c r="T638" s="40" t="n">
        <x:v>19.73</x:v>
      </x:c>
      <x:c r="U638" s="40" t="n">
        <x:v>1.17</x:v>
      </x:c>
      <x:c r="V638" s="38" t="n">
        <x:f>L638*(1-T638/100)*(1-U638/100)</x:f>
        <x:v>332.54298584584996</x:v>
      </x:c>
      <x:c r="W638" s="38" t="n">
        <x:f>G638*N638</x:f>
        <x:v>172774.46224</x:v>
      </x:c>
      <x:c r="X638" s="38" t="n">
        <x:f>H638*O638</x:f>
        <x:v>43239.828480000004</x:v>
      </x:c>
      <x:c r="Y638" s="38" t="n">
        <x:f>I638*P638</x:f>
        <x:v>12496.9845</x:v>
      </x:c>
      <x:c r="Z638" s="38" t="n">
        <x:f>J638*Q638+K638*P638</x:f>
        <x:v>3386.6492799999996</x:v>
      </x:c>
      <x:c r="AA638" s="38" t="n">
        <x:f>M638*R638</x:f>
        <x:v>24738.598785000002</x:v>
      </x:c>
      <x:c r="AB638" s="38" t="n">
        <x:f>SUM(W638:AA638)</x:f>
        <x:v>256636.523285</x:v>
      </x:c>
      <x:c r="AC638" s="38" t="n">
        <x:v>19.79</x:v>
      </x:c>
      <x:c r="AD638" s="38" t="n">
        <x:v>174.33</x:v>
      </x:c>
      <x:c r="AE638" s="38" t="n">
        <x:v>162.4</x:v>
      </x:c>
      <x:c r="AF638" s="38" t="n">
        <x:v>4.8148</x:v>
      </x:c>
      <x:c r="AG638" s="38" t="n">
        <x:v>5.69</x:v>
      </x:c>
      <x:c r="AH638" s="38" t="n">
        <x:f>IF(E638="Fason",L638*S638,0)</x:f>
        <x:v>32335.930899999996</x:v>
      </x:c>
      <x:c r="AI638" s="38" t="n">
        <x:f>IF(E638="Kurum içi",AC638*AD638+AE638*AF638+AB638*12%,0)</x:f>
        <x:v>0</x:v>
      </x:c>
      <x:c r="AJ638" s="38" t="n">
        <x:f>V638*AG638</x:f>
        <x:v>1892.1695894628863</x:v>
      </x:c>
      <x:c r="AK638" s="38" t="n">
        <x:f>AB638*2%</x:f>
        <x:v>5132.7304657</x:v>
      </x:c>
      <x:c r="AL638" s="38" t="n">
        <x:f>AB638+AH638+AI638+AJ638+AK638</x:f>
        <x:v>295997.3542401628</x:v>
      </x:c>
      <x:c r="AM638" s="38" t="n">
        <x:f>AL638/V638</x:f>
        <x:v>890.1025336236446</x:v>
      </x:c>
      <x:c r="AN638" s="40" t="n">
        <x:f>(W638+X638)/AL638*100</x:f>
        <x:v>72.9784532279072</x:v>
      </x:c>
      <x:c r="AO638" s="28" t="str">
        <x:v>R01-R20; ilgili satırdaki bölgesel fiyat ve maliyet varsayımları</x:v>
      </x:c>
      <x:c r="AP638" s="28" t="str">
        <x:v>Girdi miktarları, alım fiyatı değişimi, fason bedeli ve parti sonucu simüle edilmiştir; işletme kaydı değildir.</x:v>
      </x:c>
    </x:row>
    <x:row r="639" ht="22" customHeight="1">
      <x:c r="A639" t="str">
        <x:v>SUC-0638</x:v>
      </x:c>
      <x:c r="B639" s="36" t="n">
        <x:v>46285</x:v>
      </x:c>
      <x:c r="C639" t="str">
        <x:v>Marmara</x:v>
      </x:c>
      <x:c r="D639" t="str">
        <x:v>MEB_STANDART</x:v>
      </x:c>
      <x:c r="E639" t="str">
        <x:v>Kurum içi</x:v>
      </x:c>
      <x:c r="F639" s="42" t="str">
        <x:v>SENTETİK/SİMÜLE — gerçek parti kaydı değildir</x:v>
      </x:c>
      <x:c r="G639" s="38" t="n">
        <x:v>284.051</x:v>
      </x:c>
      <x:c r="H639" s="38" t="n">
        <x:v>92.589</x:v>
      </x:c>
      <x:c r="I639" s="38" t="n">
        <x:v>18.99</x:v>
      </x:c>
      <x:c r="J639" s="38" t="n">
        <x:v>10.877</x:v>
      </x:c>
      <x:c r="K639" s="38" t="n">
        <x:v>3.7</x:v>
      </x:c>
      <x:c r="L639" s="38" t="n">
        <x:f>SUM(G639:K639)</x:f>
        <x:v>410.207</x:v>
      </x:c>
      <x:c r="M639" s="38" t="n">
        <x:v>508.016</x:v>
      </x:c>
      <x:c r="N639" s="38" t="n">
        <x:v>601.06</x:v>
      </x:c>
      <x:c r="O639" s="38" t="n">
        <x:v>422.59</x:v>
      </x:c>
      <x:c r="P639" s="38" t="n">
        <x:v>669.9</x:v>
      </x:c>
      <x:c r="Q639" s="38" t="n">
        <x:v>19.88</x:v>
      </x:c>
      <x:c r="R639" s="38" t="n">
        <x:v>43.7475</x:v>
      </x:c>
      <x:c r="S639" s="38" t="n">
        <x:v>90.94</x:v>
      </x:c>
      <x:c r="T639" s="40" t="n">
        <x:v>20.25</x:v>
      </x:c>
      <x:c r="U639" s="40" t="n">
        <x:v>1.43</x:v>
      </x:c>
      <x:c r="V639" s="38" t="n">
        <x:f>L639*(1-T639/100)*(1-U639/100)</x:f>
        <x:v>322.46197932025</x:v>
      </x:c>
      <x:c r="W639" s="38" t="n">
        <x:f>G639*N639</x:f>
        <x:v>170731.69405999998</x:v>
      </x:c>
      <x:c r="X639" s="38" t="n">
        <x:f>H639*O639</x:f>
        <x:v>39127.185509999996</x:v>
      </x:c>
      <x:c r="Y639" s="38" t="n">
        <x:f>I639*P639</x:f>
        <x:v>12721.400999999998</x:v>
      </x:c>
      <x:c r="Z639" s="38" t="n">
        <x:f>J639*Q639+K639*P639</x:f>
        <x:v>2694.86476</x:v>
      </x:c>
      <x:c r="AA639" s="38" t="n">
        <x:f>M639*R639</x:f>
        <x:v>22224.42996</x:v>
      </x:c>
      <x:c r="AB639" s="38" t="n">
        <x:f>SUM(W639:AA639)</x:f>
        <x:v>247499.57529</x:v>
      </x:c>
      <x:c r="AC639" s="38" t="n">
        <x:v>21.6</x:v>
      </x:c>
      <x:c r="AD639" s="38" t="n">
        <x:v>174.33</x:v>
      </x:c>
      <x:c r="AE639" s="38" t="n">
        <x:v>109.19</x:v>
      </x:c>
      <x:c r="AF639" s="38" t="n">
        <x:v>4.8148</x:v>
      </x:c>
      <x:c r="AG639" s="38" t="n">
        <x:v>5.9</x:v>
      </x:c>
      <x:c r="AH639" s="38" t="n">
        <x:f>IF(E639="Fason",L639*S639,0)</x:f>
        <x:v>0</x:v>
      </x:c>
      <x:c r="AI639" s="38" t="n">
        <x:f>IF(E639="Kurum içi",AC639*AD639+AE639*AF639+AB639*12%,0)</x:f>
        <x:v>33991.2050468</x:v>
      </x:c>
      <x:c r="AJ639" s="38" t="n">
        <x:f>V639*AG639</x:f>
        <x:v>1902.525677989475</x:v>
      </x:c>
      <x:c r="AK639" s="38" t="n">
        <x:f>AB639*2%</x:f>
        <x:v>4949.991505800001</x:v>
      </x:c>
      <x:c r="AL639" s="38" t="n">
        <x:f>AB639+AH639+AI639+AJ639+AK639</x:f>
        <x:v>288343.2975205895</x:v>
      </x:c>
      <x:c r="AM639" s="38" t="n">
        <x:f>AL639/V639</x:f>
        <x:v>894.1931638837461</x:v>
      </x:c>
      <x:c r="AN639" s="40" t="n">
        <x:f>(W639+X639)/AL639*100</x:f>
        <x:v>72.78091128683674</x:v>
      </x:c>
      <x:c r="AO639" s="28" t="str">
        <x:v>R01-R20; ilgili satırdaki bölgesel fiyat ve maliyet varsayımları</x:v>
      </x:c>
      <x:c r="AP639" s="28" t="str">
        <x:v>Girdi miktarları, alım fiyatı değişimi, fason bedeli ve parti sonucu simüle edilmiştir; işletme kaydı değildir.</x:v>
      </x:c>
    </x:row>
    <x:row r="640" ht="22" customHeight="1">
      <x:c r="A640" t="str">
        <x:v>SUC-0639</x:v>
      </x:c>
      <x:c r="B640" s="36" t="n">
        <x:v>46303</x:v>
      </x:c>
      <x:c r="C640" t="str">
        <x:v>Doğu Anadolu</x:v>
      </x:c>
      <x:c r="D640" t="str">
        <x:v>MEB_STANDART</x:v>
      </x:c>
      <x:c r="E640" t="str">
        <x:v>Kurum içi</x:v>
      </x:c>
      <x:c r="F640" s="42" t="str">
        <x:v>SENTETİK/SİMÜLE — gerçek parti kaydı değildir</x:v>
      </x:c>
      <x:c r="G640" s="38" t="n">
        <x:v>232.386</x:v>
      </x:c>
      <x:c r="H640" s="38" t="n">
        <x:v>71.02</x:v>
      </x:c>
      <x:c r="I640" s="38" t="n">
        <x:v>14.143</x:v>
      </x:c>
      <x:c r="J640" s="38" t="n">
        <x:v>7.95</x:v>
      </x:c>
      <x:c r="K640" s="38" t="n">
        <x:v>3.626</x:v>
      </x:c>
      <x:c r="L640" s="38" t="n">
        <x:f>SUM(G640:K640)</x:f>
        <x:v>329.12499999999994</x:v>
      </x:c>
      <x:c r="M640" s="38" t="n">
        <x:v>386.309</x:v>
      </x:c>
      <x:c r="N640" s="38" t="n">
        <x:v>577.99</x:v>
      </x:c>
      <x:c r="O640" s="38" t="n">
        <x:v>463.5</x:v>
      </x:c>
      <x:c r="P640" s="38" t="n">
        <x:v>669.9</x:v>
      </x:c>
      <x:c r="Q640" s="38" t="n">
        <x:v>19.88</x:v>
      </x:c>
      <x:c r="R640" s="38" t="n">
        <x:v>43.7475</x:v>
      </x:c>
      <x:c r="S640" s="38" t="n">
        <x:v>113.04</x:v>
      </x:c>
      <x:c r="T640" s="40" t="n">
        <x:v>33.68</x:v>
      </x:c>
      <x:c r="U640" s="40" t="n">
        <x:v>1.67</x:v>
      </x:c>
      <x:c r="V640" s="38" t="n">
        <x:f>L640*(1-T640/100)*(1-U640/100)</x:f>
        <x:v>214.63049580999996</x:v>
      </x:c>
      <x:c r="W640" s="38" t="n">
        <x:f>G640*N640</x:f>
        <x:v>134316.78414</x:v>
      </x:c>
      <x:c r="X640" s="38" t="n">
        <x:f>H640*O640</x:f>
        <x:v>32917.77</x:v>
      </x:c>
      <x:c r="Y640" s="38" t="n">
        <x:f>I640*P640</x:f>
        <x:v>9474.395700000001</x:v>
      </x:c>
      <x:c r="Z640" s="38" t="n">
        <x:f>J640*Q640+K640*P640</x:f>
        <x:v>2587.1033999999995</x:v>
      </x:c>
      <x:c r="AA640" s="38" t="n">
        <x:f>M640*R640</x:f>
        <x:v>16900.052977500003</x:v>
      </x:c>
      <x:c r="AB640" s="38" t="n">
        <x:f>SUM(W640:AA640)</x:f>
        <x:v>196196.1062175</x:v>
      </x:c>
      <x:c r="AC640" s="38" t="n">
        <x:v>16.81</x:v>
      </x:c>
      <x:c r="AD640" s="38" t="n">
        <x:v>174.33</x:v>
      </x:c>
      <x:c r="AE640" s="38" t="n">
        <x:v>103.8</x:v>
      </x:c>
      <x:c r="AF640" s="38" t="n">
        <x:v>4.8148</x:v>
      </x:c>
      <x:c r="AG640" s="38" t="n">
        <x:v>5.29</x:v>
      </x:c>
      <x:c r="AH640" s="38" t="n">
        <x:f>IF(E640="Fason",L640*S640,0)</x:f>
        <x:v>0</x:v>
      </x:c>
      <x:c r="AI640" s="38" t="n">
        <x:f>IF(E640="Kurum içi",AC640*AD640+AE640*AF640+AB640*12%,0)</x:f>
        <x:v>26973.796286099998</x:v>
      </x:c>
      <x:c r="AJ640" s="38" t="n">
        <x:f>V640*AG640</x:f>
        <x:v>1135.3953228348998</x:v>
      </x:c>
      <x:c r="AK640" s="38" t="n">
        <x:f>AB640*2%</x:f>
        <x:v>3923.92212435</x:v>
      </x:c>
      <x:c r="AL640" s="38" t="n">
        <x:f>AB640+AH640+AI640+AJ640+AK640</x:f>
        <x:v>228229.2199507849</x:v>
      </x:c>
      <x:c r="AM640" s="38" t="n">
        <x:f>AL640/V640</x:f>
        <x:v>1063.358769635528</x:v>
      </x:c>
      <x:c r="AN640" s="40" t="n">
        <x:f>(W640+X640)/AL640*100</x:f>
        <x:v>73.27482176737153</x:v>
      </x:c>
      <x:c r="AO640" s="28" t="str">
        <x:v>R01-R20; ilgili satırdaki bölgesel fiyat ve maliyet varsayımları</x:v>
      </x:c>
      <x:c r="AP640" s="28" t="str">
        <x:v>Girdi miktarları, alım fiyatı değişimi, fason bedeli ve parti sonucu simüle edilmiştir; işletme kaydı değildir.</x:v>
      </x:c>
    </x:row>
    <x:row r="641" ht="22" customHeight="1">
      <x:c r="A641" t="str">
        <x:v>SUC-0640</x:v>
      </x:c>
      <x:c r="B641" s="36" t="n">
        <x:v>46268</x:v>
      </x:c>
      <x:c r="C641" t="str">
        <x:v>Marmara</x:v>
      </x:c>
      <x:c r="D641" t="str">
        <x:v>MEB_STANDART</x:v>
      </x:c>
      <x:c r="E641" t="str">
        <x:v>Kurum içi</x:v>
      </x:c>
      <x:c r="F641" s="42" t="str">
        <x:v>SENTETİK/SİMÜLE — gerçek parti kaydı değildir</x:v>
      </x:c>
      <x:c r="G641" s="38" t="n">
        <x:v>204.961</x:v>
      </x:c>
      <x:c r="H641" s="38" t="n">
        <x:v>64.456</x:v>
      </x:c>
      <x:c r="I641" s="38" t="n">
        <x:v>12.128</x:v>
      </x:c>
      <x:c r="J641" s="38" t="n">
        <x:v>7.323</x:v>
      </x:c>
      <x:c r="K641" s="38" t="n">
        <x:v>3.015</x:v>
      </x:c>
      <x:c r="L641" s="38" t="n">
        <x:f>SUM(G641:K641)</x:f>
        <x:v>291.883</x:v>
      </x:c>
      <x:c r="M641" s="38" t="n">
        <x:v>363.011</x:v>
      </x:c>
      <x:c r="N641" s="38" t="n">
        <x:v>604.65</x:v>
      </x:c>
      <x:c r="O641" s="38" t="n">
        <x:v>432.57</x:v>
      </x:c>
      <x:c r="P641" s="38" t="n">
        <x:v>550</x:v>
      </x:c>
      <x:c r="Q641" s="38" t="n">
        <x:v>19.88</x:v>
      </x:c>
      <x:c r="R641" s="38" t="n">
        <x:v>43.7475</x:v>
      </x:c>
      <x:c r="S641" s="38" t="n">
        <x:v>89.91</x:v>
      </x:c>
      <x:c r="T641" s="40" t="n">
        <x:v>18.56</x:v>
      </x:c>
      <x:c r="U641" s="40" t="n">
        <x:v>1.56</x:v>
      </x:c>
      <x:c r="V641" s="38" t="n">
        <x:f>L641*(1-T641/100)*(1-U641/100)</x:f>
        <x:v>234.00124676288002</x:v>
      </x:c>
      <x:c r="W641" s="38" t="n">
        <x:f>G641*N641</x:f>
        <x:v>123929.66865</x:v>
      </x:c>
      <x:c r="X641" s="38" t="n">
        <x:f>H641*O641</x:f>
        <x:v>27881.731920000002</x:v>
      </x:c>
      <x:c r="Y641" s="38" t="n">
        <x:f>I641*P641</x:f>
        <x:v>6670.4</x:v>
      </x:c>
      <x:c r="Z641" s="38" t="n">
        <x:f>J641*Q641+K641*P641</x:f>
        <x:v>1803.83124</x:v>
      </x:c>
      <x:c r="AA641" s="38" t="n">
        <x:f>M641*R641</x:f>
        <x:v>15880.823722500001</x:v>
      </x:c>
      <x:c r="AB641" s="38" t="n">
        <x:f>SUM(W641:AA641)</x:f>
        <x:v>176166.4555325</x:v>
      </x:c>
      <x:c r="AC641" s="38" t="n">
        <x:v>18.8</x:v>
      </x:c>
      <x:c r="AD641" s="38" t="n">
        <x:v>174.33</x:v>
      </x:c>
      <x:c r="AE641" s="38" t="n">
        <x:v>94.98</x:v>
      </x:c>
      <x:c r="AF641" s="38" t="n">
        <x:v>4.8148</x:v>
      </x:c>
      <x:c r="AG641" s="38" t="n">
        <x:v>5.84</x:v>
      </x:c>
      <x:c r="AH641" s="38" t="n">
        <x:f>IF(E641="Fason",L641*S641,0)</x:f>
        <x:v>0</x:v>
      </x:c>
      <x:c r="AI641" s="38" t="n">
        <x:f>IF(E641="Kurum içi",AC641*AD641+AE641*AF641+AB641*12%,0)</x:f>
        <x:v>24874.688367900002</x:v>
      </x:c>
      <x:c r="AJ641" s="38" t="n">
        <x:f>V641*AG641</x:f>
        <x:v>1366.5672810952192</x:v>
      </x:c>
      <x:c r="AK641" s="38" t="n">
        <x:f>AB641*2%</x:f>
        <x:v>3523.32911065</x:v>
      </x:c>
      <x:c r="AL641" s="38" t="n">
        <x:f>AB641+AH641+AI641+AJ641+AK641</x:f>
        <x:v>205931.04029214522</x:v>
      </x:c>
      <x:c r="AM641" s="38" t="n">
        <x:f>AL641/V641</x:f>
        <x:v>880.0424918283486</x:v>
      </x:c>
      <x:c r="AN641" s="40" t="n">
        <x:f>(W641+X641)/AL641*100</x:f>
        <x:v>73.71953269144463</x:v>
      </x:c>
      <x:c r="AO641" s="28" t="str">
        <x:v>R01-R20; ilgili satırdaki bölgesel fiyat ve maliyet varsayımları</x:v>
      </x:c>
      <x:c r="AP641" s="28" t="str">
        <x:v>Girdi miktarları, alım fiyatı değişimi, fason bedeli ve parti sonucu simüle edilmiştir; işletme kaydı değildir.</x:v>
      </x:c>
    </x:row>
    <x:row r="642" ht="22" customHeight="1">
      <x:c r="A642" t="str">
        <x:v>SUC-0641</x:v>
      </x:c>
      <x:c r="B642" s="36" t="n">
        <x:v>46313</x:v>
      </x:c>
      <x:c r="C642" t="str">
        <x:v>Ege</x:v>
      </x:c>
      <x:c r="D642" t="str">
        <x:v>MEB_STANDART</x:v>
      </x:c>
      <x:c r="E642" t="str">
        <x:v>Fason</x:v>
      </x:c>
      <x:c r="F642" s="42" t="str">
        <x:v>SENTETİK/SİMÜLE — gerçek parti kaydı değildir</x:v>
      </x:c>
      <x:c r="G642" s="38" t="n">
        <x:v>252.871</x:v>
      </x:c>
      <x:c r="H642" s="38" t="n">
        <x:v>76.014</x:v>
      </x:c>
      <x:c r="I642" s="38" t="n">
        <x:v>16.777</x:v>
      </x:c>
      <x:c r="J642" s="38" t="n">
        <x:v>9.433</x:v>
      </x:c>
      <x:c r="K642" s="38" t="n">
        <x:v>3.98</x:v>
      </x:c>
      <x:c r="L642" s="38" t="n">
        <x:f>SUM(G642:K642)</x:f>
        <x:v>359.075</x:v>
      </x:c>
      <x:c r="M642" s="38" t="n">
        <x:v>468.92</x:v>
      </x:c>
      <x:c r="N642" s="38" t="n">
        <x:v>592.36</x:v>
      </x:c>
      <x:c r="O642" s="38" t="n">
        <x:v>463.41</x:v>
      </x:c>
      <x:c r="P642" s="38" t="n">
        <x:v>400</x:v>
      </x:c>
      <x:c r="Q642" s="38" t="n">
        <x:v>19.88</x:v>
      </x:c>
      <x:c r="R642" s="38" t="n">
        <x:v>43.7475</x:v>
      </x:c>
      <x:c r="S642" s="38" t="n">
        <x:v>113.04</x:v>
      </x:c>
      <x:c r="T642" s="40" t="n">
        <x:v>30.43</x:v>
      </x:c>
      <x:c r="U642" s="40" t="n">
        <x:v>0.47</x:v>
      </x:c>
      <x:c r="V642" s="38" t="n">
        <x:f>L642*(1-T642/100)*(1-U642/100)</x:f>
        <x:v>248.63437765574997</x:v>
      </x:c>
      <x:c r="W642" s="38" t="n">
        <x:f>G642*N642</x:f>
        <x:v>149790.66556000002</x:v>
      </x:c>
      <x:c r="X642" s="38" t="n">
        <x:f>H642*O642</x:f>
        <x:v>35225.64774</x:v>
      </x:c>
      <x:c r="Y642" s="38" t="n">
        <x:f>I642*P642</x:f>
        <x:v>6710.8</x:v>
      </x:c>
      <x:c r="Z642" s="38" t="n">
        <x:f>J642*Q642+K642*P642</x:f>
        <x:v>1779.52804</x:v>
      </x:c>
      <x:c r="AA642" s="38" t="n">
        <x:f>M642*R642</x:f>
        <x:v>20514.0777</x:v>
      </x:c>
      <x:c r="AB642" s="38" t="n">
        <x:f>SUM(W642:AA642)</x:f>
        <x:v>214020.71904000003</x:v>
      </x:c>
      <x:c r="AC642" s="38" t="n">
        <x:v>15.26</x:v>
      </x:c>
      <x:c r="AD642" s="38" t="n">
        <x:v>174.33</x:v>
      </x:c>
      <x:c r="AE642" s="38" t="n">
        <x:v>126.75</x:v>
      </x:c>
      <x:c r="AF642" s="38" t="n">
        <x:v>4.8148</x:v>
      </x:c>
      <x:c r="AG642" s="38" t="n">
        <x:v>5.21</x:v>
      </x:c>
      <x:c r="AH642" s="38" t="n">
        <x:f>IF(E642="Fason",L642*S642,0)</x:f>
        <x:v>40589.838</x:v>
      </x:c>
      <x:c r="AI642" s="38" t="n">
        <x:f>IF(E642="Kurum içi",AC642*AD642+AE642*AF642+AB642*12%,0)</x:f>
        <x:v>0</x:v>
      </x:c>
      <x:c r="AJ642" s="38" t="n">
        <x:f>V642*AG642</x:f>
        <x:v>1295.3851075864573</x:v>
      </x:c>
      <x:c r="AK642" s="38" t="n">
        <x:f>AB642*2%</x:f>
        <x:v>4280.414380800001</x:v>
      </x:c>
      <x:c r="AL642" s="38" t="n">
        <x:f>AB642+AH642+AI642+AJ642+AK642</x:f>
        <x:v>260186.3565283865</x:v>
      </x:c>
      <x:c r="AM642" s="38" t="n">
        <x:f>AL642/V642</x:f>
        <x:v>1046.461712099326</x:v>
      </x:c>
      <x:c r="AN642" s="40" t="n">
        <x:f>(W642+X642)/AL642*100</x:f>
        <x:v>71.10915259686749</x:v>
      </x:c>
      <x:c r="AO642" s="28" t="str">
        <x:v>R01-R20; ilgili satırdaki bölgesel fiyat ve maliyet varsayımları</x:v>
      </x:c>
      <x:c r="AP642" s="28" t="str">
        <x:v>Girdi miktarları, alım fiyatı değişimi, fason bedeli ve parti sonucu simüle edilmiştir; işletme kaydı değildir.</x:v>
      </x:c>
    </x:row>
    <x:row r="643" ht="22" customHeight="1">
      <x:c r="A643" t="str">
        <x:v>SUC-0642</x:v>
      </x:c>
      <x:c r="B643" s="36" t="n">
        <x:v>46286</x:v>
      </x:c>
      <x:c r="C643" t="str">
        <x:v>Karadeniz</x:v>
      </x:c>
      <x:c r="D643" t="str">
        <x:v>ERZURUM_CI</x:v>
      </x:c>
      <x:c r="E643" t="str">
        <x:v>Kurum içi</x:v>
      </x:c>
      <x:c r="F643" s="42" t="str">
        <x:v>SENTETİK/SİMÜLE — gerçek parti kaydı değildir</x:v>
      </x:c>
      <x:c r="G643" s="38" t="n">
        <x:v>262.675</x:v>
      </x:c>
      <x:c r="H643" s="38" t="n">
        <x:v>44.846</x:v>
      </x:c>
      <x:c r="I643" s="38" t="n">
        <x:v>15.641</x:v>
      </x:c>
      <x:c r="J643" s="38" t="n">
        <x:v>5.254</x:v>
      </x:c>
      <x:c r="K643" s="38" t="n">
        <x:v>0.764</x:v>
      </x:c>
      <x:c r="L643" s="38" t="n">
        <x:f>SUM(G643:K643)</x:f>
        <x:v>329.18000000000006</x:v>
      </x:c>
      <x:c r="M643" s="38" t="n">
        <x:v>440.242</x:v>
      </x:c>
      <x:c r="N643" s="38" t="n">
        <x:v>607.85</x:v>
      </x:c>
      <x:c r="O643" s="38" t="n">
        <x:v>412.45</x:v>
      </x:c>
      <x:c r="P643" s="38" t="n">
        <x:v>550</x:v>
      </x:c>
      <x:c r="Q643" s="38" t="n">
        <x:v>19.88</x:v>
      </x:c>
      <x:c r="R643" s="38" t="n">
        <x:v>43.7475</x:v>
      </x:c>
      <x:c r="S643" s="38" t="n">
        <x:v>96.46</x:v>
      </x:c>
      <x:c r="T643" s="40" t="n">
        <x:v>18.31</x:v>
      </x:c>
      <x:c r="U643" s="40" t="n">
        <x:v>0.76</x:v>
      </x:c>
      <x:c r="V643" s="38" t="n">
        <x:f>L643*(1-T643/100)*(1-U643/100)</x:f>
        <x:v>266.8634477208</x:v>
      </x:c>
      <x:c r="W643" s="38" t="n">
        <x:f>G643*N643</x:f>
        <x:v>159666.99875</x:v>
      </x:c>
      <x:c r="X643" s="38" t="n">
        <x:f>H643*O643</x:f>
        <x:v>18496.732699999997</x:v>
      </x:c>
      <x:c r="Y643" s="38" t="n">
        <x:f>I643*P643</x:f>
        <x:v>8602.55</x:v>
      </x:c>
      <x:c r="Z643" s="38" t="n">
        <x:f>J643*Q643+K643*P643</x:f>
        <x:v>524.6495199999999</x:v>
      </x:c>
      <x:c r="AA643" s="38" t="n">
        <x:f>M643*R643</x:f>
        <x:v>19259.486895000002</x:v>
      </x:c>
      <x:c r="AB643" s="38" t="n">
        <x:f>SUM(W643:AA643)</x:f>
        <x:v>206550.417865</x:v>
      </x:c>
      <x:c r="AC643" s="38" t="n">
        <x:v>19.75</x:v>
      </x:c>
      <x:c r="AD643" s="38" t="n">
        <x:v>174.33</x:v>
      </x:c>
      <x:c r="AE643" s="38" t="n">
        <x:v>141.85</x:v>
      </x:c>
      <x:c r="AF643" s="38" t="n">
        <x:v>4.8148</x:v>
      </x:c>
      <x:c r="AG643" s="38" t="n">
        <x:v>5.88</x:v>
      </x:c>
      <x:c r="AH643" s="38" t="n">
        <x:f>IF(E643="Fason",L643*S643,0)</x:f>
        <x:v>0</x:v>
      </x:c>
      <x:c r="AI643" s="38" t="n">
        <x:f>IF(E643="Kurum içi",AC643*AD643+AE643*AF643+AB643*12%,0)</x:f>
        <x:v>28912.047023799998</x:v>
      </x:c>
      <x:c r="AJ643" s="38" t="n">
        <x:f>V643*AG643</x:f>
        <x:v>1569.157072598304</x:v>
      </x:c>
      <x:c r="AK643" s="38" t="n">
        <x:f>AB643*2%</x:f>
        <x:v>4131.0083573</x:v>
      </x:c>
      <x:c r="AL643" s="38" t="n">
        <x:f>AB643+AH643+AI643+AJ643+AK643</x:f>
        <x:v>241162.6303186983</x:v>
      </x:c>
      <x:c r="AM643" s="38" t="n">
        <x:f>AL643/V643</x:f>
        <x:v>903.6930024639769</x:v>
      </x:c>
      <x:c r="AN643" s="40" t="n">
        <x:f>(W643+X643)/AL643*100</x:f>
        <x:v>73.87700624037615</x:v>
      </x:c>
      <x:c r="AO643" s="28" t="str">
        <x:v>R01-R20; ilgili satırdaki bölgesel fiyat ve maliyet varsayımları</x:v>
      </x:c>
      <x:c r="AP643" s="28" t="str">
        <x:v>Girdi miktarları, alım fiyatı değişimi, fason bedeli ve parti sonucu simüle edilmiştir; işletme kaydı değildir.</x:v>
      </x:c>
    </x:row>
    <x:row r="644" ht="22" customHeight="1">
      <x:c r="A644" t="str">
        <x:v>SUC-0643</x:v>
      </x:c>
      <x:c r="B644" s="36" t="n">
        <x:v>46316</x:v>
      </x:c>
      <x:c r="C644" t="str">
        <x:v>Karadeniz</x:v>
      </x:c>
      <x:c r="D644" t="str">
        <x:v>MEB_STANDART</x:v>
      </x:c>
      <x:c r="E644" t="str">
        <x:v>Kurum içi</x:v>
      </x:c>
      <x:c r="F644" s="42" t="str">
        <x:v>SENTETİK/SİMÜLE — gerçek parti kaydı değildir</x:v>
      </x:c>
      <x:c r="G644" s="38" t="n">
        <x:v>314.5</x:v>
      </x:c>
      <x:c r="H644" s="38" t="n">
        <x:v>104.56</x:v>
      </x:c>
      <x:c r="I644" s="38" t="n">
        <x:v>20.451</x:v>
      </x:c>
      <x:c r="J644" s="38" t="n">
        <x:v>11.696</x:v>
      </x:c>
      <x:c r="K644" s="38" t="n">
        <x:v>5.242</x:v>
      </x:c>
      <x:c r="L644" s="38" t="n">
        <x:f>SUM(G644:K644)</x:f>
        <x:v>456.44900000000007</x:v>
      </x:c>
      <x:c r="M644" s="38" t="n">
        <x:v>573.688</x:v>
      </x:c>
      <x:c r="N644" s="38" t="n">
        <x:v>615.27</x:v>
      </x:c>
      <x:c r="O644" s="38" t="n">
        <x:v>424.56</x:v>
      </x:c>
      <x:c r="P644" s="38" t="n">
        <x:v>400</x:v>
      </x:c>
      <x:c r="Q644" s="38" t="n">
        <x:v>19.88</x:v>
      </x:c>
      <x:c r="R644" s="38" t="n">
        <x:v>43.7475</x:v>
      </x:c>
      <x:c r="S644" s="38" t="n">
        <x:v>91.85</x:v>
      </x:c>
      <x:c r="T644" s="40" t="n">
        <x:v>17.49</x:v>
      </x:c>
      <x:c r="U644" s="40" t="n">
        <x:v>0.85</x:v>
      </x:c>
      <x:c r="V644" s="38" t="n">
        <x:f>L644*(1-T644/100)*(1-U644/100)</x:f>
        <x:v>373.4148333058501</x:v>
      </x:c>
      <x:c r="W644" s="38" t="n">
        <x:f>G644*N644</x:f>
        <x:v>193502.415</x:v>
      </x:c>
      <x:c r="X644" s="38" t="n">
        <x:f>H644*O644</x:f>
        <x:v>44391.9936</x:v>
      </x:c>
      <x:c r="Y644" s="38" t="n">
        <x:f>I644*P644</x:f>
        <x:v>8180.400000000001</x:v>
      </x:c>
      <x:c r="Z644" s="38" t="n">
        <x:f>J644*Q644+K644*P644</x:f>
        <x:v>2329.31648</x:v>
      </x:c>
      <x:c r="AA644" s="38" t="n">
        <x:f>M644*R644</x:f>
        <x:v>25097.41578</x:v>
      </x:c>
      <x:c r="AB644" s="38" t="n">
        <x:f>SUM(W644:AA644)</x:f>
        <x:v>273501.54086</x:v>
      </x:c>
      <x:c r="AC644" s="38" t="n">
        <x:v>28.07</x:v>
      </x:c>
      <x:c r="AD644" s="38" t="n">
        <x:v>174.33</x:v>
      </x:c>
      <x:c r="AE644" s="38" t="n">
        <x:v>163.77</x:v>
      </x:c>
      <x:c r="AF644" s="38" t="n">
        <x:v>4.8148</x:v>
      </x:c>
      <x:c r="AG644" s="38" t="n">
        <x:v>5.13</x:v>
      </x:c>
      <x:c r="AH644" s="38" t="n">
        <x:f>IF(E644="Fason",L644*S644,0)</x:f>
        <x:v>0</x:v>
      </x:c>
      <x:c r="AI644" s="38" t="n">
        <x:f>IF(E644="Kurum içi",AC644*AD644+AE644*AF644+AB644*12%,0)</x:f>
        <x:v>38502.1477992</x:v>
      </x:c>
      <x:c r="AJ644" s="38" t="n">
        <x:f>V644*AG644</x:f>
        <x:v>1915.6180948590109</x:v>
      </x:c>
      <x:c r="AK644" s="38" t="n">
        <x:f>AB644*2%</x:f>
        <x:v>5470.0308172000005</x:v>
      </x:c>
      <x:c r="AL644" s="38" t="n">
        <x:f>AB644+AH644+AI644+AJ644+AK644</x:f>
        <x:v>319389.337571259</x:v>
      </x:c>
      <x:c r="AM644" s="38" t="n">
        <x:f>AL644/V644</x:f>
        <x:v>855.3204347660693</x:v>
      </x:c>
      <x:c r="AN644" s="40" t="n">
        <x:f>(W644+X644)/AL644*100</x:f>
        <x:v>74.48414227257145</x:v>
      </x:c>
      <x:c r="AO644" s="28" t="str">
        <x:v>R01-R20; ilgili satırdaki bölgesel fiyat ve maliyet varsayımları</x:v>
      </x:c>
      <x:c r="AP644" s="28" t="str">
        <x:v>Girdi miktarları, alım fiyatı değişimi, fason bedeli ve parti sonucu simüle edilmiştir; işletme kaydı değildir.</x:v>
      </x:c>
    </x:row>
    <x:row r="645" ht="22" customHeight="1">
      <x:c r="A645" t="str">
        <x:v>SUC-0644</x:v>
      </x:c>
      <x:c r="B645" s="36" t="n">
        <x:v>46275</x:v>
      </x:c>
      <x:c r="C645" t="str">
        <x:v>Marmara</x:v>
      </x:c>
      <x:c r="D645" t="str">
        <x:v>ERZURUM_CI</x:v>
      </x:c>
      <x:c r="E645" t="str">
        <x:v>Kurum içi</x:v>
      </x:c>
      <x:c r="F645" s="42" t="str">
        <x:v>SENTETİK/SİMÜLE — gerçek parti kaydı değildir</x:v>
      </x:c>
      <x:c r="G645" s="38" t="n">
        <x:v>367.028</x:v>
      </x:c>
      <x:c r="H645" s="38" t="n">
        <x:v>64.66</x:v>
      </x:c>
      <x:c r="I645" s="38" t="n">
        <x:v>21.466</x:v>
      </x:c>
      <x:c r="J645" s="38" t="n">
        <x:v>7.222</x:v>
      </x:c>
      <x:c r="K645" s="38" t="n">
        <x:v>0.219</x:v>
      </x:c>
      <x:c r="L645" s="38" t="n">
        <x:f>SUM(G645:K645)</x:f>
        <x:v>460.59499999999997</x:v>
      </x:c>
      <x:c r="M645" s="38" t="n">
        <x:v>618.67</x:v>
      </x:c>
      <x:c r="N645" s="38" t="n">
        <x:v>618.36</x:v>
      </x:c>
      <x:c r="O645" s="38" t="n">
        <x:v>445.47</x:v>
      </x:c>
      <x:c r="P645" s="38" t="n">
        <x:v>550</x:v>
      </x:c>
      <x:c r="Q645" s="38" t="n">
        <x:v>19.88</x:v>
      </x:c>
      <x:c r="R645" s="38" t="n">
        <x:v>43.7475</x:v>
      </x:c>
      <x:c r="S645" s="38" t="n">
        <x:v>70.95</x:v>
      </x:c>
      <x:c r="T645" s="40" t="n">
        <x:v>22.88</x:v>
      </x:c>
      <x:c r="U645" s="40" t="n">
        <x:v>1.78</x:v>
      </x:c>
      <x:c r="V645" s="38" t="n">
        <x:f>L645*(1-T645/100)*(1-U645/100)</x:f>
        <x:v>348.8881106207999</x:v>
      </x:c>
      <x:c r="W645" s="38" t="n">
        <x:f>G645*N645</x:f>
        <x:v>226955.43408</x:v>
      </x:c>
      <x:c r="X645" s="38" t="n">
        <x:f>H645*O645</x:f>
        <x:v>28804.0902</x:v>
      </x:c>
      <x:c r="Y645" s="38" t="n">
        <x:f>I645*P645</x:f>
        <x:v>11806.300000000001</x:v>
      </x:c>
      <x:c r="Z645" s="38" t="n">
        <x:f>J645*Q645+K645*P645</x:f>
        <x:v>264.02336</x:v>
      </x:c>
      <x:c r="AA645" s="38" t="n">
        <x:f>M645*R645</x:f>
        <x:v>27065.265825</x:v>
      </x:c>
      <x:c r="AB645" s="38" t="n">
        <x:f>SUM(W645:AA645)</x:f>
        <x:v>294895.113465</x:v>
      </x:c>
      <x:c r="AC645" s="38" t="n">
        <x:v>18.19</x:v>
      </x:c>
      <x:c r="AD645" s="38" t="n">
        <x:v>174.33</x:v>
      </x:c>
      <x:c r="AE645" s="38" t="n">
        <x:v>187.34</x:v>
      </x:c>
      <x:c r="AF645" s="38" t="n">
        <x:v>4.8148</x:v>
      </x:c>
      <x:c r="AG645" s="38" t="n">
        <x:v>5.82</x:v>
      </x:c>
      <x:c r="AH645" s="38" t="n">
        <x:f>IF(E645="Fason",L645*S645,0)</x:f>
        <x:v>0</x:v>
      </x:c>
      <x:c r="AI645" s="38" t="n">
        <x:f>IF(E645="Kurum içi",AC645*AD645+AE645*AF645+AB645*12%,0)</x:f>
        <x:v>39460.480947799995</x:v>
      </x:c>
      <x:c r="AJ645" s="38" t="n">
        <x:f>V645*AG645</x:f>
        <x:v>2030.5288038130557</x:v>
      </x:c>
      <x:c r="AK645" s="38" t="n">
        <x:f>AB645*2%</x:f>
        <x:v>5897.9022693</x:v>
      </x:c>
      <x:c r="AL645" s="38" t="n">
        <x:f>AB645+AH645+AI645+AJ645+AK645</x:f>
        <x:v>342284.02548591304</x:v>
      </x:c>
      <x:c r="AM645" s="38" t="n">
        <x:f>AL645/V645</x:f>
        <x:v>981.0710513375311</x:v>
      </x:c>
      <x:c r="AN645" s="40" t="n">
        <x:f>(W645+X645)/AL645*100</x:f>
        <x:v>74.72143168730086</x:v>
      </x:c>
      <x:c r="AO645" s="28" t="str">
        <x:v>R01-R20; ilgili satırdaki bölgesel fiyat ve maliyet varsayımları</x:v>
      </x:c>
      <x:c r="AP645" s="28" t="str">
        <x:v>Girdi miktarları, alım fiyatı değişimi, fason bedeli ve parti sonucu simüle edilmiştir; işletme kaydı değildir.</x:v>
      </x:c>
    </x:row>
    <x:row r="646" ht="22" customHeight="1">
      <x:c r="A646" t="str">
        <x:v>SUC-0645</x:v>
      </x:c>
      <x:c r="B646" s="36" t="n">
        <x:v>46300</x:v>
      </x:c>
      <x:c r="C646" t="str">
        <x:v>Akdeniz</x:v>
      </x:c>
      <x:c r="D646" t="str">
        <x:v>MEB_STANDART</x:v>
      </x:c>
      <x:c r="E646" t="str">
        <x:v>Fason</x:v>
      </x:c>
      <x:c r="F646" s="42" t="str">
        <x:v>SENTETİK/SİMÜLE — gerçek parti kaydı değildir</x:v>
      </x:c>
      <x:c r="G646" s="38" t="n">
        <x:v>258.986</x:v>
      </x:c>
      <x:c r="H646" s="38" t="n">
        <x:v>79.362</x:v>
      </x:c>
      <x:c r="I646" s="38" t="n">
        <x:v>16.183</x:v>
      </x:c>
      <x:c r="J646" s="38" t="n">
        <x:v>9.468</x:v>
      </x:c>
      <x:c r="K646" s="38" t="n">
        <x:v>3.876</x:v>
      </x:c>
      <x:c r="L646" s="38" t="n">
        <x:f>SUM(G646:K646)</x:f>
        <x:v>367.87499999999994</x:v>
      </x:c>
      <x:c r="M646" s="38" t="n">
        <x:v>451.475</x:v>
      </x:c>
      <x:c r="N646" s="38" t="n">
        <x:v>599.34</x:v>
      </x:c>
      <x:c r="O646" s="38" t="n">
        <x:v>481.95</x:v>
      </x:c>
      <x:c r="P646" s="38" t="n">
        <x:v>400</x:v>
      </x:c>
      <x:c r="Q646" s="38" t="n">
        <x:v>19.88</x:v>
      </x:c>
      <x:c r="R646" s="38" t="n">
        <x:v>43.7475</x:v>
      </x:c>
      <x:c r="S646" s="38" t="n">
        <x:v>94.49</x:v>
      </x:c>
      <x:c r="T646" s="40" t="n">
        <x:v>16.49</x:v>
      </x:c>
      <x:c r="U646" s="40" t="n">
        <x:v>1.09</x:v>
      </x:c>
      <x:c r="V646" s="38" t="n">
        <x:f>L646*(1-T646/100)*(1-U646/100)</x:f>
        <x:v>303.8637972037499</x:v>
      </x:c>
      <x:c r="W646" s="38" t="n">
        <x:f>G646*N646</x:f>
        <x:v>155220.66924</x:v>
      </x:c>
      <x:c r="X646" s="38" t="n">
        <x:f>H646*O646</x:f>
        <x:v>38248.5159</x:v>
      </x:c>
      <x:c r="Y646" s="38" t="n">
        <x:f>I646*P646</x:f>
        <x:v>6473.2</x:v>
      </x:c>
      <x:c r="Z646" s="38" t="n">
        <x:f>J646*Q646+K646*P646</x:f>
        <x:v>1738.6238399999997</x:v>
      </x:c>
      <x:c r="AA646" s="38" t="n">
        <x:f>M646*R646</x:f>
        <x:v>19750.902562500003</x:v>
      </x:c>
      <x:c r="AB646" s="38" t="n">
        <x:f>SUM(W646:AA646)</x:f>
        <x:v>221431.9115425</x:v>
      </x:c>
      <x:c r="AC646" s="38" t="n">
        <x:v>15.71</x:v>
      </x:c>
      <x:c r="AD646" s="38" t="n">
        <x:v>174.33</x:v>
      </x:c>
      <x:c r="AE646" s="38" t="n">
        <x:v>136.54</x:v>
      </x:c>
      <x:c r="AF646" s="38" t="n">
        <x:v>4.8148</x:v>
      </x:c>
      <x:c r="AG646" s="38" t="n">
        <x:v>5.51</x:v>
      </x:c>
      <x:c r="AH646" s="38" t="n">
        <x:f>IF(E646="Fason",L646*S646,0)</x:f>
        <x:v>34760.50874999999</x:v>
      </x:c>
      <x:c r="AI646" s="38" t="n">
        <x:f>IF(E646="Kurum içi",AC646*AD646+AE646*AF646+AB646*12%,0)</x:f>
        <x:v>0</x:v>
      </x:c>
      <x:c r="AJ646" s="38" t="n">
        <x:f>V646*AG646</x:f>
        <x:v>1674.289522592662</x:v>
      </x:c>
      <x:c r="AK646" s="38" t="n">
        <x:f>AB646*2%</x:f>
        <x:v>4428.63823085</x:v>
      </x:c>
      <x:c r="AL646" s="38" t="n">
        <x:f>AB646+AH646+AI646+AJ646+AK646</x:f>
        <x:v>262295.34804594266</x:v>
      </x:c>
      <x:c r="AM646" s="38" t="n">
        <x:f>AL646/V646</x:f>
        <x:v>863.2003893180656</x:v>
      </x:c>
      <x:c r="AN646" s="40" t="n">
        <x:f>(W646+X646)/AL646*100</x:f>
        <x:v>73.76005201057269</x:v>
      </x:c>
      <x:c r="AO646" s="28" t="str">
        <x:v>R01-R20; ilgili satırdaki bölgesel fiyat ve maliyet varsayımları</x:v>
      </x:c>
      <x:c r="AP646" s="28" t="str">
        <x:v>Girdi miktarları, alım fiyatı değişimi, fason bedeli ve parti sonucu simüle edilmiştir; işletme kaydı değildir.</x:v>
      </x:c>
    </x:row>
    <x:row r="647" ht="22" customHeight="1">
      <x:c r="A647" t="str">
        <x:v>SUC-0646</x:v>
      </x:c>
      <x:c r="B647" s="36" t="n">
        <x:v>46314</x:v>
      </x:c>
      <x:c r="C647" t="str">
        <x:v>İç Anadolu</x:v>
      </x:c>
      <x:c r="D647" t="str">
        <x:v>MEB_STANDART</x:v>
      </x:c>
      <x:c r="E647" t="str">
        <x:v>Fason</x:v>
      </x:c>
      <x:c r="F647" s="42" t="str">
        <x:v>SENTETİK/SİMÜLE — gerçek parti kaydı değildir</x:v>
      </x:c>
      <x:c r="G647" s="38" t="n">
        <x:v>45.497</x:v>
      </x:c>
      <x:c r="H647" s="38" t="n">
        <x:v>13.67</x:v>
      </x:c>
      <x:c r="I647" s="38" t="n">
        <x:v>2.756</x:v>
      </x:c>
      <x:c r="J647" s="38" t="n">
        <x:v>1.696</x:v>
      </x:c>
      <x:c r="K647" s="38" t="n">
        <x:v>0.625</x:v>
      </x:c>
      <x:c r="L647" s="38" t="n">
        <x:f>SUM(G647:K647)</x:f>
        <x:v>64.244</x:v>
      </x:c>
      <x:c r="M647" s="38" t="n">
        <x:v>78.483</x:v>
      </x:c>
      <x:c r="N647" s="38" t="n">
        <x:v>572.49</x:v>
      </x:c>
      <x:c r="O647" s="38" t="n">
        <x:v>449.9</x:v>
      </x:c>
      <x:c r="P647" s="38" t="n">
        <x:v>400</x:v>
      </x:c>
      <x:c r="Q647" s="38" t="n">
        <x:v>19.88</x:v>
      </x:c>
      <x:c r="R647" s="38" t="n">
        <x:v>43.7475</x:v>
      </x:c>
      <x:c r="S647" s="38" t="n">
        <x:v>80.08</x:v>
      </x:c>
      <x:c r="T647" s="40" t="n">
        <x:v>24.66</x:v>
      </x:c>
      <x:c r="U647" s="40" t="n">
        <x:v>0.56</x:v>
      </x:c>
      <x:c r="V647" s="38" t="n">
        <x:f>L647*(1-T647/100)*(1-U647/100)</x:f>
        <x:v>48.13038159424</x:v>
      </x:c>
      <x:c r="W647" s="38" t="n">
        <x:f>G647*N647</x:f>
        <x:v>26046.57753</x:v>
      </x:c>
      <x:c r="X647" s="38" t="n">
        <x:f>H647*O647</x:f>
        <x:v>6150.133</x:v>
      </x:c>
      <x:c r="Y647" s="38" t="n">
        <x:f>I647*P647</x:f>
        <x:v>1102.3999999999999</x:v>
      </x:c>
      <x:c r="Z647" s="38" t="n">
        <x:f>J647*Q647+K647*P647</x:f>
        <x:v>283.71648</x:v>
      </x:c>
      <x:c r="AA647" s="38" t="n">
        <x:f>M647*R647</x:f>
        <x:v>3433.4350425000002</x:v>
      </x:c>
      <x:c r="AB647" s="38" t="n">
        <x:f>SUM(W647:AA647)</x:f>
        <x:v>37016.2620525</x:v>
      </x:c>
      <x:c r="AC647" s="38" t="n">
        <x:v>2.86</x:v>
      </x:c>
      <x:c r="AD647" s="38" t="n">
        <x:v>174.33</x:v>
      </x:c>
      <x:c r="AE647" s="38" t="n">
        <x:v>27.05</x:v>
      </x:c>
      <x:c r="AF647" s="38" t="n">
        <x:v>4.8148</x:v>
      </x:c>
      <x:c r="AG647" s="38" t="n">
        <x:v>5.64</x:v>
      </x:c>
      <x:c r="AH647" s="38" t="n">
        <x:f>IF(E647="Fason",L647*S647,0)</x:f>
        <x:v>5144.65952</x:v>
      </x:c>
      <x:c r="AI647" s="38" t="n">
        <x:f>IF(E647="Kurum içi",AC647*AD647+AE647*AF647+AB647*12%,0)</x:f>
        <x:v>0</x:v>
      </x:c>
      <x:c r="AJ647" s="38" t="n">
        <x:f>V647*AG647</x:f>
        <x:v>271.45535219151355</x:v>
      </x:c>
      <x:c r="AK647" s="38" t="n">
        <x:f>AB647*2%</x:f>
        <x:v>740.32524105</x:v>
      </x:c>
      <x:c r="AL647" s="38" t="n">
        <x:f>AB647+AH647+AI647+AJ647+AK647</x:f>
        <x:v>43172.70216574152</x:v>
      </x:c>
      <x:c r="AM647" s="38" t="n">
        <x:f>AL647/V647</x:f>
        <x:v>896.9948031932539</x:v>
      </x:c>
      <x:c r="AN647" s="40" t="n">
        <x:f>(W647+X647)/AL647*100</x:f>
        <x:v>74.57654701898365</x:v>
      </x:c>
      <x:c r="AO647" s="28" t="str">
        <x:v>R01-R20; ilgili satırdaki bölgesel fiyat ve maliyet varsayımları</x:v>
      </x:c>
      <x:c r="AP647" s="28" t="str">
        <x:v>Girdi miktarları, alım fiyatı değişimi, fason bedeli ve parti sonucu simüle edilmiştir; işletme kaydı değildir.</x:v>
      </x:c>
    </x:row>
    <x:row r="648" ht="22" customHeight="1">
      <x:c r="A648" t="str">
        <x:v>SUC-0647</x:v>
      </x:c>
      <x:c r="B648" s="36" t="n">
        <x:v>46296</x:v>
      </x:c>
      <x:c r="C648" t="str">
        <x:v>Karadeniz</x:v>
      </x:c>
      <x:c r="D648" t="str">
        <x:v>MEB_STANDART</x:v>
      </x:c>
      <x:c r="E648" t="str">
        <x:v>Kurum içi</x:v>
      </x:c>
      <x:c r="F648" s="42" t="str">
        <x:v>SENTETİK/SİMÜLE — gerçek parti kaydı değildir</x:v>
      </x:c>
      <x:c r="G648" s="38" t="n">
        <x:v>51.435</x:v>
      </x:c>
      <x:c r="H648" s="38" t="n">
        <x:v>16.134</x:v>
      </x:c>
      <x:c r="I648" s="38" t="n">
        <x:v>3.099</x:v>
      </x:c>
      <x:c r="J648" s="38" t="n">
        <x:v>1.945</x:v>
      </x:c>
      <x:c r="K648" s="38" t="n">
        <x:v>0.652</x:v>
      </x:c>
      <x:c r="L648" s="38" t="n">
        <x:f>SUM(G648:K648)</x:f>
        <x:v>73.265</x:v>
      </x:c>
      <x:c r="M648" s="38" t="n">
        <x:v>96.154</x:v>
      </x:c>
      <x:c r="N648" s="38" t="n">
        <x:v>589.34</x:v>
      </x:c>
      <x:c r="O648" s="38" t="n">
        <x:v>456.98</x:v>
      </x:c>
      <x:c r="P648" s="38" t="n">
        <x:v>669.9</x:v>
      </x:c>
      <x:c r="Q648" s="38" t="n">
        <x:v>19.88</x:v>
      </x:c>
      <x:c r="R648" s="38" t="n">
        <x:v>43.7475</x:v>
      </x:c>
      <x:c r="S648" s="38" t="n">
        <x:v>101.53</x:v>
      </x:c>
      <x:c r="T648" s="40" t="n">
        <x:v>20.69</x:v>
      </x:c>
      <x:c r="U648" s="40" t="n">
        <x:v>0.63</x:v>
      </x:c>
      <x:c r="V648" s="38" t="n">
        <x:f>L648*(1-T648/100)*(1-U648/100)</x:f>
        <x:v>57.740400729550004</x:v>
      </x:c>
      <x:c r="W648" s="38" t="n">
        <x:f>G648*N648</x:f>
        <x:v>30312.702900000004</x:v>
      </x:c>
      <x:c r="X648" s="38" t="n">
        <x:f>H648*O648</x:f>
        <x:v>7372.91532</x:v>
      </x:c>
      <x:c r="Y648" s="38" t="n">
        <x:f>I648*P648</x:f>
        <x:v>2076.0201</x:v>
      </x:c>
      <x:c r="Z648" s="38" t="n">
        <x:f>J648*Q648+K648*P648</x:f>
        <x:v>475.44140000000004</x:v>
      </x:c>
      <x:c r="AA648" s="38" t="n">
        <x:f>M648*R648</x:f>
        <x:v>4206.497115</x:v>
      </x:c>
      <x:c r="AB648" s="38" t="n">
        <x:f>SUM(W648:AA648)</x:f>
        <x:v>44443.57683500001</x:v>
      </x:c>
      <x:c r="AC648" s="38" t="n">
        <x:v>4.35</x:v>
      </x:c>
      <x:c r="AD648" s="38" t="n">
        <x:v>174.33</x:v>
      </x:c>
      <x:c r="AE648" s="38" t="n">
        <x:v>23.22</x:v>
      </x:c>
      <x:c r="AF648" s="38" t="n">
        <x:v>4.8148</x:v>
      </x:c>
      <x:c r="AG648" s="38" t="n">
        <x:v>5.31</x:v>
      </x:c>
      <x:c r="AH648" s="38" t="n">
        <x:f>IF(E648="Fason",L648*S648,0)</x:f>
        <x:v>0</x:v>
      </x:c>
      <x:c r="AI648" s="38" t="n">
        <x:f>IF(E648="Kurum içi",AC648*AD648+AE648*AF648+AB648*12%,0)</x:f>
        <x:v>6203.364376200001</x:v>
      </x:c>
      <x:c r="AJ648" s="38" t="n">
        <x:f>V648*AG648</x:f>
        <x:v>306.60152787391047</x:v>
      </x:c>
      <x:c r="AK648" s="38" t="n">
        <x:f>AB648*2%</x:f>
        <x:v>888.8715367000002</x:v>
      </x:c>
      <x:c r="AL648" s="38" t="n">
        <x:f>AB648+AH648+AI648+AJ648+AK648</x:f>
        <x:v>51842.41427577391</x:v>
      </x:c>
      <x:c r="AM648" s="38" t="n">
        <x:f>AL648/V648</x:f>
        <x:v>897.8533855107511</x:v>
      </x:c>
      <x:c r="AN648" s="40" t="n">
        <x:f>(W648+X648)/AL648*100</x:f>
        <x:v>72.69263738284386</x:v>
      </x:c>
      <x:c r="AO648" s="28" t="str">
        <x:v>R01-R20; ilgili satırdaki bölgesel fiyat ve maliyet varsayımları</x:v>
      </x:c>
      <x:c r="AP648" s="28" t="str">
        <x:v>Girdi miktarları, alım fiyatı değişimi, fason bedeli ve parti sonucu simüle edilmiştir; işletme kaydı değildir.</x:v>
      </x:c>
    </x:row>
    <x:row r="649" ht="22" customHeight="1">
      <x:c r="A649" t="str">
        <x:v>SUC-0648</x:v>
      </x:c>
      <x:c r="B649" s="36" t="n">
        <x:v>46308</x:v>
      </x:c>
      <x:c r="C649" t="str">
        <x:v>Ege</x:v>
      </x:c>
      <x:c r="D649" t="str">
        <x:v>ERZURUM_CI</x:v>
      </x:c>
      <x:c r="E649" t="str">
        <x:v>Kurum içi</x:v>
      </x:c>
      <x:c r="F649" s="42" t="str">
        <x:v>SENTETİK/SİMÜLE — gerçek parti kaydı değildir</x:v>
      </x:c>
      <x:c r="G649" s="38" t="n">
        <x:v>163.117</x:v>
      </x:c>
      <x:c r="H649" s="38" t="n">
        <x:v>30.036</x:v>
      </x:c>
      <x:c r="I649" s="38" t="n">
        <x:v>9.267</x:v>
      </x:c>
      <x:c r="J649" s="38" t="n">
        <x:v>3.089</x:v>
      </x:c>
      <x:c r="K649" s="38" t="n">
        <x:v>0.02</x:v>
      </x:c>
      <x:c r="L649" s="38" t="n">
        <x:f>SUM(G649:K649)</x:f>
        <x:v>205.529</x:v>
      </x:c>
      <x:c r="M649" s="38" t="n">
        <x:v>239.068</x:v>
      </x:c>
      <x:c r="N649" s="38" t="n">
        <x:v>586.39</x:v>
      </x:c>
      <x:c r="O649" s="38" t="n">
        <x:v>430.94</x:v>
      </x:c>
      <x:c r="P649" s="38" t="n">
        <x:v>400</x:v>
      </x:c>
      <x:c r="Q649" s="38" t="n">
        <x:v>19.88</x:v>
      </x:c>
      <x:c r="R649" s="38" t="n">
        <x:v>43.7475</x:v>
      </x:c>
      <x:c r="S649" s="38" t="n">
        <x:v>66.02</x:v>
      </x:c>
      <x:c r="T649" s="40" t="n">
        <x:v>28.52</x:v>
      </x:c>
      <x:c r="U649" s="40" t="n">
        <x:v>1.57</x:v>
      </x:c>
      <x:c r="V649" s="38" t="n">
        <x:f>L649*(1-T649/100)*(1-U649/100)</x:f>
        <x:v>144.60560877156001</x:v>
      </x:c>
      <x:c r="W649" s="38" t="n">
        <x:f>G649*N649</x:f>
        <x:v>95650.17762999999</x:v>
      </x:c>
      <x:c r="X649" s="38" t="n">
        <x:f>H649*O649</x:f>
        <x:v>12943.71384</x:v>
      </x:c>
      <x:c r="Y649" s="38" t="n">
        <x:f>I649*P649</x:f>
        <x:v>3706.7999999999997</x:v>
      </x:c>
      <x:c r="Z649" s="38" t="n">
        <x:f>J649*Q649+K649*P649</x:f>
        <x:v>69.40932</x:v>
      </x:c>
      <x:c r="AA649" s="38" t="n">
        <x:f>M649*R649</x:f>
        <x:v>10458.627330000001</x:v>
      </x:c>
      <x:c r="AB649" s="38" t="n">
        <x:f>SUM(W649:AA649)</x:f>
        <x:v>122828.72812</x:v>
      </x:c>
      <x:c r="AC649" s="38" t="n">
        <x:v>9.56</x:v>
      </x:c>
      <x:c r="AD649" s="38" t="n">
        <x:v>174.33</x:v>
      </x:c>
      <x:c r="AE649" s="38" t="n">
        <x:v>56.37</x:v>
      </x:c>
      <x:c r="AF649" s="38" t="n">
        <x:v>4.8148</x:v>
      </x:c>
      <x:c r="AG649" s="38" t="n">
        <x:v>5.71</x:v>
      </x:c>
      <x:c r="AH649" s="38" t="n">
        <x:f>IF(E649="Fason",L649*S649,0)</x:f>
        <x:v>0</x:v>
      </x:c>
      <x:c r="AI649" s="38" t="n">
        <x:f>IF(E649="Kurum içi",AC649*AD649+AE649*AF649+AB649*12%,0)</x:f>
        <x:v>16677.4524504</x:v>
      </x:c>
      <x:c r="AJ649" s="38" t="n">
        <x:f>V649*AG649</x:f>
        <x:v>825.6980260856077</x:v>
      </x:c>
      <x:c r="AK649" s="38" t="n">
        <x:f>AB649*2%</x:f>
        <x:v>2456.5745624</x:v>
      </x:c>
      <x:c r="AL649" s="38" t="n">
        <x:f>AB649+AH649+AI649+AJ649+AK649</x:f>
        <x:v>142788.45315888562</x:v>
      </x:c>
      <x:c r="AM649" s="38" t="n">
        <x:f>AL649/V649</x:f>
        <x:v>987.4337127853386</x:v>
      </x:c>
      <x:c r="AN649" s="40" t="n">
        <x:f>(W649+X649)/AL649*100</x:f>
        <x:v>76.05229209196898</x:v>
      </x:c>
      <x:c r="AO649" s="28" t="str">
        <x:v>R01-R20; ilgili satırdaki bölgesel fiyat ve maliyet varsayımları</x:v>
      </x:c>
      <x:c r="AP649" s="28" t="str">
        <x:v>Girdi miktarları, alım fiyatı değişimi, fason bedeli ve parti sonucu simüle edilmiştir; işletme kaydı değildir.</x:v>
      </x:c>
    </x:row>
    <x:row r="650" ht="22" customHeight="1">
      <x:c r="A650" t="str">
        <x:v>SUC-0649</x:v>
      </x:c>
      <x:c r="B650" s="36" t="n">
        <x:v>46274</x:v>
      </x:c>
      <x:c r="C650" t="str">
        <x:v>Akdeniz</x:v>
      </x:c>
      <x:c r="D650" t="str">
        <x:v>ERZURUM_CI</x:v>
      </x:c>
      <x:c r="E650" t="str">
        <x:v>Kurum içi</x:v>
      </x:c>
      <x:c r="F650" s="42" t="str">
        <x:v>SENTETİK/SİMÜLE — gerçek parti kaydı değildir</x:v>
      </x:c>
      <x:c r="G650" s="38" t="n">
        <x:v>338.927</x:v>
      </x:c>
      <x:c r="H650" s="38" t="n">
        <x:v>64.427</x:v>
      </x:c>
      <x:c r="I650" s="38" t="n">
        <x:v>18.934</x:v>
      </x:c>
      <x:c r="J650" s="38" t="n">
        <x:v>6.679</x:v>
      </x:c>
      <x:c r="K650" s="38" t="n">
        <x:v>0.414</x:v>
      </x:c>
      <x:c r="L650" s="38" t="n">
        <x:f>SUM(G650:K650)</x:f>
        <x:v>429.38100000000003</x:v>
      </x:c>
      <x:c r="M650" s="38" t="n">
        <x:v>545.381</x:v>
      </x:c>
      <x:c r="N650" s="38" t="n">
        <x:v>585.26</x:v>
      </x:c>
      <x:c r="O650" s="38" t="n">
        <x:v>441.8</x:v>
      </x:c>
      <x:c r="P650" s="38" t="n">
        <x:v>400</x:v>
      </x:c>
      <x:c r="Q650" s="38" t="n">
        <x:v>19.88</x:v>
      </x:c>
      <x:c r="R650" s="38" t="n">
        <x:v>43.7475</x:v>
      </x:c>
      <x:c r="S650" s="38" t="n">
        <x:v>108.43</x:v>
      </x:c>
      <x:c r="T650" s="40" t="n">
        <x:v>17.99</x:v>
      </x:c>
      <x:c r="U650" s="40" t="n">
        <x:v>0.78</x:v>
      </x:c>
      <x:c r="V650" s="38" t="n">
        <x:f>L650*(1-T650/100)*(1-U650/100)</x:f>
        <x:v>349.38870230682</x:v>
      </x:c>
      <x:c r="W650" s="38" t="n">
        <x:f>G650*N650</x:f>
        <x:v>198360.41602</x:v>
      </x:c>
      <x:c r="X650" s="38" t="n">
        <x:f>H650*O650</x:f>
        <x:v>28463.848600000005</x:v>
      </x:c>
      <x:c r="Y650" s="38" t="n">
        <x:f>I650*P650</x:f>
        <x:v>7573.6</x:v>
      </x:c>
      <x:c r="Z650" s="38" t="n">
        <x:f>J650*Q650+K650*P650</x:f>
        <x:v>298.37852</x:v>
      </x:c>
      <x:c r="AA650" s="38" t="n">
        <x:f>M650*R650</x:f>
        <x:v>23859.0552975</x:v>
      </x:c>
      <x:c r="AB650" s="38" t="n">
        <x:f>SUM(W650:AA650)</x:f>
        <x:v>258555.2984375</x:v>
      </x:c>
      <x:c r="AC650" s="38" t="n">
        <x:v>17.08</x:v>
      </x:c>
      <x:c r="AD650" s="38" t="n">
        <x:v>174.33</x:v>
      </x:c>
      <x:c r="AE650" s="38" t="n">
        <x:v>107.57</x:v>
      </x:c>
      <x:c r="AF650" s="38" t="n">
        <x:v>4.8148</x:v>
      </x:c>
      <x:c r="AG650" s="38" t="n">
        <x:v>5.69</x:v>
      </x:c>
      <x:c r="AH650" s="38" t="n">
        <x:f>IF(E650="Fason",L650*S650,0)</x:f>
        <x:v>0</x:v>
      </x:c>
      <x:c r="AI650" s="38" t="n">
        <x:f>IF(E650="Kurum içi",AC650*AD650+AE650*AF650+AB650*12%,0)</x:f>
        <x:v>34522.120248499996</x:v>
      </x:c>
      <x:c r="AJ650" s="38" t="n">
        <x:f>V650*AG650</x:f>
        <x:v>1988.0217161258058</x:v>
      </x:c>
      <x:c r="AK650" s="38" t="n">
        <x:f>AB650*2%</x:f>
        <x:v>5171.10596875</x:v>
      </x:c>
      <x:c r="AL650" s="38" t="n">
        <x:f>AB650+AH650+AI650+AJ650+AK650</x:f>
        <x:v>300236.54637087585</x:v>
      </x:c>
      <x:c r="AM650" s="38" t="n">
        <x:f>AL650/V650</x:f>
        <x:v>859.3195612467728</x:v>
      </x:c>
      <x:c r="AN650" s="40" t="n">
        <x:f>(W650+X650)/AL650*100</x:f>
        <x:v>75.54851911326239</x:v>
      </x:c>
      <x:c r="AO650" s="28" t="str">
        <x:v>R01-R20; ilgili satırdaki bölgesel fiyat ve maliyet varsayımları</x:v>
      </x:c>
      <x:c r="AP650" s="28" t="str">
        <x:v>Girdi miktarları, alım fiyatı değişimi, fason bedeli ve parti sonucu simüle edilmiştir; işletme kaydı değildir.</x:v>
      </x:c>
    </x:row>
    <x:row r="651" ht="22" customHeight="1">
      <x:c r="A651" t="str">
        <x:v>SUC-0650</x:v>
      </x:c>
      <x:c r="B651" s="36" t="n">
        <x:v>46286</x:v>
      </x:c>
      <x:c r="C651" t="str">
        <x:v>Ege</x:v>
      </x:c>
      <x:c r="D651" t="str">
        <x:v>ERZURUM_CI</x:v>
      </x:c>
      <x:c r="E651" t="str">
        <x:v>Fason</x:v>
      </x:c>
      <x:c r="F651" s="42" t="str">
        <x:v>SENTETİK/SİMÜLE — gerçek parti kaydı değildir</x:v>
      </x:c>
      <x:c r="G651" s="38" t="n">
        <x:v>229.811</x:v>
      </x:c>
      <x:c r="H651" s="38" t="n">
        <x:v>41.283</x:v>
      </x:c>
      <x:c r="I651" s="38" t="n">
        <x:v>13.5</x:v>
      </x:c>
      <x:c r="J651" s="38" t="n">
        <x:v>4.571</x:v>
      </x:c>
      <x:c r="K651" s="38" t="n">
        <x:v>0.266</x:v>
      </x:c>
      <x:c r="L651" s="38" t="n">
        <x:f>SUM(G651:K651)</x:f>
        <x:v>289.43100000000004</x:v>
      </x:c>
      <x:c r="M651" s="38" t="n">
        <x:v>338.975</x:v>
      </x:c>
      <x:c r="N651" s="38" t="n">
        <x:v>612.68</x:v>
      </x:c>
      <x:c r="O651" s="38" t="n">
        <x:v>426.08</x:v>
      </x:c>
      <x:c r="P651" s="38" t="n">
        <x:v>400</x:v>
      </x:c>
      <x:c r="Q651" s="38" t="n">
        <x:v>19.88</x:v>
      </x:c>
      <x:c r="R651" s="38" t="n">
        <x:v>43.7475</x:v>
      </x:c>
      <x:c r="S651" s="38" t="n">
        <x:v>77.59</x:v>
      </x:c>
      <x:c r="T651" s="40" t="n">
        <x:v>19.16</x:v>
      </x:c>
      <x:c r="U651" s="40" t="n">
        <x:v>0.69</x:v>
      </x:c>
      <x:c r="V651" s="38" t="n">
        <x:f>L651*(1-T651/100)*(1-U651/100)</x:f>
        <x:v>232.36158585924002</x:v>
      </x:c>
      <x:c r="W651" s="38" t="n">
        <x:f>G651*N651</x:f>
        <x:v>140800.60348</x:v>
      </x:c>
      <x:c r="X651" s="38" t="n">
        <x:f>H651*O651</x:f>
        <x:v>17589.86064</x:v>
      </x:c>
      <x:c r="Y651" s="38" t="n">
        <x:f>I651*P651</x:f>
        <x:v>5400</x:v>
      </x:c>
      <x:c r="Z651" s="38" t="n">
        <x:f>J651*Q651+K651*P651</x:f>
        <x:v>197.27148</x:v>
      </x:c>
      <x:c r="AA651" s="38" t="n">
        <x:f>M651*R651</x:f>
        <x:v>14829.308812500001</x:v>
      </x:c>
      <x:c r="AB651" s="38" t="n">
        <x:f>SUM(W651:AA651)</x:f>
        <x:v>178817.0444125</x:v>
      </x:c>
      <x:c r="AC651" s="38" t="n">
        <x:v>20.23</x:v>
      </x:c>
      <x:c r="AD651" s="38" t="n">
        <x:v>174.33</x:v>
      </x:c>
      <x:c r="AE651" s="38" t="n">
        <x:v>92.37</x:v>
      </x:c>
      <x:c r="AF651" s="38" t="n">
        <x:v>4.8148</x:v>
      </x:c>
      <x:c r="AG651" s="38" t="n">
        <x:v>5.18</x:v>
      </x:c>
      <x:c r="AH651" s="38" t="n">
        <x:f>IF(E651="Fason",L651*S651,0)</x:f>
        <x:v>22456.951290000005</x:v>
      </x:c>
      <x:c r="AI651" s="38" t="n">
        <x:f>IF(E651="Kurum içi",AC651*AD651+AE651*AF651+AB651*12%,0)</x:f>
        <x:v>0</x:v>
      </x:c>
      <x:c r="AJ651" s="38" t="n">
        <x:f>V651*AG651</x:f>
        <x:v>1203.6330147508631</x:v>
      </x:c>
      <x:c r="AK651" s="38" t="n">
        <x:f>AB651*2%</x:f>
        <x:v>3576.34088825</x:v>
      </x:c>
      <x:c r="AL651" s="38" t="n">
        <x:f>AB651+AH651+AI651+AJ651+AK651</x:f>
        <x:v>206053.96960550087</x:v>
      </x:c>
      <x:c r="AM651" s="38" t="n">
        <x:f>AL651/V651</x:f>
        <x:v>886.7815600566792</x:v>
      </x:c>
      <x:c r="AN651" s="40" t="n">
        <x:f>(W651+X651)/AL651*100</x:f>
        <x:v>76.86843617875711</x:v>
      </x:c>
      <x:c r="AO651" s="28" t="str">
        <x:v>R01-R20; ilgili satırdaki bölgesel fiyat ve maliyet varsayımları</x:v>
      </x:c>
      <x:c r="AP651" s="28" t="str">
        <x:v>Girdi miktarları, alım fiyatı değişimi, fason bedeli ve parti sonucu simüle edilmiştir; işletme kaydı değildir.</x:v>
      </x:c>
    </x:row>
    <x:row r="652" ht="22" customHeight="1">
      <x:c r="A652" t="str">
        <x:v>SUC-0651</x:v>
      </x:c>
      <x:c r="B652" s="36" t="n">
        <x:v>46298</x:v>
      </x:c>
      <x:c r="C652" t="str">
        <x:v>Doğu Anadolu</x:v>
      </x:c>
      <x:c r="D652" t="str">
        <x:v>MEB_STANDART</x:v>
      </x:c>
      <x:c r="E652" t="str">
        <x:v>Kurum içi</x:v>
      </x:c>
      <x:c r="F652" s="42" t="str">
        <x:v>SENTETİK/SİMÜLE — gerçek parti kaydı değildir</x:v>
      </x:c>
      <x:c r="G652" s="38" t="n">
        <x:v>176.153</x:v>
      </x:c>
      <x:c r="H652" s="38" t="n">
        <x:v>58.006</x:v>
      </x:c>
      <x:c r="I652" s="38" t="n">
        <x:v>11.841</x:v>
      </x:c>
      <x:c r="J652" s="38" t="n">
        <x:v>5.998</x:v>
      </x:c>
      <x:c r="K652" s="38" t="n">
        <x:v>2.384</x:v>
      </x:c>
      <x:c r="L652" s="38" t="n">
        <x:f>SUM(G652:K652)</x:f>
        <x:v>254.38199999999998</x:v>
      </x:c>
      <x:c r="M652" s="38" t="n">
        <x:v>318.049</x:v>
      </x:c>
      <x:c r="N652" s="38" t="n">
        <x:v>577.63</x:v>
      </x:c>
      <x:c r="O652" s="38" t="n">
        <x:v>447.29</x:v>
      </x:c>
      <x:c r="P652" s="38" t="n">
        <x:v>400</x:v>
      </x:c>
      <x:c r="Q652" s="38" t="n">
        <x:v>19.88</x:v>
      </x:c>
      <x:c r="R652" s="38" t="n">
        <x:v>43.7475</x:v>
      </x:c>
      <x:c r="S652" s="38" t="n">
        <x:v>82.72</x:v>
      </x:c>
      <x:c r="T652" s="40" t="n">
        <x:v>22.06</x:v>
      </x:c>
      <x:c r="U652" s="40" t="n">
        <x:v>1.07</x:v>
      </x:c>
      <x:c r="V652" s="38" t="n">
        <x:f>L652*(1-T652/100)*(1-U652/100)</x:f>
        <x:v>196.14389176043997</x:v>
      </x:c>
      <x:c r="W652" s="38" t="n">
        <x:f>G652*N652</x:f>
        <x:v>101751.25739</x:v>
      </x:c>
      <x:c r="X652" s="38" t="n">
        <x:f>H652*O652</x:f>
        <x:v>25945.50374</x:v>
      </x:c>
      <x:c r="Y652" s="38" t="n">
        <x:f>I652*P652</x:f>
        <x:v>4736.4</x:v>
      </x:c>
      <x:c r="Z652" s="38" t="n">
        <x:f>J652*Q652+K652*P652</x:f>
        <x:v>1072.84024</x:v>
      </x:c>
      <x:c r="AA652" s="38" t="n">
        <x:f>M652*R652</x:f>
        <x:v>13913.8486275</x:v>
      </x:c>
      <x:c r="AB652" s="38" t="n">
        <x:f>SUM(W652:AA652)</x:f>
        <x:v>147419.8499975</x:v>
      </x:c>
      <x:c r="AC652" s="38" t="n">
        <x:v>17.41</x:v>
      </x:c>
      <x:c r="AD652" s="38" t="n">
        <x:v>174.33</x:v>
      </x:c>
      <x:c r="AE652" s="38" t="n">
        <x:v>115.46</x:v>
      </x:c>
      <x:c r="AF652" s="38" t="n">
        <x:v>4.8148</x:v>
      </x:c>
      <x:c r="AG652" s="38" t="n">
        <x:v>5.17</x:v>
      </x:c>
      <x:c r="AH652" s="38" t="n">
        <x:f>IF(E652="Fason",L652*S652,0)</x:f>
        <x:v>0</x:v>
      </x:c>
      <x:c r="AI652" s="38" t="n">
        <x:f>IF(E652="Kurum içi",AC652*AD652+AE652*AF652+AB652*12%,0)</x:f>
        <x:v>21281.3841077</x:v>
      </x:c>
      <x:c r="AJ652" s="38" t="n">
        <x:f>V652*AG652</x:f>
        <x:v>1014.0639204014747</x:v>
      </x:c>
      <x:c r="AK652" s="38" t="n">
        <x:f>AB652*2%</x:f>
        <x:v>2948.39699995</x:v>
      </x:c>
      <x:c r="AL652" s="38" t="n">
        <x:f>AB652+AH652+AI652+AJ652+AK652</x:f>
        <x:v>172663.69502555145</x:v>
      </x:c>
      <x:c r="AM652" s="38" t="n">
        <x:f>AL652/V652</x:f>
        <x:v>880.2909612726252</x:v>
      </x:c>
      <x:c r="AN652" s="40" t="n">
        <x:f>(W652+X652)/AL652*100</x:f>
        <x:v>73.95692598325486</x:v>
      </x:c>
      <x:c r="AO652" s="28" t="str">
        <x:v>R01-R20; ilgili satırdaki bölgesel fiyat ve maliyet varsayımları</x:v>
      </x:c>
      <x:c r="AP652" s="28" t="str">
        <x:v>Girdi miktarları, alım fiyatı değişimi, fason bedeli ve parti sonucu simüle edilmiştir; işletme kaydı değildir.</x:v>
      </x:c>
    </x:row>
    <x:row r="653" ht="22" customHeight="1">
      <x:c r="A653" t="str">
        <x:v>SUC-0652</x:v>
      </x:c>
      <x:c r="B653" s="36" t="n">
        <x:v>46308</x:v>
      </x:c>
      <x:c r="C653" t="str">
        <x:v>Akdeniz</x:v>
      </x:c>
      <x:c r="D653" t="str">
        <x:v>MEB_STANDART</x:v>
      </x:c>
      <x:c r="E653" t="str">
        <x:v>Kurum içi</x:v>
      </x:c>
      <x:c r="F653" s="42" t="str">
        <x:v>SENTETİK/SİMÜLE — gerçek parti kaydı değildir</x:v>
      </x:c>
      <x:c r="G653" s="38" t="n">
        <x:v>311.522</x:v>
      </x:c>
      <x:c r="H653" s="38" t="n">
        <x:v>101.104</x:v>
      </x:c>
      <x:c r="I653" s="38" t="n">
        <x:v>20.24</x:v>
      </x:c>
      <x:c r="J653" s="38" t="n">
        <x:v>11.291</x:v>
      </x:c>
      <x:c r="K653" s="38" t="n">
        <x:v>4.428</x:v>
      </x:c>
      <x:c r="L653" s="38" t="n">
        <x:f>SUM(G653:K653)</x:f>
        <x:v>448.585</x:v>
      </x:c>
      <x:c r="M653" s="38" t="n">
        <x:v>545.113</x:v>
      </x:c>
      <x:c r="N653" s="38" t="n">
        <x:v>605.21</x:v>
      </x:c>
      <x:c r="O653" s="38" t="n">
        <x:v>429.78</x:v>
      </x:c>
      <x:c r="P653" s="38" t="n">
        <x:v>550</x:v>
      </x:c>
      <x:c r="Q653" s="38" t="n">
        <x:v>19.88</x:v>
      </x:c>
      <x:c r="R653" s="38" t="n">
        <x:v>43.7475</x:v>
      </x:c>
      <x:c r="S653" s="38" t="n">
        <x:v>93.51</x:v>
      </x:c>
      <x:c r="T653" s="40" t="n">
        <x:v>26.11</x:v>
      </x:c>
      <x:c r="U653" s="40" t="n">
        <x:v>1.37</x:v>
      </x:c>
      <x:c r="V653" s="38" t="n">
        <x:f>L653*(1-T653/100)*(1-U653/100)</x:f>
        <x:v>326.91846194594996</x:v>
      </x:c>
      <x:c r="W653" s="38" t="n">
        <x:f>G653*N653</x:f>
        <x:v>188536.22962</x:v>
      </x:c>
      <x:c r="X653" s="38" t="n">
        <x:f>H653*O653</x:f>
        <x:v>43452.477119999996</x:v>
      </x:c>
      <x:c r="Y653" s="38" t="n">
        <x:f>I653*P653</x:f>
        <x:v>11132</x:v>
      </x:c>
      <x:c r="Z653" s="38" t="n">
        <x:f>J653*Q653+K653*P653</x:f>
        <x:v>2659.86508</x:v>
      </x:c>
      <x:c r="AA653" s="38" t="n">
        <x:f>M653*R653</x:f>
        <x:v>23847.330967500005</x:v>
      </x:c>
      <x:c r="AB653" s="38" t="n">
        <x:f>SUM(W653:AA653)</x:f>
        <x:v>269627.9027875</x:v>
      </x:c>
      <x:c r="AC653" s="38" t="n">
        <x:v>18.98</x:v>
      </x:c>
      <x:c r="AD653" s="38" t="n">
        <x:v>174.33</x:v>
      </x:c>
      <x:c r="AE653" s="38" t="n">
        <x:v>132.75</x:v>
      </x:c>
      <x:c r="AF653" s="38" t="n">
        <x:v>4.8148</x:v>
      </x:c>
      <x:c r="AG653" s="38" t="n">
        <x:v>5.81</x:v>
      </x:c>
      <x:c r="AH653" s="38" t="n">
        <x:f>IF(E653="Fason",L653*S653,0)</x:f>
        <x:v>0</x:v>
      </x:c>
      <x:c r="AI653" s="38" t="n">
        <x:f>IF(E653="Kurum içi",AC653*AD653+AE653*AF653+AB653*12%,0)</x:f>
        <x:v>36303.2964345</x:v>
      </x:c>
      <x:c r="AJ653" s="38" t="n">
        <x:f>V653*AG653</x:f>
        <x:v>1899.3962639059691</x:v>
      </x:c>
      <x:c r="AK653" s="38" t="n">
        <x:f>AB653*2%</x:f>
        <x:v>5392.55805575</x:v>
      </x:c>
      <x:c r="AL653" s="38" t="n">
        <x:f>AB653+AH653+AI653+AJ653+AK653</x:f>
        <x:v>313223.153541656</x:v>
      </x:c>
      <x:c r="AM653" s="38" t="n">
        <x:f>AL653/V653</x:f>
        <x:v>958.1078770444043</x:v>
      </x:c>
      <x:c r="AN653" s="40" t="n">
        <x:f>(W653+X653)/AL653*100</x:f>
        <x:v>74.06499299840154</x:v>
      </x:c>
      <x:c r="AO653" s="28" t="str">
        <x:v>R01-R20; ilgili satırdaki bölgesel fiyat ve maliyet varsayımları</x:v>
      </x:c>
      <x:c r="AP653" s="28" t="str">
        <x:v>Girdi miktarları, alım fiyatı değişimi, fason bedeli ve parti sonucu simüle edilmiştir; işletme kaydı değildir.</x:v>
      </x:c>
    </x:row>
    <x:row r="654" ht="22" customHeight="1">
      <x:c r="A654" t="str">
        <x:v>SUC-0653</x:v>
      </x:c>
      <x:c r="B654" s="36" t="n">
        <x:v>46299</x:v>
      </x:c>
      <x:c r="C654" t="str">
        <x:v>Marmara</x:v>
      </x:c>
      <x:c r="D654" t="str">
        <x:v>ERZURUM_CI</x:v>
      </x:c>
      <x:c r="E654" t="str">
        <x:v>Kurum içi</x:v>
      </x:c>
      <x:c r="F654" s="42" t="str">
        <x:v>SENTETİK/SİMÜLE — gerçek parti kaydı değildir</x:v>
      </x:c>
      <x:c r="G654" s="38" t="n">
        <x:v>50.92</x:v>
      </x:c>
      <x:c r="H654" s="38" t="n">
        <x:v>9.454</x:v>
      </x:c>
      <x:c r="I654" s="38" t="n">
        <x:v>2.986</x:v>
      </x:c>
      <x:c r="J654" s="38" t="n">
        <x:v>1.127</x:v>
      </x:c>
      <x:c r="K654" s="38" t="n">
        <x:v>0.055</x:v>
      </x:c>
      <x:c r="L654" s="38" t="n">
        <x:f>SUM(G654:K654)</x:f>
        <x:v>64.542</x:v>
      </x:c>
      <x:c r="M654" s="38" t="n">
        <x:v>80.707</x:v>
      </x:c>
      <x:c r="N654" s="38" t="n">
        <x:v>623.71</x:v>
      </x:c>
      <x:c r="O654" s="38" t="n">
        <x:v>453.47</x:v>
      </x:c>
      <x:c r="P654" s="38" t="n">
        <x:v>669.9</x:v>
      </x:c>
      <x:c r="Q654" s="38" t="n">
        <x:v>19.88</x:v>
      </x:c>
      <x:c r="R654" s="38" t="n">
        <x:v>43.7475</x:v>
      </x:c>
      <x:c r="S654" s="38" t="n">
        <x:v>81.09</x:v>
      </x:c>
      <x:c r="T654" s="40" t="n">
        <x:v>23.89</x:v>
      </x:c>
      <x:c r="U654" s="40" t="n">
        <x:v>1.45</x:v>
      </x:c>
      <x:c r="V654" s="38" t="n">
        <x:f>L654*(1-T654/100)*(1-U654/100)</x:f>
        <x:v>48.4106339151</x:v>
      </x:c>
      <x:c r="W654" s="38" t="n">
        <x:f>G654*N654</x:f>
        <x:v>31759.313200000004</x:v>
      </x:c>
      <x:c r="X654" s="38" t="n">
        <x:f>H654*O654</x:f>
        <x:v>4287.105380000001</x:v>
      </x:c>
      <x:c r="Y654" s="38" t="n">
        <x:f>I654*P654</x:f>
        <x:v>2000.3214</x:v>
      </x:c>
      <x:c r="Z654" s="38" t="n">
        <x:f>J654*Q654+K654*P654</x:f>
        <x:v>59.24925999999999</x:v>
      </x:c>
      <x:c r="AA654" s="38" t="n">
        <x:f>M654*R654</x:f>
        <x:v>3530.7294825</x:v>
      </x:c>
      <x:c r="AB654" s="38" t="n">
        <x:f>SUM(W654:AA654)</x:f>
        <x:v>41636.7187225</x:v>
      </x:c>
      <x:c r="AC654" s="38" t="n">
        <x:v>4.29</x:v>
      </x:c>
      <x:c r="AD654" s="38" t="n">
        <x:v>174.33</x:v>
      </x:c>
      <x:c r="AE654" s="38" t="n">
        <x:v>21.35</x:v>
      </x:c>
      <x:c r="AF654" s="38" t="n">
        <x:v>4.8148</x:v>
      </x:c>
      <x:c r="AG654" s="38" t="n">
        <x:v>5.83</x:v>
      </x:c>
      <x:c r="AH654" s="38" t="n">
        <x:f>IF(E654="Fason",L654*S654,0)</x:f>
        <x:v>0</x:v>
      </x:c>
      <x:c r="AI654" s="38" t="n">
        <x:f>IF(E654="Kurum içi",AC654*AD654+AE654*AF654+AB654*12%,0)</x:f>
        <x:v>5847.077926700001</x:v>
      </x:c>
      <x:c r="AJ654" s="38" t="n">
        <x:f>V654*AG654</x:f>
        <x:v>282.233995725033</x:v>
      </x:c>
      <x:c r="AK654" s="38" t="n">
        <x:f>AB654*2%</x:f>
        <x:v>832.73437445</x:v>
      </x:c>
      <x:c r="AL654" s="38" t="n">
        <x:f>AB654+AH654+AI654+AJ654+AK654</x:f>
        <x:v>48598.76501937504</x:v>
      </x:c>
      <x:c r="AM654" s="38" t="n">
        <x:f>AL654/V654</x:f>
        <x:v>1003.8861524640428</x:v>
      </x:c>
      <x:c r="AN654" s="40" t="n">
        <x:f>(W654+X654)/AL654*100</x:f>
        <x:v>74.17147033598333</x:v>
      </x:c>
      <x:c r="AO654" s="28" t="str">
        <x:v>R01-R20; ilgili satırdaki bölgesel fiyat ve maliyet varsayımları</x:v>
      </x:c>
      <x:c r="AP654" s="28" t="str">
        <x:v>Girdi miktarları, alım fiyatı değişimi, fason bedeli ve parti sonucu simüle edilmiştir; işletme kaydı değildir.</x:v>
      </x:c>
    </x:row>
    <x:row r="655" ht="22" customHeight="1">
      <x:c r="A655" t="str">
        <x:v>SUC-0654</x:v>
      </x:c>
      <x:c r="B655" s="36" t="n">
        <x:v>46269</x:v>
      </x:c>
      <x:c r="C655" t="str">
        <x:v>İç Anadolu</x:v>
      </x:c>
      <x:c r="D655" t="str">
        <x:v>ERZURUM_CI</x:v>
      </x:c>
      <x:c r="E655" t="str">
        <x:v>Kurum içi</x:v>
      </x:c>
      <x:c r="F655" s="42" t="str">
        <x:v>SENTETİK/SİMÜLE — gerçek parti kaydı değildir</x:v>
      </x:c>
      <x:c r="G655" s="38" t="n">
        <x:v>76.445</x:v>
      </x:c>
      <x:c r="H655" s="38" t="n">
        <x:v>12.73</x:v>
      </x:c>
      <x:c r="I655" s="38" t="n">
        <x:v>4.723</x:v>
      </x:c>
      <x:c r="J655" s="38" t="n">
        <x:v>1.595</x:v>
      </x:c>
      <x:c r="K655" s="38" t="n">
        <x:v>0.01</x:v>
      </x:c>
      <x:c r="L655" s="38" t="n">
        <x:f>SUM(G655:K655)</x:f>
        <x:v>95.503</x:v>
      </x:c>
      <x:c r="M655" s="38" t="n">
        <x:v>122.006</x:v>
      </x:c>
      <x:c r="N655" s="38" t="n">
        <x:v>587.41</x:v>
      </x:c>
      <x:c r="O655" s="38" t="n">
        <x:v>423.68</x:v>
      </x:c>
      <x:c r="P655" s="38" t="n">
        <x:v>550</x:v>
      </x:c>
      <x:c r="Q655" s="38" t="n">
        <x:v>19.88</x:v>
      </x:c>
      <x:c r="R655" s="38" t="n">
        <x:v>43.7475</x:v>
      </x:c>
      <x:c r="S655" s="38" t="n">
        <x:v>99.16</x:v>
      </x:c>
      <x:c r="T655" s="40" t="n">
        <x:v>32.47</x:v>
      </x:c>
      <x:c r="U655" s="40" t="n">
        <x:v>1.36</x:v>
      </x:c>
      <x:c r="V655" s="38" t="n">
        <x:f>L655*(1-T655/100)*(1-U655/100)</x:f>
        <x:v>63.61606870775999</x:v>
      </x:c>
      <x:c r="W655" s="38" t="n">
        <x:f>G655*N655</x:f>
        <x:v>44904.55744999999</x:v>
      </x:c>
      <x:c r="X655" s="38" t="n">
        <x:f>H655*O655</x:f>
        <x:v>5393.446400000001</x:v>
      </x:c>
      <x:c r="Y655" s="38" t="n">
        <x:f>I655*P655</x:f>
        <x:v>2597.65</x:v>
      </x:c>
      <x:c r="Z655" s="38" t="n">
        <x:f>J655*Q655+K655*P655</x:f>
        <x:v>37.2086</x:v>
      </x:c>
      <x:c r="AA655" s="38" t="n">
        <x:f>M655*R655</x:f>
        <x:v>5337.457485</x:v>
      </x:c>
      <x:c r="AB655" s="38" t="n">
        <x:f>SUM(W655:AA655)</x:f>
        <x:v>58270.31993499999</x:v>
      </x:c>
      <x:c r="AC655" s="38" t="n">
        <x:v>4.2</x:v>
      </x:c>
      <x:c r="AD655" s="38" t="n">
        <x:v>174.33</x:v>
      </x:c>
      <x:c r="AE655" s="38" t="n">
        <x:v>28.88</x:v>
      </x:c>
      <x:c r="AF655" s="38" t="n">
        <x:v>4.8148</x:v>
      </x:c>
      <x:c r="AG655" s="38" t="n">
        <x:v>5.43</x:v>
      </x:c>
      <x:c r="AH655" s="38" t="n">
        <x:f>IF(E655="Fason",L655*S655,0)</x:f>
        <x:v>0</x:v>
      </x:c>
      <x:c r="AI655" s="38" t="n">
        <x:f>IF(E655="Kurum içi",AC655*AD655+AE655*AF655+AB655*12%,0)</x:f>
        <x:v>7863.675816199999</x:v>
      </x:c>
      <x:c r="AJ655" s="38" t="n">
        <x:f>V655*AG655</x:f>
        <x:v>345.43525308313673</x:v>
      </x:c>
      <x:c r="AK655" s="38" t="n">
        <x:f>AB655*2%</x:f>
        <x:v>1165.4063987</x:v>
      </x:c>
      <x:c r="AL655" s="38" t="n">
        <x:f>AB655+AH655+AI655+AJ655+AK655</x:f>
        <x:v>67644.83740298313</x:v>
      </x:c>
      <x:c r="AM655" s="38" t="n">
        <x:f>AL655/V655</x:f>
        <x:v>1063.3294193913573</x:v>
      </x:c>
      <x:c r="AN655" s="40" t="n">
        <x:f>(W655+X655)/AL655*100</x:f>
        <x:v>74.35601264048844</x:v>
      </x:c>
      <x:c r="AO655" s="28" t="str">
        <x:v>R01-R20; ilgili satırdaki bölgesel fiyat ve maliyet varsayımları</x:v>
      </x:c>
      <x:c r="AP655" s="28" t="str">
        <x:v>Girdi miktarları, alım fiyatı değişimi, fason bedeli ve parti sonucu simüle edilmiştir; işletme kaydı değildir.</x:v>
      </x:c>
    </x:row>
    <x:row r="656" ht="22" customHeight="1">
      <x:c r="A656" t="str">
        <x:v>SUC-0655</x:v>
      </x:c>
      <x:c r="B656" s="36" t="n">
        <x:v>46274</x:v>
      </x:c>
      <x:c r="C656" t="str">
        <x:v>Marmara</x:v>
      </x:c>
      <x:c r="D656" t="str">
        <x:v>ERZURUM_CI</x:v>
      </x:c>
      <x:c r="E656" t="str">
        <x:v>Kurum içi</x:v>
      </x:c>
      <x:c r="F656" s="42" t="str">
        <x:v>SENTETİK/SİMÜLE — gerçek parti kaydı değildir</x:v>
      </x:c>
      <x:c r="G656" s="38" t="n">
        <x:v>69.822</x:v>
      </x:c>
      <x:c r="H656" s="38" t="n">
        <x:v>13.188</x:v>
      </x:c>
      <x:c r="I656" s="38" t="n">
        <x:v>4.007</x:v>
      </x:c>
      <x:c r="J656" s="38" t="n">
        <x:v>1.539</x:v>
      </x:c>
      <x:c r="K656" s="38" t="n">
        <x:v>0.009</x:v>
      </x:c>
      <x:c r="L656" s="38" t="n">
        <x:f>SUM(G656:K656)</x:f>
        <x:v>88.56500000000001</x:v>
      </x:c>
      <x:c r="M656" s="38" t="n">
        <x:v>109.904</x:v>
      </x:c>
      <x:c r="N656" s="38" t="n">
        <x:v>612.03</x:v>
      </x:c>
      <x:c r="O656" s="38" t="n">
        <x:v>467.88</x:v>
      </x:c>
      <x:c r="P656" s="38" t="n">
        <x:v>400</x:v>
      </x:c>
      <x:c r="Q656" s="38" t="n">
        <x:v>19.88</x:v>
      </x:c>
      <x:c r="R656" s="38" t="n">
        <x:v>43.7475</x:v>
      </x:c>
      <x:c r="S656" s="38" t="n">
        <x:v>73.05</x:v>
      </x:c>
      <x:c r="T656" s="40" t="n">
        <x:v>25.82</x:v>
      </x:c>
      <x:c r="U656" s="40" t="n">
        <x:v>0.96</x:v>
      </x:c>
      <x:c r="V656" s="38" t="n">
        <x:f>L656*(1-T656/100)*(1-U656/100)</x:f>
        <x:v>65.0668208368</x:v>
      </x:c>
      <x:c r="W656" s="38" t="n">
        <x:f>G656*N656</x:f>
        <x:v>42733.15866</x:v>
      </x:c>
      <x:c r="X656" s="38" t="n">
        <x:f>H656*O656</x:f>
        <x:v>6170.401440000001</x:v>
      </x:c>
      <x:c r="Y656" s="38" t="n">
        <x:f>I656*P656</x:f>
        <x:v>1602.8</x:v>
      </x:c>
      <x:c r="Z656" s="38" t="n">
        <x:f>J656*Q656+K656*P656</x:f>
        <x:v>34.195319999999995</x:v>
      </x:c>
      <x:c r="AA656" s="38" t="n">
        <x:f>M656*R656</x:f>
        <x:v>4808.02524</x:v>
      </x:c>
      <x:c r="AB656" s="38" t="n">
        <x:f>SUM(W656:AA656)</x:f>
        <x:v>55348.58066000001</x:v>
      </x:c>
      <x:c r="AC656" s="38" t="n">
        <x:v>5.67</x:v>
      </x:c>
      <x:c r="AD656" s="38" t="n">
        <x:v>174.33</x:v>
      </x:c>
      <x:c r="AE656" s="38" t="n">
        <x:v>21.68</x:v>
      </x:c>
      <x:c r="AF656" s="38" t="n">
        <x:v>4.8148</x:v>
      </x:c>
      <x:c r="AG656" s="38" t="n">
        <x:v>5.66</x:v>
      </x:c>
      <x:c r="AH656" s="38" t="n">
        <x:f>IF(E656="Fason",L656*S656,0)</x:f>
        <x:v>0</x:v>
      </x:c>
      <x:c r="AI656" s="38" t="n">
        <x:f>IF(E656="Kurum içi",AC656*AD656+AE656*AF656+AB656*12%,0)</x:f>
        <x:v>7734.665643200001</x:v>
      </x:c>
      <x:c r="AJ656" s="38" t="n">
        <x:f>V656*AG656</x:f>
        <x:v>368.27820593628803</x:v>
      </x:c>
      <x:c r="AK656" s="38" t="n">
        <x:f>AB656*2%</x:f>
        <x:v>1106.9716132</x:v>
      </x:c>
      <x:c r="AL656" s="38" t="n">
        <x:f>AB656+AH656+AI656+AJ656+AK656</x:f>
        <x:v>64558.4961223363</x:v>
      </x:c>
      <x:c r="AM656" s="38" t="n">
        <x:f>AL656/V656</x:f>
        <x:v>992.1876509728563</x:v>
      </x:c>
      <x:c r="AN656" s="40" t="n">
        <x:f>(W656+X656)/AL656*100</x:f>
        <x:v>75.75077338748615</x:v>
      </x:c>
      <x:c r="AO656" s="28" t="str">
        <x:v>R01-R20; ilgili satırdaki bölgesel fiyat ve maliyet varsayımları</x:v>
      </x:c>
      <x:c r="AP656" s="28" t="str">
        <x:v>Girdi miktarları, alım fiyatı değişimi, fason bedeli ve parti sonucu simüle edilmiştir; işletme kaydı değildir.</x:v>
      </x:c>
    </x:row>
    <x:row r="657" ht="22" customHeight="1">
      <x:c r="A657" t="str">
        <x:v>SUC-0656</x:v>
      </x:c>
      <x:c r="B657" s="36" t="n">
        <x:v>46282</x:v>
      </x:c>
      <x:c r="C657" t="str">
        <x:v>Marmara</x:v>
      </x:c>
      <x:c r="D657" t="str">
        <x:v>MEB_STANDART</x:v>
      </x:c>
      <x:c r="E657" t="str">
        <x:v>Fason</x:v>
      </x:c>
      <x:c r="F657" s="42" t="str">
        <x:v>SENTETİK/SİMÜLE — gerçek parti kaydı değildir</x:v>
      </x:c>
      <x:c r="G657" s="38" t="n">
        <x:v>118.923</x:v>
      </x:c>
      <x:c r="H657" s="38" t="n">
        <x:v>38.098</x:v>
      </x:c>
      <x:c r="I657" s="38" t="n">
        <x:v>7.524</x:v>
      </x:c>
      <x:c r="J657" s="38" t="n">
        <x:v>4.541</x:v>
      </x:c>
      <x:c r="K657" s="38" t="n">
        <x:v>1.668</x:v>
      </x:c>
      <x:c r="L657" s="38" t="n">
        <x:f>SUM(G657:K657)</x:f>
        <x:v>170.75400000000002</x:v>
      </x:c>
      <x:c r="M657" s="38" t="n">
        <x:v>201.093</x:v>
      </x:c>
      <x:c r="N657" s="38" t="n">
        <x:v>596.79</x:v>
      </x:c>
      <x:c r="O657" s="38" t="n">
        <x:v>440.82</x:v>
      </x:c>
      <x:c r="P657" s="38" t="n">
        <x:v>400</x:v>
      </x:c>
      <x:c r="Q657" s="38" t="n">
        <x:v>19.88</x:v>
      </x:c>
      <x:c r="R657" s="38" t="n">
        <x:v>43.7475</x:v>
      </x:c>
      <x:c r="S657" s="38" t="n">
        <x:v>97.79</x:v>
      </x:c>
      <x:c r="T657" s="40" t="n">
        <x:v>16.61</x:v>
      </x:c>
      <x:c r="U657" s="40" t="n">
        <x:v>1.05</x:v>
      </x:c>
      <x:c r="V657" s="38" t="n">
        <x:f>L657*(1-T657/100)*(1-U657/100)</x:f>
        <x:v>140.8966471137</x:v>
      </x:c>
      <x:c r="W657" s="38" t="n">
        <x:f>G657*N657</x:f>
        <x:v>70972.05717</x:v>
      </x:c>
      <x:c r="X657" s="38" t="n">
        <x:f>H657*O657</x:f>
        <x:v>16794.36036</x:v>
      </x:c>
      <x:c r="Y657" s="38" t="n">
        <x:f>I657*P657</x:f>
        <x:v>3009.6</x:v>
      </x:c>
      <x:c r="Z657" s="38" t="n">
        <x:f>J657*Q657+K657*P657</x:f>
        <x:v>757.4750799999999</x:v>
      </x:c>
      <x:c r="AA657" s="38" t="n">
        <x:f>M657*R657</x:f>
        <x:v>8797.3160175</x:v>
      </x:c>
      <x:c r="AB657" s="38" t="n">
        <x:f>SUM(W657:AA657)</x:f>
        <x:v>100330.80862750001</x:v>
      </x:c>
      <x:c r="AC657" s="38" t="n">
        <x:v>11.64</x:v>
      </x:c>
      <x:c r="AD657" s="38" t="n">
        <x:v>174.33</x:v>
      </x:c>
      <x:c r="AE657" s="38" t="n">
        <x:v>77.6</x:v>
      </x:c>
      <x:c r="AF657" s="38" t="n">
        <x:v>4.8148</x:v>
      </x:c>
      <x:c r="AG657" s="38" t="n">
        <x:v>5.8</x:v>
      </x:c>
      <x:c r="AH657" s="38" t="n">
        <x:f>IF(E657="Fason",L657*S657,0)</x:f>
        <x:v>16698.033660000005</x:v>
      </x:c>
      <x:c r="AI657" s="38" t="n">
        <x:f>IF(E657="Kurum içi",AC657*AD657+AE657*AF657+AB657*12%,0)</x:f>
        <x:v>0</x:v>
      </x:c>
      <x:c r="AJ657" s="38" t="n">
        <x:f>V657*AG657</x:f>
        <x:v>817.20055325946</x:v>
      </x:c>
      <x:c r="AK657" s="38" t="n">
        <x:f>AB657*2%</x:f>
        <x:v>2006.6161725500003</x:v>
      </x:c>
      <x:c r="AL657" s="38" t="n">
        <x:f>AB657+AH657+AI657+AJ657+AK657</x:f>
        <x:v>119852.65901330947</x:v>
      </x:c>
      <x:c r="AM657" s="38" t="n">
        <x:f>AL657/V657</x:f>
        <x:v>850.6423784278659</x:v>
      </x:c>
      <x:c r="AN657" s="40" t="n">
        <x:f>(W657+X657)/AL657*100</x:f>
        <x:v>73.22859438625694</x:v>
      </x:c>
      <x:c r="AO657" s="28" t="str">
        <x:v>R01-R20; ilgili satırdaki bölgesel fiyat ve maliyet varsayımları</x:v>
      </x:c>
      <x:c r="AP657" s="28" t="str">
        <x:v>Girdi miktarları, alım fiyatı değişimi, fason bedeli ve parti sonucu simüle edilmiştir; işletme kaydı değildir.</x:v>
      </x:c>
    </x:row>
    <x:row r="658" ht="22" customHeight="1">
      <x:c r="A658" t="str">
        <x:v>SUC-0657</x:v>
      </x:c>
      <x:c r="B658" s="36" t="n">
        <x:v>46296</x:v>
      </x:c>
      <x:c r="C658" t="str">
        <x:v>Güneydoğu Anadolu</x:v>
      </x:c>
      <x:c r="D658" t="str">
        <x:v>ERZURUM_CI</x:v>
      </x:c>
      <x:c r="E658" t="str">
        <x:v>Fason</x:v>
      </x:c>
      <x:c r="F658" s="42" t="str">
        <x:v>SENTETİK/SİMÜLE — gerçek parti kaydı değildir</x:v>
      </x:c>
      <x:c r="G658" s="38" t="n">
        <x:v>252.466</x:v>
      </x:c>
      <x:c r="H658" s="38" t="n">
        <x:v>44.218</x:v>
      </x:c>
      <x:c r="I658" s="38" t="n">
        <x:v>14.324</x:v>
      </x:c>
      <x:c r="J658" s="38" t="n">
        <x:v>5.318</x:v>
      </x:c>
      <x:c r="K658" s="38" t="n">
        <x:v>0.413</x:v>
      </x:c>
      <x:c r="L658" s="38" t="n">
        <x:f>SUM(G658:K658)</x:f>
        <x:v>316.73900000000003</x:v>
      </x:c>
      <x:c r="M658" s="38" t="n">
        <x:v>369.511</x:v>
      </x:c>
      <x:c r="N658" s="38" t="n">
        <x:v>583.3</x:v>
      </x:c>
      <x:c r="O658" s="38" t="n">
        <x:v>411.28</x:v>
      </x:c>
      <x:c r="P658" s="38" t="n">
        <x:v>400</x:v>
      </x:c>
      <x:c r="Q658" s="38" t="n">
        <x:v>19.88</x:v>
      </x:c>
      <x:c r="R658" s="38" t="n">
        <x:v>43.7475</x:v>
      </x:c>
      <x:c r="S658" s="38" t="n">
        <x:v>97.67</x:v>
      </x:c>
      <x:c r="T658" s="40" t="n">
        <x:v>18.45</x:v>
      </x:c>
      <x:c r="U658" s="40" t="n">
        <x:v>0.9</x:v>
      </x:c>
      <x:c r="V658" s="38" t="n">
        <x:f>L658*(1-T658/100)*(1-U658/100)</x:f>
        <x:v>255.9759486095</x:v>
      </x:c>
      <x:c r="W658" s="38" t="n">
        <x:f>G658*N658</x:f>
        <x:v>147263.4178</x:v>
      </x:c>
      <x:c r="X658" s="38" t="n">
        <x:f>H658*O658</x:f>
        <x:v>18185.979040000002</x:v>
      </x:c>
      <x:c r="Y658" s="38" t="n">
        <x:f>I658*P658</x:f>
        <x:v>5729.6</x:v>
      </x:c>
      <x:c r="Z658" s="38" t="n">
        <x:f>J658*Q658+K658*P658</x:f>
        <x:v>270.92184</x:v>
      </x:c>
      <x:c r="AA658" s="38" t="n">
        <x:f>M658*R658</x:f>
        <x:v>16165.182472500002</x:v>
      </x:c>
      <x:c r="AB658" s="38" t="n">
        <x:f>SUM(W658:AA658)</x:f>
        <x:v>187615.1011525</x:v>
      </x:c>
      <x:c r="AC658" s="38" t="n">
        <x:v>19.37</x:v>
      </x:c>
      <x:c r="AD658" s="38" t="n">
        <x:v>174.33</x:v>
      </x:c>
      <x:c r="AE658" s="38" t="n">
        <x:v>101.76</x:v>
      </x:c>
      <x:c r="AF658" s="38" t="n">
        <x:v>4.8148</x:v>
      </x:c>
      <x:c r="AG658" s="38" t="n">
        <x:v>5.22</x:v>
      </x:c>
      <x:c r="AH658" s="38" t="n">
        <x:f>IF(E658="Fason",L658*S658,0)</x:f>
        <x:v>30935.898130000005</x:v>
      </x:c>
      <x:c r="AI658" s="38" t="n">
        <x:f>IF(E658="Kurum içi",AC658*AD658+AE658*AF658+AB658*12%,0)</x:f>
        <x:v>0</x:v>
      </x:c>
      <x:c r="AJ658" s="38" t="n">
        <x:f>V658*AG658</x:f>
        <x:v>1336.19445174159</x:v>
      </x:c>
      <x:c r="AK658" s="38" t="n">
        <x:f>AB658*2%</x:f>
        <x:v>3752.30202305</x:v>
      </x:c>
      <x:c r="AL658" s="38" t="n">
        <x:f>AB658+AH658+AI658+AJ658+AK658</x:f>
        <x:v>223639.4957572916</x:v>
      </x:c>
      <x:c r="AM658" s="38" t="n">
        <x:f>AL658/V658</x:f>
        <x:v>873.6738626114488</x:v>
      </x:c>
      <x:c r="AN658" s="40" t="n">
        <x:f>(W658+X658)/AL658*100</x:f>
        <x:v>73.98040148487755</x:v>
      </x:c>
      <x:c r="AO658" s="28" t="str">
        <x:v>R01-R20; ilgili satırdaki bölgesel fiyat ve maliyet varsayımları</x:v>
      </x:c>
      <x:c r="AP658" s="28" t="str">
        <x:v>Girdi miktarları, alım fiyatı değişimi, fason bedeli ve parti sonucu simüle edilmiştir; işletme kaydı değildir.</x:v>
      </x:c>
    </x:row>
    <x:row r="659" ht="22" customHeight="1">
      <x:c r="A659" t="str">
        <x:v>SUC-0658</x:v>
      </x:c>
      <x:c r="B659" s="36" t="n">
        <x:v>46312</x:v>
      </x:c>
      <x:c r="C659" t="str">
        <x:v>Doğu Anadolu</x:v>
      </x:c>
      <x:c r="D659" t="str">
        <x:v>ERZURUM_CI</x:v>
      </x:c>
      <x:c r="E659" t="str">
        <x:v>Kurum içi</x:v>
      </x:c>
      <x:c r="F659" s="42" t="str">
        <x:v>SENTETİK/SİMÜLE — gerçek parti kaydı değildir</x:v>
      </x:c>
      <x:c r="G659" s="38" t="n">
        <x:v>228.477</x:v>
      </x:c>
      <x:c r="H659" s="38" t="n">
        <x:v>41.049</x:v>
      </x:c>
      <x:c r="I659" s="38" t="n">
        <x:v>13.519</x:v>
      </x:c>
      <x:c r="J659" s="38" t="n">
        <x:v>4.098</x:v>
      </x:c>
      <x:c r="K659" s="38" t="n">
        <x:v>0.028</x:v>
      </x:c>
      <x:c r="L659" s="38" t="n">
        <x:f>SUM(G659:K659)</x:f>
        <x:v>287.17100000000005</x:v>
      </x:c>
      <x:c r="M659" s="38" t="n">
        <x:v>349.213</x:v>
      </x:c>
      <x:c r="N659" s="38" t="n">
        <x:v>595.54</x:v>
      </x:c>
      <x:c r="O659" s="38" t="n">
        <x:v>447.98</x:v>
      </x:c>
      <x:c r="P659" s="38" t="n">
        <x:v>400</x:v>
      </x:c>
      <x:c r="Q659" s="38" t="n">
        <x:v>19.88</x:v>
      </x:c>
      <x:c r="R659" s="38" t="n">
        <x:v>43.7475</x:v>
      </x:c>
      <x:c r="S659" s="38" t="n">
        <x:v>123.3</x:v>
      </x:c>
      <x:c r="T659" s="40" t="n">
        <x:v>20.56</x:v>
      </x:c>
      <x:c r="U659" s="40" t="n">
        <x:v>1.38</x:v>
      </x:c>
      <x:c r="V659" s="38" t="n">
        <x:f>L659*(1-T659/100)*(1-U659/100)</x:f>
        <x:v>224.98046713488003</x:v>
      </x:c>
      <x:c r="W659" s="38" t="n">
        <x:f>G659*N659</x:f>
        <x:v>136067.19258</x:v>
      </x:c>
      <x:c r="X659" s="38" t="n">
        <x:f>H659*O659</x:f>
        <x:v>18389.13102</x:v>
      </x:c>
      <x:c r="Y659" s="38" t="n">
        <x:f>I659*P659</x:f>
        <x:v>5407.6</x:v>
      </x:c>
      <x:c r="Z659" s="38" t="n">
        <x:f>J659*Q659+K659*P659</x:f>
        <x:v>92.66824</x:v>
      </x:c>
      <x:c r="AA659" s="38" t="n">
        <x:f>M659*R659</x:f>
        <x:v>15277.195717500003</x:v>
      </x:c>
      <x:c r="AB659" s="38" t="n">
        <x:f>SUM(W659:AA659)</x:f>
        <x:v>175233.7875575</x:v>
      </x:c>
      <x:c r="AC659" s="38" t="n">
        <x:v>11.05</x:v>
      </x:c>
      <x:c r="AD659" s="38" t="n">
        <x:v>174.33</x:v>
      </x:c>
      <x:c r="AE659" s="38" t="n">
        <x:v>107</x:v>
      </x:c>
      <x:c r="AF659" s="38" t="n">
        <x:v>4.8148</x:v>
      </x:c>
      <x:c r="AG659" s="38" t="n">
        <x:v>5.63</x:v>
      </x:c>
      <x:c r="AH659" s="38" t="n">
        <x:f>IF(E659="Fason",L659*S659,0)</x:f>
        <x:v>0</x:v>
      </x:c>
      <x:c r="AI659" s="38" t="n">
        <x:f>IF(E659="Kurum içi",AC659*AD659+AE659*AF659+AB659*12%,0)</x:f>
        <x:v>23469.5846069</x:v>
      </x:c>
      <x:c r="AJ659" s="38" t="n">
        <x:f>V659*AG659</x:f>
        <x:v>1266.6400299693746</x:v>
      </x:c>
      <x:c r="AK659" s="38" t="n">
        <x:f>AB659*2%</x:f>
        <x:v>3504.67575115</x:v>
      </x:c>
      <x:c r="AL659" s="38" t="n">
        <x:f>AB659+AH659+AI659+AJ659+AK659</x:f>
        <x:v>203474.68794551937</x:v>
      </x:c>
      <x:c r="AM659" s="38" t="n">
        <x:f>AL659/V659</x:f>
        <x:v>904.4104607691673</x:v>
      </x:c>
      <x:c r="AN659" s="40" t="n">
        <x:f>(W659+X659)/AL659*100</x:f>
        <x:v>75.90935519279721</x:v>
      </x:c>
      <x:c r="AO659" s="28" t="str">
        <x:v>R01-R20; ilgili satırdaki bölgesel fiyat ve maliyet varsayımları</x:v>
      </x:c>
      <x:c r="AP659" s="28" t="str">
        <x:v>Girdi miktarları, alım fiyatı değişimi, fason bedeli ve parti sonucu simüle edilmiştir; işletme kaydı değildir.</x:v>
      </x:c>
    </x:row>
    <x:row r="660" ht="22" customHeight="1">
      <x:c r="A660" t="str">
        <x:v>SUC-0659</x:v>
      </x:c>
      <x:c r="B660" s="36" t="n">
        <x:v>46287</x:v>
      </x:c>
      <x:c r="C660" t="str">
        <x:v>Doğu Anadolu</x:v>
      </x:c>
      <x:c r="D660" t="str">
        <x:v>MEB_STANDART</x:v>
      </x:c>
      <x:c r="E660" t="str">
        <x:v>Fason</x:v>
      </x:c>
      <x:c r="F660" s="42" t="str">
        <x:v>SENTETİK/SİMÜLE — gerçek parti kaydı değildir</x:v>
      </x:c>
      <x:c r="G660" s="38" t="n">
        <x:v>285.721</x:v>
      </x:c>
      <x:c r="H660" s="38" t="n">
        <x:v>90.673</x:v>
      </x:c>
      <x:c r="I660" s="38" t="n">
        <x:v>17.779</x:v>
      </x:c>
      <x:c r="J660" s="38" t="n">
        <x:v>9.438</x:v>
      </x:c>
      <x:c r="K660" s="38" t="n">
        <x:v>3.903</x:v>
      </x:c>
      <x:c r="L660" s="38" t="n">
        <x:f>SUM(G660:K660)</x:f>
        <x:v>407.514</x:v>
      </x:c>
      <x:c r="M660" s="38" t="n">
        <x:v>491.367</x:v>
      </x:c>
      <x:c r="N660" s="38" t="n">
        <x:v>580.68</x:v>
      </x:c>
      <x:c r="O660" s="38" t="n">
        <x:v>460.86</x:v>
      </x:c>
      <x:c r="P660" s="38" t="n">
        <x:v>400</x:v>
      </x:c>
      <x:c r="Q660" s="38" t="n">
        <x:v>19.88</x:v>
      </x:c>
      <x:c r="R660" s="38" t="n">
        <x:v>43.7475</x:v>
      </x:c>
      <x:c r="S660" s="38" t="n">
        <x:v>66.42</x:v>
      </x:c>
      <x:c r="T660" s="40" t="n">
        <x:v>19.63</x:v>
      </x:c>
      <x:c r="U660" s="40" t="n">
        <x:v>1.17</x:v>
      </x:c>
      <x:c r="V660" s="38" t="n">
        <x:f>L660*(1-T660/100)*(1-U660/100)</x:f>
        <x:v>323.68702947894</x:v>
      </x:c>
      <x:c r="W660" s="38" t="n">
        <x:f>G660*N660</x:f>
        <x:v>165912.47027999998</x:v>
      </x:c>
      <x:c r="X660" s="38" t="n">
        <x:f>H660*O660</x:f>
        <x:v>41787.55878</x:v>
      </x:c>
      <x:c r="Y660" s="38" t="n">
        <x:f>I660*P660</x:f>
        <x:v>7111.6</x:v>
      </x:c>
      <x:c r="Z660" s="38" t="n">
        <x:f>J660*Q660+K660*P660</x:f>
        <x:v>1748.82744</x:v>
      </x:c>
      <x:c r="AA660" s="38" t="n">
        <x:f>M660*R660</x:f>
        <x:v>21496.077832500003</x:v>
      </x:c>
      <x:c r="AB660" s="38" t="n">
        <x:f>SUM(W660:AA660)</x:f>
        <x:v>238056.53433249998</x:v>
      </x:c>
      <x:c r="AC660" s="38" t="n">
        <x:v>22.76</x:v>
      </x:c>
      <x:c r="AD660" s="38" t="n">
        <x:v>174.33</x:v>
      </x:c>
      <x:c r="AE660" s="38" t="n">
        <x:v>122.85</x:v>
      </x:c>
      <x:c r="AF660" s="38" t="n">
        <x:v>4.8148</x:v>
      </x:c>
      <x:c r="AG660" s="38" t="n">
        <x:v>5.73</x:v>
      </x:c>
      <x:c r="AH660" s="38" t="n">
        <x:f>IF(E660="Fason",L660*S660,0)</x:f>
        <x:v>27067.07988</x:v>
      </x:c>
      <x:c r="AI660" s="38" t="n">
        <x:f>IF(E660="Kurum içi",AC660*AD660+AE660*AF660+AB660*12%,0)</x:f>
        <x:v>0</x:v>
      </x:c>
      <x:c r="AJ660" s="38" t="n">
        <x:f>V660*AG660</x:f>
        <x:v>1854.7266789143264</x:v>
      </x:c>
      <x:c r="AK660" s="38" t="n">
        <x:f>AB660*2%</x:f>
        <x:v>4761.13068665</x:v>
      </x:c>
      <x:c r="AL660" s="38" t="n">
        <x:f>AB660+AH660+AI660+AJ660+AK660</x:f>
        <x:v>271739.4715780643</x:v>
      </x:c>
      <x:c r="AM660" s="38" t="n">
        <x:f>AL660/V660</x:f>
        <x:v>839.513007411823</x:v>
      </x:c>
      <x:c r="AN660" s="40" t="n">
        <x:f>(W660+X660)/AL660*100</x:f>
        <x:v>76.43351473888941</x:v>
      </x:c>
      <x:c r="AO660" s="28" t="str">
        <x:v>R01-R20; ilgili satırdaki bölgesel fiyat ve maliyet varsayımları</x:v>
      </x:c>
      <x:c r="AP660" s="28" t="str">
        <x:v>Girdi miktarları, alım fiyatı değişimi, fason bedeli ve parti sonucu simüle edilmiştir; işletme kaydı değildir.</x:v>
      </x:c>
    </x:row>
    <x:row r="661" ht="22" customHeight="1">
      <x:c r="A661" t="str">
        <x:v>SUC-0660</x:v>
      </x:c>
      <x:c r="B661" s="36" t="n">
        <x:v>46279</x:v>
      </x:c>
      <x:c r="C661" t="str">
        <x:v>Karadeniz</x:v>
      </x:c>
      <x:c r="D661" t="str">
        <x:v>ERZURUM_CI</x:v>
      </x:c>
      <x:c r="E661" t="str">
        <x:v>Kurum içi</x:v>
      </x:c>
      <x:c r="F661" s="42" t="str">
        <x:v>SENTETİK/SİMÜLE — gerçek parti kaydı değildir</x:v>
      </x:c>
      <x:c r="G661" s="38" t="n">
        <x:v>57.04</x:v>
      </x:c>
      <x:c r="H661" s="38" t="n">
        <x:v>9.92</x:v>
      </x:c>
      <x:c r="I661" s="38" t="n">
        <x:v>3.223</x:v>
      </x:c>
      <x:c r="J661" s="38" t="n">
        <x:v>1.193</x:v>
      </x:c>
      <x:c r="K661" s="38" t="n">
        <x:v>0.07</x:v>
      </x:c>
      <x:c r="L661" s="38" t="n">
        <x:f>SUM(G661:K661)</x:f>
        <x:v>71.44599999999998</x:v>
      </x:c>
      <x:c r="M661" s="38" t="n">
        <x:v>85.089</x:v>
      </x:c>
      <x:c r="N661" s="38" t="n">
        <x:v>612.94</x:v>
      </x:c>
      <x:c r="O661" s="38" t="n">
        <x:v>434.27</x:v>
      </x:c>
      <x:c r="P661" s="38" t="n">
        <x:v>550</x:v>
      </x:c>
      <x:c r="Q661" s="38" t="n">
        <x:v>19.88</x:v>
      </x:c>
      <x:c r="R661" s="38" t="n">
        <x:v>43.7475</x:v>
      </x:c>
      <x:c r="S661" s="38" t="n">
        <x:v>70.67</x:v>
      </x:c>
      <x:c r="T661" s="40" t="n">
        <x:v>15.94</x:v>
      </x:c>
      <x:c r="U661" s="40" t="n">
        <x:v>1.46</x:v>
      </x:c>
      <x:c r="V661" s="38" t="n">
        <x:f>L661*(1-T661/100)*(1-U661/100)</x:f>
        <x:v>59.18066798903999</x:v>
      </x:c>
      <x:c r="W661" s="38" t="n">
        <x:f>G661*N661</x:f>
        <x:v>34962.0976</x:v>
      </x:c>
      <x:c r="X661" s="38" t="n">
        <x:f>H661*O661</x:f>
        <x:v>4307.9583999999995</x:v>
      </x:c>
      <x:c r="Y661" s="38" t="n">
        <x:f>I661*P661</x:f>
        <x:v>1772.6499999999999</x:v>
      </x:c>
      <x:c r="Z661" s="38" t="n">
        <x:f>J661*Q661+K661*P661</x:f>
        <x:v>62.216840000000005</x:v>
      </x:c>
      <x:c r="AA661" s="38" t="n">
        <x:f>M661*R661</x:f>
        <x:v>3722.4310275000003</x:v>
      </x:c>
      <x:c r="AB661" s="38" t="n">
        <x:f>SUM(W661:AA661)</x:f>
        <x:v>44827.3538675</x:v>
      </x:c>
      <x:c r="AC661" s="38" t="n">
        <x:v>2.93</x:v>
      </x:c>
      <x:c r="AD661" s="38" t="n">
        <x:v>174.33</x:v>
      </x:c>
      <x:c r="AE661" s="38" t="n">
        <x:v>31.92</x:v>
      </x:c>
      <x:c r="AF661" s="38" t="n">
        <x:v>4.8148</x:v>
      </x:c>
      <x:c r="AG661" s="38" t="n">
        <x:v>5.19</x:v>
      </x:c>
      <x:c r="AH661" s="38" t="n">
        <x:f>IF(E661="Fason",L661*S661,0)</x:f>
        <x:v>0</x:v>
      </x:c>
      <x:c r="AI661" s="38" t="n">
        <x:f>IF(E661="Kurum içi",AC661*AD661+AE661*AF661+AB661*12%,0)</x:f>
        <x:v>6043.7577801</x:v>
      </x:c>
      <x:c r="AJ661" s="38" t="n">
        <x:f>V661*AG661</x:f>
        <x:v>307.1476668631176</x:v>
      </x:c>
      <x:c r="AK661" s="38" t="n">
        <x:f>AB661*2%</x:f>
        <x:v>896.5470773500001</x:v>
      </x:c>
      <x:c r="AL661" s="38" t="n">
        <x:f>AB661+AH661+AI661+AJ661+AK661</x:f>
        <x:v>52074.806391813116</x:v>
      </x:c>
      <x:c r="AM661" s="38" t="n">
        <x:f>AL661/V661</x:f>
        <x:v>879.929344519348</x:v>
      </x:c>
      <x:c r="AN661" s="40" t="n">
        <x:f>(W661+X661)/AL661*100</x:f>
        <x:v>75.41085357961849</x:v>
      </x:c>
      <x:c r="AO661" s="28" t="str">
        <x:v>R01-R20; ilgili satırdaki bölgesel fiyat ve maliyet varsayımları</x:v>
      </x:c>
      <x:c r="AP661" s="28" t="str">
        <x:v>Girdi miktarları, alım fiyatı değişimi, fason bedeli ve parti sonucu simüle edilmiştir; işletme kaydı değildir.</x:v>
      </x:c>
    </x:row>
    <x:row r="662" ht="22" customHeight="1">
      <x:c r="A662" t="str">
        <x:v>SUC-0661</x:v>
      </x:c>
      <x:c r="B662" s="36" t="n">
        <x:v>46305</x:v>
      </x:c>
      <x:c r="C662" t="str">
        <x:v>Marmara</x:v>
      </x:c>
      <x:c r="D662" t="str">
        <x:v>MEB_STANDART</x:v>
      </x:c>
      <x:c r="E662" t="str">
        <x:v>Fason</x:v>
      </x:c>
      <x:c r="F662" s="42" t="str">
        <x:v>SENTETİK/SİMÜLE — gerçek parti kaydı değildir</x:v>
      </x:c>
      <x:c r="G662" s="38" t="n">
        <x:v>300.295</x:v>
      </x:c>
      <x:c r="H662" s="38" t="n">
        <x:v>91.783</x:v>
      </x:c>
      <x:c r="I662" s="38" t="n">
        <x:v>18.797</x:v>
      </x:c>
      <x:c r="J662" s="38" t="n">
        <x:v>10.511</x:v>
      </x:c>
      <x:c r="K662" s="38" t="n">
        <x:v>4.151</x:v>
      </x:c>
      <x:c r="L662" s="38" t="n">
        <x:f>SUM(G662:K662)</x:f>
        <x:v>425.5370000000001</x:v>
      </x:c>
      <x:c r="M662" s="38" t="n">
        <x:v>491.475</x:v>
      </x:c>
      <x:c r="N662" s="38" t="n">
        <x:v>611.45</x:v>
      </x:c>
      <x:c r="O662" s="38" t="n">
        <x:v>479.73</x:v>
      </x:c>
      <x:c r="P662" s="38" t="n">
        <x:v>400</x:v>
      </x:c>
      <x:c r="Q662" s="38" t="n">
        <x:v>19.88</x:v>
      </x:c>
      <x:c r="R662" s="38" t="n">
        <x:v>43.7475</x:v>
      </x:c>
      <x:c r="S662" s="38" t="n">
        <x:v>68.22</x:v>
      </x:c>
      <x:c r="T662" s="40" t="n">
        <x:v>18.08</x:v>
      </x:c>
      <x:c r="U662" s="40" t="n">
        <x:v>0.42</x:v>
      </x:c>
      <x:c r="V662" s="38" t="n">
        <x:f>L662*(1-T662/100)*(1-U662/100)</x:f>
        <x:v>347.1357907763201</x:v>
      </x:c>
      <x:c r="W662" s="38" t="n">
        <x:f>G662*N662</x:f>
        <x:v>183615.37775</x:v>
      </x:c>
      <x:c r="X662" s="38" t="n">
        <x:f>H662*O662</x:f>
        <x:v>44031.05859</x:v>
      </x:c>
      <x:c r="Y662" s="38" t="n">
        <x:f>I662*P662</x:f>
        <x:v>7518.8</x:v>
      </x:c>
      <x:c r="Z662" s="38" t="n">
        <x:f>J662*Q662+K662*P662</x:f>
        <x:v>1869.3586799999998</x:v>
      </x:c>
      <x:c r="AA662" s="38" t="n">
        <x:f>M662*R662</x:f>
        <x:v>21500.8025625</x:v>
      </x:c>
      <x:c r="AB662" s="38" t="n">
        <x:f>SUM(W662:AA662)</x:f>
        <x:v>258535.3975825</x:v>
      </x:c>
      <x:c r="AC662" s="38" t="n">
        <x:v>28.05</x:v>
      </x:c>
      <x:c r="AD662" s="38" t="n">
        <x:v>174.33</x:v>
      </x:c>
      <x:c r="AE662" s="38" t="n">
        <x:v>172.4</x:v>
      </x:c>
      <x:c r="AF662" s="38" t="n">
        <x:v>4.8148</x:v>
      </x:c>
      <x:c r="AG662" s="38" t="n">
        <x:v>5.16</x:v>
      </x:c>
      <x:c r="AH662" s="38" t="n">
        <x:f>IF(E662="Fason",L662*S662,0)</x:f>
        <x:v>29030.134140000006</x:v>
      </x:c>
      <x:c r="AI662" s="38" t="n">
        <x:f>IF(E662="Kurum içi",AC662*AD662+AE662*AF662+AB662*12%,0)</x:f>
        <x:v>0</x:v>
      </x:c>
      <x:c r="AJ662" s="38" t="n">
        <x:f>V662*AG662</x:f>
        <x:v>1791.220680405812</x:v>
      </x:c>
      <x:c r="AK662" s="38" t="n">
        <x:f>AB662*2%</x:f>
        <x:v>5170.707951650001</x:v>
      </x:c>
      <x:c r="AL662" s="38" t="n">
        <x:f>AB662+AH662+AI662+AJ662+AK662</x:f>
        <x:v>294527.4603545558</x:v>
      </x:c>
      <x:c r="AM662" s="38" t="n">
        <x:f>AL662/V662</x:f>
        <x:v>848.4502842414687</x:v>
      </x:c>
      <x:c r="AN662" s="40" t="n">
        <x:f>(W662+X662)/AL662*100</x:f>
        <x:v>77.29209224360825</x:v>
      </x:c>
      <x:c r="AO662" s="28" t="str">
        <x:v>R01-R20; ilgili satırdaki bölgesel fiyat ve maliyet varsayımları</x:v>
      </x:c>
      <x:c r="AP662" s="28" t="str">
        <x:v>Girdi miktarları, alım fiyatı değişimi, fason bedeli ve parti sonucu simüle edilmiştir; işletme kaydı değildir.</x:v>
      </x:c>
    </x:row>
    <x:row r="663" ht="22" customHeight="1">
      <x:c r="A663" t="str">
        <x:v>SUC-0662</x:v>
      </x:c>
      <x:c r="B663" s="36" t="n">
        <x:v>46309</x:v>
      </x:c>
      <x:c r="C663" t="str">
        <x:v>Marmara</x:v>
      </x:c>
      <x:c r="D663" t="str">
        <x:v>MEB_STANDART</x:v>
      </x:c>
      <x:c r="E663" t="str">
        <x:v>Kurum içi</x:v>
      </x:c>
      <x:c r="F663" s="42" t="str">
        <x:v>SENTETİK/SİMÜLE — gerçek parti kaydı değildir</x:v>
      </x:c>
      <x:c r="G663" s="38" t="n">
        <x:v>215.36</x:v>
      </x:c>
      <x:c r="H663" s="38" t="n">
        <x:v>68.112</x:v>
      </x:c>
      <x:c r="I663" s="38" t="n">
        <x:v>14.24</x:v>
      </x:c>
      <x:c r="J663" s="38" t="n">
        <x:v>7.805</x:v>
      </x:c>
      <x:c r="K663" s="38" t="n">
        <x:v>3.044</x:v>
      </x:c>
      <x:c r="L663" s="38" t="n">
        <x:f>SUM(G663:K663)</x:f>
        <x:v>308.561</x:v>
      </x:c>
      <x:c r="M663" s="38" t="n">
        <x:v>384.167</x:v>
      </x:c>
      <x:c r="N663" s="38" t="n">
        <x:v>601.85</x:v>
      </x:c>
      <x:c r="O663" s="38" t="n">
        <x:v>458.14</x:v>
      </x:c>
      <x:c r="P663" s="38" t="n">
        <x:v>400</x:v>
      </x:c>
      <x:c r="Q663" s="38" t="n">
        <x:v>19.88</x:v>
      </x:c>
      <x:c r="R663" s="38" t="n">
        <x:v>43.7475</x:v>
      </x:c>
      <x:c r="S663" s="38" t="n">
        <x:v>114.69</x:v>
      </x:c>
      <x:c r="T663" s="40" t="n">
        <x:v>17.43</x:v>
      </x:c>
      <x:c r="U663" s="40" t="n">
        <x:v>0.45</x:v>
      </x:c>
      <x:c r="V663" s="38" t="n">
        <x:f>L663*(1-T663/100)*(1-U663/100)</x:f>
        <x:v>253.63231302035</x:v>
      </x:c>
      <x:c r="W663" s="38" t="n">
        <x:f>G663*N663</x:f>
        <x:v>129614.41600000001</x:v>
      </x:c>
      <x:c r="X663" s="38" t="n">
        <x:f>H663*O663</x:f>
        <x:v>31204.831679999996</x:v>
      </x:c>
      <x:c r="Y663" s="38" t="n">
        <x:f>I663*P663</x:f>
        <x:v>5696</x:v>
      </x:c>
      <x:c r="Z663" s="38" t="n">
        <x:f>J663*Q663+K663*P663</x:f>
        <x:v>1372.7633999999998</x:v>
      </x:c>
      <x:c r="AA663" s="38" t="n">
        <x:f>M663*R663</x:f>
        <x:v>16806.3458325</x:v>
      </x:c>
      <x:c r="AB663" s="38" t="n">
        <x:f>SUM(W663:AA663)</x:f>
        <x:v>184694.3569125</x:v>
      </x:c>
      <x:c r="AC663" s="38" t="n">
        <x:v>20.86</x:v>
      </x:c>
      <x:c r="AD663" s="38" t="n">
        <x:v>174.33</x:v>
      </x:c>
      <x:c r="AE663" s="38" t="n">
        <x:v>136.99</x:v>
      </x:c>
      <x:c r="AF663" s="38" t="n">
        <x:v>4.8148</x:v>
      </x:c>
      <x:c r="AG663" s="38" t="n">
        <x:v>5.46</x:v>
      </x:c>
      <x:c r="AH663" s="38" t="n">
        <x:f>IF(E663="Fason",L663*S663,0)</x:f>
        <x:v>0</x:v>
      </x:c>
      <x:c r="AI663" s="38" t="n">
        <x:f>IF(E663="Kurum içi",AC663*AD663+AE663*AF663+AB663*12%,0)</x:f>
        <x:v>26459.426081499998</x:v>
      </x:c>
      <x:c r="AJ663" s="38" t="n">
        <x:f>V663*AG663</x:f>
        <x:v>1384.832429091111</x:v>
      </x:c>
      <x:c r="AK663" s="38" t="n">
        <x:f>AB663*2%</x:f>
        <x:v>3693.88713825</x:v>
      </x:c>
      <x:c r="AL663" s="38" t="n">
        <x:f>AB663+AH663+AI663+AJ663+AK663</x:f>
        <x:v>216232.50256134107</x:v>
      </x:c>
      <x:c r="AM663" s="38" t="n">
        <x:f>AL663/V663</x:f>
        <x:v>852.5431952512762</x:v>
      </x:c>
      <x:c r="AN663" s="40" t="n">
        <x:f>(W663+X663)/AL663*100</x:f>
        <x:v>74.37329993180772</x:v>
      </x:c>
      <x:c r="AO663" s="28" t="str">
        <x:v>R01-R20; ilgili satırdaki bölgesel fiyat ve maliyet varsayımları</x:v>
      </x:c>
      <x:c r="AP663" s="28" t="str">
        <x:v>Girdi miktarları, alım fiyatı değişimi, fason bedeli ve parti sonucu simüle edilmiştir; işletme kaydı değildir.</x:v>
      </x:c>
    </x:row>
    <x:row r="664" ht="22" customHeight="1">
      <x:c r="A664" t="str">
        <x:v>SUC-0663</x:v>
      </x:c>
      <x:c r="B664" s="36" t="n">
        <x:v>46294</x:v>
      </x:c>
      <x:c r="C664" t="str">
        <x:v>Doğu Anadolu</x:v>
      </x:c>
      <x:c r="D664" t="str">
        <x:v>ERZURUM_CI</x:v>
      </x:c>
      <x:c r="E664" t="str">
        <x:v>Fason</x:v>
      </x:c>
      <x:c r="F664" s="42" t="str">
        <x:v>SENTETİK/SİMÜLE — gerçek parti kaydı değildir</x:v>
      </x:c>
      <x:c r="G664" s="38" t="n">
        <x:v>91.872</x:v>
      </x:c>
      <x:c r="H664" s="38" t="n">
        <x:v>16.431</x:v>
      </x:c>
      <x:c r="I664" s="38" t="n">
        <x:v>5.624</x:v>
      </x:c>
      <x:c r="J664" s="38" t="n">
        <x:v>1.724</x:v>
      </x:c>
      <x:c r="K664" s="38" t="n">
        <x:v>0.205</x:v>
      </x:c>
      <x:c r="L664" s="38" t="n">
        <x:f>SUM(G664:K664)</x:f>
        <x:v>115.856</x:v>
      </x:c>
      <x:c r="M664" s="38" t="n">
        <x:v>149.19</x:v>
      </x:c>
      <x:c r="N664" s="38" t="n">
        <x:v>594.54</x:v>
      </x:c>
      <x:c r="O664" s="38" t="n">
        <x:v>433.72</x:v>
      </x:c>
      <x:c r="P664" s="38" t="n">
        <x:v>400</x:v>
      </x:c>
      <x:c r="Q664" s="38" t="n">
        <x:v>19.88</x:v>
      </x:c>
      <x:c r="R664" s="38" t="n">
        <x:v>43.7475</x:v>
      </x:c>
      <x:c r="S664" s="38" t="n">
        <x:v>76.07</x:v>
      </x:c>
      <x:c r="T664" s="40" t="n">
        <x:v>16.32</x:v>
      </x:c>
      <x:c r="U664" s="40" t="n">
        <x:v>1.22</x:v>
      </x:c>
      <x:c r="V664" s="38" t="n">
        <x:f>L664*(1-T664/100)*(1-U664/100)</x:f>
        <x:v>95.76553153024</x:v>
      </x:c>
      <x:c r="W664" s="38" t="n">
        <x:f>G664*N664</x:f>
        <x:v>54621.578879999994</x:v>
      </x:c>
      <x:c r="X664" s="38" t="n">
        <x:f>H664*O664</x:f>
        <x:v>7126.4533200000005</x:v>
      </x:c>
      <x:c r="Y664" s="38" t="n">
        <x:f>I664*P664</x:f>
        <x:v>2249.6</x:v>
      </x:c>
      <x:c r="Z664" s="38" t="n">
        <x:f>J664*Q664+K664*P664</x:f>
        <x:v>116.27312</x:v>
      </x:c>
      <x:c r="AA664" s="38" t="n">
        <x:f>M664*R664</x:f>
        <x:v>6526.689525000001</x:v>
      </x:c>
      <x:c r="AB664" s="38" t="n">
        <x:f>SUM(W664:AA664)</x:f>
        <x:v>70640.59484499999</x:v>
      </x:c>
      <x:c r="AC664" s="38" t="n">
        <x:v>4.88</x:v>
      </x:c>
      <x:c r="AD664" s="38" t="n">
        <x:v>174.33</x:v>
      </x:c>
      <x:c r="AE664" s="38" t="n">
        <x:v>53.49</x:v>
      </x:c>
      <x:c r="AF664" s="38" t="n">
        <x:v>4.8148</x:v>
      </x:c>
      <x:c r="AG664" s="38" t="n">
        <x:v>5.32</x:v>
      </x:c>
      <x:c r="AH664" s="38" t="n">
        <x:f>IF(E664="Fason",L664*S664,0)</x:f>
        <x:v>8813.16592</x:v>
      </x:c>
      <x:c r="AI664" s="38" t="n">
        <x:f>IF(E664="Kurum içi",AC664*AD664+AE664*AF664+AB664*12%,0)</x:f>
        <x:v>0</x:v>
      </x:c>
      <x:c r="AJ664" s="38" t="n">
        <x:f>V664*AG664</x:f>
        <x:v>509.4726277408768</x:v>
      </x:c>
      <x:c r="AK664" s="38" t="n">
        <x:f>AB664*2%</x:f>
        <x:v>1412.8118968999997</x:v>
      </x:c>
      <x:c r="AL664" s="38" t="n">
        <x:f>AB664+AH664+AI664+AJ664+AK664</x:f>
        <x:v>81376.04528964087</x:v>
      </x:c>
      <x:c r="AM664" s="38" t="n">
        <x:f>AL664/V664</x:f>
        <x:v>849.7425325096708</x:v>
      </x:c>
      <x:c r="AN664" s="40" t="n">
        <x:f>(W664+X664)/AL664*100</x:f>
        <x:v>75.8798636382745</x:v>
      </x:c>
      <x:c r="AO664" s="28" t="str">
        <x:v>R01-R20; ilgili satırdaki bölgesel fiyat ve maliyet varsayımları</x:v>
      </x:c>
      <x:c r="AP664" s="28" t="str">
        <x:v>Girdi miktarları, alım fiyatı değişimi, fason bedeli ve parti sonucu simüle edilmiştir; işletme kaydı değildir.</x:v>
      </x:c>
    </x:row>
    <x:row r="665" ht="22" customHeight="1">
      <x:c r="A665" t="str">
        <x:v>SUC-0664</x:v>
      </x:c>
      <x:c r="B665" s="36" t="n">
        <x:v>46301</x:v>
      </x:c>
      <x:c r="C665" t="str">
        <x:v>Karadeniz</x:v>
      </x:c>
      <x:c r="D665" t="str">
        <x:v>MEB_STANDART</x:v>
      </x:c>
      <x:c r="E665" t="str">
        <x:v>Kurum içi</x:v>
      </x:c>
      <x:c r="F665" s="42" t="str">
        <x:v>SENTETİK/SİMÜLE — gerçek parti kaydı değildir</x:v>
      </x:c>
      <x:c r="G665" s="38" t="n">
        <x:v>53.743</x:v>
      </x:c>
      <x:c r="H665" s="38" t="n">
        <x:v>16.895</x:v>
      </x:c>
      <x:c r="I665" s="38" t="n">
        <x:v>3.351</x:v>
      </x:c>
      <x:c r="J665" s="38" t="n">
        <x:v>1.795</x:v>
      </x:c>
      <x:c r="K665" s="38" t="n">
        <x:v>0.718</x:v>
      </x:c>
      <x:c r="L665" s="38" t="n">
        <x:f>SUM(G665:K665)</x:f>
        <x:v>76.50200000000001</x:v>
      </x:c>
      <x:c r="M665" s="38" t="n">
        <x:v>94.377</x:v>
      </x:c>
      <x:c r="N665" s="38" t="n">
        <x:v>615.83</x:v>
      </x:c>
      <x:c r="O665" s="38" t="n">
        <x:v>437.45</x:v>
      </x:c>
      <x:c r="P665" s="38" t="n">
        <x:v>669.9</x:v>
      </x:c>
      <x:c r="Q665" s="38" t="n">
        <x:v>19.88</x:v>
      </x:c>
      <x:c r="R665" s="38" t="n">
        <x:v>43.7475</x:v>
      </x:c>
      <x:c r="S665" s="38" t="n">
        <x:v>70.04</x:v>
      </x:c>
      <x:c r="T665" s="40" t="n">
        <x:v>24.63</x:v>
      </x:c>
      <x:c r="U665" s="40" t="n">
        <x:v>0.32</x:v>
      </x:c>
      <x:c r="V665" s="38" t="n">
        <x:f>L665*(1-T665/100)*(1-U665/100)</x:f>
        <x:v>57.47504681632001</x:v>
      </x:c>
      <x:c r="W665" s="38" t="n">
        <x:f>G665*N665</x:f>
        <x:v>33096.55169</x:v>
      </x:c>
      <x:c r="X665" s="38" t="n">
        <x:f>H665*O665</x:f>
        <x:v>7390.71775</x:v>
      </x:c>
      <x:c r="Y665" s="38" t="n">
        <x:f>I665*P665</x:f>
        <x:v>2244.8349</x:v>
      </x:c>
      <x:c r="Z665" s="38" t="n">
        <x:f>J665*Q665+K665*P665</x:f>
        <x:v>516.6727999999999</x:v>
      </x:c>
      <x:c r="AA665" s="38" t="n">
        <x:f>M665*R665</x:f>
        <x:v>4128.7578075</x:v>
      </x:c>
      <x:c r="AB665" s="38" t="n">
        <x:f>SUM(W665:AA665)</x:f>
        <x:v>47377.534947500004</x:v>
      </x:c>
      <x:c r="AC665" s="38" t="n">
        <x:v>3.77</x:v>
      </x:c>
      <x:c r="AD665" s="38" t="n">
        <x:v>174.33</x:v>
      </x:c>
      <x:c r="AE665" s="38" t="n">
        <x:v>21.71</x:v>
      </x:c>
      <x:c r="AF665" s="38" t="n">
        <x:v>4.8148</x:v>
      </x:c>
      <x:c r="AG665" s="38" t="n">
        <x:v>5.44</x:v>
      </x:c>
      <x:c r="AH665" s="38" t="n">
        <x:f>IF(E665="Fason",L665*S665,0)</x:f>
        <x:v>0</x:v>
      </x:c>
      <x:c r="AI665" s="38" t="n">
        <x:f>IF(E665="Kurum içi",AC665*AD665+AE665*AF665+AB665*12%,0)</x:f>
        <x:v>6447.0576017</x:v>
      </x:c>
      <x:c r="AJ665" s="38" t="n">
        <x:f>V665*AG665</x:f>
        <x:v>312.66425468078086</x:v>
      </x:c>
      <x:c r="AK665" s="38" t="n">
        <x:f>AB665*2%</x:f>
        <x:v>947.5506989500001</x:v>
      </x:c>
      <x:c r="AL665" s="38" t="n">
        <x:f>AB665+AH665+AI665+AJ665+AK665</x:f>
        <x:v>55084.80750283078</x:v>
      </x:c>
      <x:c r="AM665" s="38" t="n">
        <x:f>AL665/V665</x:f>
        <x:v>958.4125730053252</x:v>
      </x:c>
      <x:c r="AN665" s="40" t="n">
        <x:f>(W665+X665)/AL665*100</x:f>
        <x:v>73.49988368012248</x:v>
      </x:c>
      <x:c r="AO665" s="28" t="str">
        <x:v>R01-R20; ilgili satırdaki bölgesel fiyat ve maliyet varsayımları</x:v>
      </x:c>
      <x:c r="AP665" s="28" t="str">
        <x:v>Girdi miktarları, alım fiyatı değişimi, fason bedeli ve parti sonucu simüle edilmiştir; işletme kaydı değildir.</x:v>
      </x:c>
    </x:row>
    <x:row r="666" ht="22" customHeight="1">
      <x:c r="A666" t="str">
        <x:v>SUC-0665</x:v>
      </x:c>
      <x:c r="B666" s="36" t="n">
        <x:v>46270</x:v>
      </x:c>
      <x:c r="C666" t="str">
        <x:v>Karadeniz</x:v>
      </x:c>
      <x:c r="D666" t="str">
        <x:v>ERZURUM_CI</x:v>
      </x:c>
      <x:c r="E666" t="str">
        <x:v>Kurum içi</x:v>
      </x:c>
      <x:c r="F666" s="42" t="str">
        <x:v>SENTETİK/SİMÜLE — gerçek parti kaydı değildir</x:v>
      </x:c>
      <x:c r="G666" s="38" t="n">
        <x:v>118.368</x:v>
      </x:c>
      <x:c r="H666" s="38" t="n">
        <x:v>20.852</x:v>
      </x:c>
      <x:c r="I666" s="38" t="n">
        <x:v>6.56</x:v>
      </x:c>
      <x:c r="J666" s="38" t="n">
        <x:v>2.556</x:v>
      </x:c>
      <x:c r="K666" s="38" t="n">
        <x:v>0.307</x:v>
      </x:c>
      <x:c r="L666" s="38" t="n">
        <x:f>SUM(G666:K666)</x:f>
        <x:v>148.643</x:v>
      </x:c>
      <x:c r="M666" s="38" t="n">
        <x:v>184.215</x:v>
      </x:c>
      <x:c r="N666" s="38" t="n">
        <x:v>615.35</x:v>
      </x:c>
      <x:c r="O666" s="38" t="n">
        <x:v>424.38</x:v>
      </x:c>
      <x:c r="P666" s="38" t="n">
        <x:v>400</x:v>
      </x:c>
      <x:c r="Q666" s="38" t="n">
        <x:v>19.88</x:v>
      </x:c>
      <x:c r="R666" s="38" t="n">
        <x:v>43.7475</x:v>
      </x:c>
      <x:c r="S666" s="38" t="n">
        <x:v>92.04</x:v>
      </x:c>
      <x:c r="T666" s="40" t="n">
        <x:v>21.9</x:v>
      </x:c>
      <x:c r="U666" s="40" t="n">
        <x:v>0.45</x:v>
      </x:c>
      <x:c r="V666" s="38" t="n">
        <x:f>L666*(1-T666/100)*(1-U666/100)</x:f>
        <x:v>115.56777717650002</x:v>
      </x:c>
      <x:c r="W666" s="38" t="n">
        <x:f>G666*N666</x:f>
        <x:v>72837.7488</x:v>
      </x:c>
      <x:c r="X666" s="38" t="n">
        <x:f>H666*O666</x:f>
        <x:v>8849.17176</x:v>
      </x:c>
      <x:c r="Y666" s="38" t="n">
        <x:f>I666*P666</x:f>
        <x:v>2624</x:v>
      </x:c>
      <x:c r="Z666" s="38" t="n">
        <x:f>J666*Q666+K666*P666</x:f>
        <x:v>173.61328</x:v>
      </x:c>
      <x:c r="AA666" s="38" t="n">
        <x:f>M666*R666</x:f>
        <x:v>8058.945712500001</x:v>
      </x:c>
      <x:c r="AB666" s="38" t="n">
        <x:f>SUM(W666:AA666)</x:f>
        <x:v>92543.47955250001</x:v>
      </x:c>
      <x:c r="AC666" s="38" t="n">
        <x:v>9.52</x:v>
      </x:c>
      <x:c r="AD666" s="38" t="n">
        <x:v>174.33</x:v>
      </x:c>
      <x:c r="AE666" s="38" t="n">
        <x:v>60.92</x:v>
      </x:c>
      <x:c r="AF666" s="38" t="n">
        <x:v>4.8148</x:v>
      </x:c>
      <x:c r="AG666" s="38" t="n">
        <x:v>5.59</x:v>
      </x:c>
      <x:c r="AH666" s="38" t="n">
        <x:f>IF(E666="Fason",L666*S666,0)</x:f>
        <x:v>0</x:v>
      </x:c>
      <x:c r="AI666" s="38" t="n">
        <x:f>IF(E666="Kurum içi",AC666*AD666+AE666*AF666+AB666*12%,0)</x:f>
        <x:v>13058.156762300001</x:v>
      </x:c>
      <x:c r="AJ666" s="38" t="n">
        <x:f>V666*AG666</x:f>
        <x:v>646.0238744166351</x:v>
      </x:c>
      <x:c r="AK666" s="38" t="n">
        <x:f>AB666*2%</x:f>
        <x:v>1850.8695910500003</x:v>
      </x:c>
      <x:c r="AL666" s="38" t="n">
        <x:f>AB666+AH666+AI666+AJ666+AK666</x:f>
        <x:v>108098.52978026665</x:v>
      </x:c>
      <x:c r="AM666" s="38" t="n">
        <x:f>AL666/V666</x:f>
        <x:v>935.3691177703797</x:v>
      </x:c>
      <x:c r="AN666" s="40" t="n">
        <x:f>(W666+X666)/AL666*100</x:f>
        <x:v>75.56709672744498</x:v>
      </x:c>
      <x:c r="AO666" s="28" t="str">
        <x:v>R01-R20; ilgili satırdaki bölgesel fiyat ve maliyet varsayımları</x:v>
      </x:c>
      <x:c r="AP666" s="28" t="str">
        <x:v>Girdi miktarları, alım fiyatı değişimi, fason bedeli ve parti sonucu simüle edilmiştir; işletme kaydı değildir.</x:v>
      </x:c>
    </x:row>
    <x:row r="667" ht="22" customHeight="1">
      <x:c r="A667" t="str">
        <x:v>SUC-0666</x:v>
      </x:c>
      <x:c r="B667" s="36" t="n">
        <x:v>46290</x:v>
      </x:c>
      <x:c r="C667" t="str">
        <x:v>Güneydoğu Anadolu</x:v>
      </x:c>
      <x:c r="D667" t="str">
        <x:v>MEB_STANDART</x:v>
      </x:c>
      <x:c r="E667" t="str">
        <x:v>Kurum içi</x:v>
      </x:c>
      <x:c r="F667" s="42" t="str">
        <x:v>SENTETİK/SİMÜLE — gerçek parti kaydı değildir</x:v>
      </x:c>
      <x:c r="G667" s="38" t="n">
        <x:v>296.313</x:v>
      </x:c>
      <x:c r="H667" s="38" t="n">
        <x:v>89.534</x:v>
      </x:c>
      <x:c r="I667" s="38" t="n">
        <x:v>17.945</x:v>
      </x:c>
      <x:c r="J667" s="38" t="n">
        <x:v>10.026</x:v>
      </x:c>
      <x:c r="K667" s="38" t="n">
        <x:v>4.014</x:v>
      </x:c>
      <x:c r="L667" s="38" t="n">
        <x:f>SUM(G667:K667)</x:f>
        <x:v>417.832</x:v>
      </x:c>
      <x:c r="M667" s="38" t="n">
        <x:v>548.77</x:v>
      </x:c>
      <x:c r="N667" s="38" t="n">
        <x:v>584.31</x:v>
      </x:c>
      <x:c r="O667" s="38" t="n">
        <x:v>412.57</x:v>
      </x:c>
      <x:c r="P667" s="38" t="n">
        <x:v>669.9</x:v>
      </x:c>
      <x:c r="Q667" s="38" t="n">
        <x:v>19.88</x:v>
      </x:c>
      <x:c r="R667" s="38" t="n">
        <x:v>43.7475</x:v>
      </x:c>
      <x:c r="S667" s="38" t="n">
        <x:v>66.43</x:v>
      </x:c>
      <x:c r="T667" s="40" t="n">
        <x:v>15.91</x:v>
      </x:c>
      <x:c r="U667" s="40" t="n">
        <x:v>0.71</x:v>
      </x:c>
      <x:c r="V667" s="38" t="n">
        <x:f>L667*(1-T667/100)*(1-U667/100)</x:f>
        <x:v>348.86030880552</x:v>
      </x:c>
      <x:c r="W667" s="38" t="n">
        <x:f>G667*N667</x:f>
        <x:v>173138.64902999997</x:v>
      </x:c>
      <x:c r="X667" s="38" t="n">
        <x:f>H667*O667</x:f>
        <x:v>36939.04238</x:v>
      </x:c>
      <x:c r="Y667" s="38" t="n">
        <x:f>I667*P667</x:f>
        <x:v>12021.3555</x:v>
      </x:c>
      <x:c r="Z667" s="38" t="n">
        <x:f>J667*Q667+K667*P667</x:f>
        <x:v>2888.2954799999998</x:v>
      </x:c>
      <x:c r="AA667" s="38" t="n">
        <x:f>M667*R667</x:f>
        <x:v>24007.315575</x:v>
      </x:c>
      <x:c r="AB667" s="38" t="n">
        <x:f>SUM(W667:AA667)</x:f>
        <x:v>248994.65796499996</x:v>
      </x:c>
      <x:c r="AC667" s="38" t="n">
        <x:v>18.3</x:v>
      </x:c>
      <x:c r="AD667" s="38" t="n">
        <x:v>174.33</x:v>
      </x:c>
      <x:c r="AE667" s="38" t="n">
        <x:v>133.79</x:v>
      </x:c>
      <x:c r="AF667" s="38" t="n">
        <x:v>4.8148</x:v>
      </x:c>
      <x:c r="AG667" s="38" t="n">
        <x:v>5.88</x:v>
      </x:c>
      <x:c r="AH667" s="38" t="n">
        <x:f>IF(E667="Fason",L667*S667,0)</x:f>
        <x:v>0</x:v>
      </x:c>
      <x:c r="AI667" s="38" t="n">
        <x:f>IF(E667="Kurum içi",AC667*AD667+AE667*AF667+AB667*12%,0)</x:f>
        <x:v>33713.7700478</x:v>
      </x:c>
      <x:c r="AJ667" s="38" t="n">
        <x:f>V667*AG667</x:f>
        <x:v>2051.2986157764576</x:v>
      </x:c>
      <x:c r="AK667" s="38" t="n">
        <x:f>AB667*2%</x:f>
        <x:v>4979.8931593</x:v>
      </x:c>
      <x:c r="AL667" s="38" t="n">
        <x:f>AB667+AH667+AI667+AJ667+AK667</x:f>
        <x:v>289739.6197878764</x:v>
      </x:c>
      <x:c r="AM667" s="38" t="n">
        <x:f>AL667/V667</x:f>
        <x:v>830.531913418096</x:v>
      </x:c>
      <x:c r="AN667" s="40" t="n">
        <x:f>(W667+X667)/AL667*100</x:f>
        <x:v>72.50568340077261</x:v>
      </x:c>
      <x:c r="AO667" s="28" t="str">
        <x:v>R01-R20; ilgili satırdaki bölgesel fiyat ve maliyet varsayımları</x:v>
      </x:c>
      <x:c r="AP667" s="28" t="str">
        <x:v>Girdi miktarları, alım fiyatı değişimi, fason bedeli ve parti sonucu simüle edilmiştir; işletme kaydı değildir.</x:v>
      </x:c>
    </x:row>
    <x:row r="668" ht="22" customHeight="1">
      <x:c r="A668" t="str">
        <x:v>SUC-0667</x:v>
      </x:c>
      <x:c r="B668" s="36" t="n">
        <x:v>46293</x:v>
      </x:c>
      <x:c r="C668" t="str">
        <x:v>Güneydoğu Anadolu</x:v>
      </x:c>
      <x:c r="D668" t="str">
        <x:v>ERZURUM_CI</x:v>
      </x:c>
      <x:c r="E668" t="str">
        <x:v>Kurum içi</x:v>
      </x:c>
      <x:c r="F668" s="42" t="str">
        <x:v>SENTETİK/SİMÜLE — gerçek parti kaydı değildir</x:v>
      </x:c>
      <x:c r="G668" s="38" t="n">
        <x:v>195.838</x:v>
      </x:c>
      <x:c r="H668" s="38" t="n">
        <x:v>35.414</x:v>
      </x:c>
      <x:c r="I668" s="38" t="n">
        <x:v>10.92</x:v>
      </x:c>
      <x:c r="J668" s="38" t="n">
        <x:v>3.691</x:v>
      </x:c>
      <x:c r="K668" s="38" t="n">
        <x:v>0.14</x:v>
      </x:c>
      <x:c r="L668" s="38" t="n">
        <x:f>SUM(G668:K668)</x:f>
        <x:v>246.003</x:v>
      </x:c>
      <x:c r="M668" s="38" t="n">
        <x:v>306.3</x:v>
      </x:c>
      <x:c r="N668" s="38" t="n">
        <x:v>596.9</x:v>
      </x:c>
      <x:c r="O668" s="38" t="n">
        <x:v>419.26</x:v>
      </x:c>
      <x:c r="P668" s="38" t="n">
        <x:v>400</x:v>
      </x:c>
      <x:c r="Q668" s="38" t="n">
        <x:v>19.88</x:v>
      </x:c>
      <x:c r="R668" s="38" t="n">
        <x:v>43.7475</x:v>
      </x:c>
      <x:c r="S668" s="38" t="n">
        <x:v>69.59</x:v>
      </x:c>
      <x:c r="T668" s="40" t="n">
        <x:v>21.03</x:v>
      </x:c>
      <x:c r="U668" s="40" t="n">
        <x:v>1</x:v>
      </x:c>
      <x:c r="V668" s="38" t="n">
        <x:f>L668*(1-T668/100)*(1-U668/100)</x:f>
        <x:v>192.32588340899997</x:v>
      </x:c>
      <x:c r="W668" s="38" t="n">
        <x:f>G668*N668</x:f>
        <x:v>116895.70219999999</x:v>
      </x:c>
      <x:c r="X668" s="38" t="n">
        <x:f>H668*O668</x:f>
        <x:v>14847.67364</x:v>
      </x:c>
      <x:c r="Y668" s="38" t="n">
        <x:f>I668*P668</x:f>
        <x:v>4368</x:v>
      </x:c>
      <x:c r="Z668" s="38" t="n">
        <x:f>J668*Q668+K668*P668</x:f>
        <x:v>129.37708</x:v>
      </x:c>
      <x:c r="AA668" s="38" t="n">
        <x:f>M668*R668</x:f>
        <x:v>13399.859250000001</x:v>
      </x:c>
      <x:c r="AB668" s="38" t="n">
        <x:f>SUM(W668:AA668)</x:f>
        <x:v>149640.61217</x:v>
      </x:c>
      <x:c r="AC668" s="38" t="n">
        <x:v>15.01</x:v>
      </x:c>
      <x:c r="AD668" s="38" t="n">
        <x:v>174.33</x:v>
      </x:c>
      <x:c r="AE668" s="38" t="n">
        <x:v>103.3</x:v>
      </x:c>
      <x:c r="AF668" s="38" t="n">
        <x:v>4.8148</x:v>
      </x:c>
      <x:c r="AG668" s="38" t="n">
        <x:v>5.34</x:v>
      </x:c>
      <x:c r="AH668" s="38" t="n">
        <x:f>IF(E668="Fason",L668*S668,0)</x:f>
        <x:v>0</x:v>
      </x:c>
      <x:c r="AI668" s="38" t="n">
        <x:f>IF(E668="Kurum içi",AC668*AD668+AE668*AF668+AB668*12%,0)</x:f>
        <x:v>21070.935600400004</x:v>
      </x:c>
      <x:c r="AJ668" s="38" t="n">
        <x:f>V668*AG668</x:f>
        <x:v>1027.0202174040598</x:v>
      </x:c>
      <x:c r="AK668" s="38" t="n">
        <x:f>AB668*2%</x:f>
        <x:v>2992.8122434</x:v>
      </x:c>
      <x:c r="AL668" s="38" t="n">
        <x:f>AB668+AH668+AI668+AJ668+AK668</x:f>
        <x:v>174731.38023120406</x:v>
      </x:c>
      <x:c r="AM668" s="38" t="n">
        <x:f>AL668/V668</x:f>
        <x:v>908.5172371709352</x:v>
      </x:c>
      <x:c r="AN668" s="40" t="n">
        <x:f>(W668+X668)/AL668*100</x:f>
        <x:v>75.39766220908777</x:v>
      </x:c>
      <x:c r="AO668" s="28" t="str">
        <x:v>R01-R20; ilgili satırdaki bölgesel fiyat ve maliyet varsayımları</x:v>
      </x:c>
      <x:c r="AP668" s="28" t="str">
        <x:v>Girdi miktarları, alım fiyatı değişimi, fason bedeli ve parti sonucu simüle edilmiştir; işletme kaydı değildir.</x:v>
      </x:c>
    </x:row>
    <x:row r="669" ht="22" customHeight="1">
      <x:c r="A669" t="str">
        <x:v>SUC-0668</x:v>
      </x:c>
      <x:c r="B669" s="36" t="n">
        <x:v>46299</x:v>
      </x:c>
      <x:c r="C669" t="str">
        <x:v>İç Anadolu</x:v>
      </x:c>
      <x:c r="D669" t="str">
        <x:v>ERZURUM_CI</x:v>
      </x:c>
      <x:c r="E669" t="str">
        <x:v>Kurum içi</x:v>
      </x:c>
      <x:c r="F669" s="42" t="str">
        <x:v>SENTETİK/SİMÜLE — gerçek parti kaydı değildir</x:v>
      </x:c>
      <x:c r="G669" s="38" t="n">
        <x:v>266.094</x:v>
      </x:c>
      <x:c r="H669" s="38" t="n">
        <x:v>49.176</x:v>
      </x:c>
      <x:c r="I669" s="38" t="n">
        <x:v>15.853</x:v>
      </x:c>
      <x:c r="J669" s="38" t="n">
        <x:v>5.81</x:v>
      </x:c>
      <x:c r="K669" s="38" t="n">
        <x:v>0.062</x:v>
      </x:c>
      <x:c r="L669" s="38" t="n">
        <x:f>SUM(G669:K669)</x:f>
        <x:v>336.995</x:v>
      </x:c>
      <x:c r="M669" s="38" t="n">
        <x:v>387.512</x:v>
      </x:c>
      <x:c r="N669" s="38" t="n">
        <x:v>591.02</x:v>
      </x:c>
      <x:c r="O669" s="38" t="n">
        <x:v>455.14</x:v>
      </x:c>
      <x:c r="P669" s="38" t="n">
        <x:v>550</x:v>
      </x:c>
      <x:c r="Q669" s="38" t="n">
        <x:v>19.88</x:v>
      </x:c>
      <x:c r="R669" s="38" t="n">
        <x:v>43.7475</x:v>
      </x:c>
      <x:c r="S669" s="38" t="n">
        <x:v>74.02</x:v>
      </x:c>
      <x:c r="T669" s="40" t="n">
        <x:v>20.3</x:v>
      </x:c>
      <x:c r="U669" s="40" t="n">
        <x:v>1.76</x:v>
      </x:c>
      <x:c r="V669" s="38" t="n">
        <x:f>L669*(1-T669/100)*(1-U669/100)</x:f>
        <x:v>263.857918736</x:v>
      </x:c>
      <x:c r="W669" s="38" t="n">
        <x:f>G669*N669</x:f>
        <x:v>157266.87587999998</x:v>
      </x:c>
      <x:c r="X669" s="38" t="n">
        <x:f>H669*O669</x:f>
        <x:v>22381.964640000002</x:v>
      </x:c>
      <x:c r="Y669" s="38" t="n">
        <x:f>I669*P669</x:f>
        <x:v>8719.15</x:v>
      </x:c>
      <x:c r="Z669" s="38" t="n">
        <x:f>J669*Q669+K669*P669</x:f>
        <x:v>149.6028</x:v>
      </x:c>
      <x:c r="AA669" s="38" t="n">
        <x:f>M669*R669</x:f>
        <x:v>16952.681220000002</x:v>
      </x:c>
      <x:c r="AB669" s="38" t="n">
        <x:f>SUM(W669:AA669)</x:f>
        <x:v>205470.27453999995</x:v>
      </x:c>
      <x:c r="AC669" s="38" t="n">
        <x:v>17</x:v>
      </x:c>
      <x:c r="AD669" s="38" t="n">
        <x:v>174.33</x:v>
      </x:c>
      <x:c r="AE669" s="38" t="n">
        <x:v>130.32</x:v>
      </x:c>
      <x:c r="AF669" s="38" t="n">
        <x:v>4.8148</x:v>
      </x:c>
      <x:c r="AG669" s="38" t="n">
        <x:v>5.63</x:v>
      </x:c>
      <x:c r="AH669" s="38" t="n">
        <x:f>IF(E669="Fason",L669*S669,0)</x:f>
        <x:v>0</x:v>
      </x:c>
      <x:c r="AI669" s="38" t="n">
        <x:f>IF(E669="Kurum içi",AC669*AD669+AE669*AF669+AB669*12%,0)</x:f>
        <x:v>28247.507680799994</x:v>
      </x:c>
      <x:c r="AJ669" s="38" t="n">
        <x:f>V669*AG669</x:f>
        <x:v>1485.52008248368</x:v>
      </x:c>
      <x:c r="AK669" s="38" t="n">
        <x:f>AB669*2%</x:f>
        <x:v>4109.405490799999</x:v>
      </x:c>
      <x:c r="AL669" s="38" t="n">
        <x:f>AB669+AH669+AI669+AJ669+AK669</x:f>
        <x:v>239312.70779408363</x:v>
      </x:c>
      <x:c r="AM669" s="38" t="n">
        <x:f>AL669/V669</x:f>
        <x:v>906.9756516707964</x:v>
      </x:c>
      <x:c r="AN669" s="40" t="n">
        <x:f>(W669+X669)/AL669*100</x:f>
        <x:v>75.06865898428538</x:v>
      </x:c>
      <x:c r="AO669" s="28" t="str">
        <x:v>R01-R20; ilgili satırdaki bölgesel fiyat ve maliyet varsayımları</x:v>
      </x:c>
      <x:c r="AP669" s="28" t="str">
        <x:v>Girdi miktarları, alım fiyatı değişimi, fason bedeli ve parti sonucu simüle edilmiştir; işletme kaydı değildir.</x:v>
      </x:c>
    </x:row>
    <x:row r="670" ht="22" customHeight="1">
      <x:c r="A670" t="str">
        <x:v>SUC-0669</x:v>
      </x:c>
      <x:c r="B670" s="36" t="n">
        <x:v>46292</x:v>
      </x:c>
      <x:c r="C670" t="str">
        <x:v>Güneydoğu Anadolu</x:v>
      </x:c>
      <x:c r="D670" t="str">
        <x:v>ERZURUM_CI</x:v>
      </x:c>
      <x:c r="E670" t="str">
        <x:v>Fason</x:v>
      </x:c>
      <x:c r="F670" s="42" t="str">
        <x:v>SENTETİK/SİMÜLE — gerçek parti kaydı değildir</x:v>
      </x:c>
      <x:c r="G670" s="38" t="n">
        <x:v>376.067</x:v>
      </x:c>
      <x:c r="H670" s="38" t="n">
        <x:v>69.645</x:v>
      </x:c>
      <x:c r="I670" s="38" t="n">
        <x:v>21.749</x:v>
      </x:c>
      <x:c r="J670" s="38" t="n">
        <x:v>7.025</x:v>
      </x:c>
      <x:c r="K670" s="38" t="n">
        <x:v>0.904</x:v>
      </x:c>
      <x:c r="L670" s="38" t="n">
        <x:f>SUM(G670:K670)</x:f>
        <x:v>475.39</x:v>
      </x:c>
      <x:c r="M670" s="38" t="n">
        <x:v>605.022</x:v>
      </x:c>
      <x:c r="N670" s="38" t="n">
        <x:v>598.06</x:v>
      </x:c>
      <x:c r="O670" s="38" t="n">
        <x:v>480.61</x:v>
      </x:c>
      <x:c r="P670" s="38" t="n">
        <x:v>550</x:v>
      </x:c>
      <x:c r="Q670" s="38" t="n">
        <x:v>19.88</x:v>
      </x:c>
      <x:c r="R670" s="38" t="n">
        <x:v>43.7475</x:v>
      </x:c>
      <x:c r="S670" s="38" t="n">
        <x:v>66.91</x:v>
      </x:c>
      <x:c r="T670" s="40" t="n">
        <x:v>15.67</x:v>
      </x:c>
      <x:c r="U670" s="40" t="n">
        <x:v>0.31</x:v>
      </x:c>
      <x:c r="V670" s="38" t="n">
        <x:f>L670*(1-T670/100)*(1-U670/100)</x:f>
        <x:v>399.65360820029997</x:v>
      </x:c>
      <x:c r="W670" s="38" t="n">
        <x:f>G670*N670</x:f>
        <x:v>224910.63001999998</x:v>
      </x:c>
      <x:c r="X670" s="38" t="n">
        <x:f>H670*O670</x:f>
        <x:v>33472.08345</x:v>
      </x:c>
      <x:c r="Y670" s="38" t="n">
        <x:f>I670*P670</x:f>
        <x:v>11961.949999999999</x:v>
      </x:c>
      <x:c r="Z670" s="38" t="n">
        <x:f>J670*Q670+K670*P670</x:f>
        <x:v>636.857</x:v>
      </x:c>
      <x:c r="AA670" s="38" t="n">
        <x:f>M670*R670</x:f>
        <x:v>26468.199945000004</x:v>
      </x:c>
      <x:c r="AB670" s="38" t="n">
        <x:f>SUM(W670:AA670)</x:f>
        <x:v>297449.720415</x:v>
      </x:c>
      <x:c r="AC670" s="38" t="n">
        <x:v>17.64</x:v>
      </x:c>
      <x:c r="AD670" s="38" t="n">
        <x:v>174.33</x:v>
      </x:c>
      <x:c r="AE670" s="38" t="n">
        <x:v>163.76</x:v>
      </x:c>
      <x:c r="AF670" s="38" t="n">
        <x:v>4.8148</x:v>
      </x:c>
      <x:c r="AG670" s="38" t="n">
        <x:v>5.49</x:v>
      </x:c>
      <x:c r="AH670" s="38" t="n">
        <x:f>IF(E670="Fason",L670*S670,0)</x:f>
        <x:v>31808.344899999996</x:v>
      </x:c>
      <x:c r="AI670" s="38" t="n">
        <x:f>IF(E670="Kurum içi",AC670*AD670+AE670*AF670+AB670*12%,0)</x:f>
        <x:v>0</x:v>
      </x:c>
      <x:c r="AJ670" s="38" t="n">
        <x:f>V670*AG670</x:f>
        <x:v>2194.098309019647</x:v>
      </x:c>
      <x:c r="AK670" s="38" t="n">
        <x:f>AB670*2%</x:f>
        <x:v>5948.9944083</x:v>
      </x:c>
      <x:c r="AL670" s="38" t="n">
        <x:f>AB670+AH670+AI670+AJ670+AK670</x:f>
        <x:v>337401.1580323196</x:v>
      </x:c>
      <x:c r="AM670" s="38" t="n">
        <x:f>AL670/V670</x:f>
        <x:v>844.233984403863</x:v>
      </x:c>
      <x:c r="AN670" s="40" t="n">
        <x:f>(W670+X670)/AL670*100</x:f>
        <x:v>76.58026871539354</x:v>
      </x:c>
      <x:c r="AO670" s="28" t="str">
        <x:v>R01-R20; ilgili satırdaki bölgesel fiyat ve maliyet varsayımları</x:v>
      </x:c>
      <x:c r="AP670" s="28" t="str">
        <x:v>Girdi miktarları, alım fiyatı değişimi, fason bedeli ve parti sonucu simüle edilmiştir; işletme kaydı değildir.</x:v>
      </x:c>
    </x:row>
    <x:row r="671" ht="22" customHeight="1">
      <x:c r="A671" t="str">
        <x:v>SUC-0670</x:v>
      </x:c>
      <x:c r="B671" s="36" t="n">
        <x:v>46278</x:v>
      </x:c>
      <x:c r="C671" t="str">
        <x:v>İç Anadolu</x:v>
      </x:c>
      <x:c r="D671" t="str">
        <x:v>MEB_STANDART</x:v>
      </x:c>
      <x:c r="E671" t="str">
        <x:v>Kurum içi</x:v>
      </x:c>
      <x:c r="F671" s="42" t="str">
        <x:v>SENTETİK/SİMÜLE — gerçek parti kaydı değildir</x:v>
      </x:c>
      <x:c r="G671" s="38" t="n">
        <x:v>275.144</x:v>
      </x:c>
      <x:c r="H671" s="38" t="n">
        <x:v>83.521</x:v>
      </x:c>
      <x:c r="I671" s="38" t="n">
        <x:v>16.513</x:v>
      </x:c>
      <x:c r="J671" s="38" t="n">
        <x:v>9.777</x:v>
      </x:c>
      <x:c r="K671" s="38" t="n">
        <x:v>3.898</x:v>
      </x:c>
      <x:c r="L671" s="38" t="n">
        <x:f>SUM(G671:K671)</x:f>
        <x:v>388.853</x:v>
      </x:c>
      <x:c r="M671" s="38" t="n">
        <x:v>466.443</x:v>
      </x:c>
      <x:c r="N671" s="38" t="n">
        <x:v>600.08</x:v>
      </x:c>
      <x:c r="O671" s="38" t="n">
        <x:v>425.59</x:v>
      </x:c>
      <x:c r="P671" s="38" t="n">
        <x:v>669.9</x:v>
      </x:c>
      <x:c r="Q671" s="38" t="n">
        <x:v>19.88</x:v>
      </x:c>
      <x:c r="R671" s="38" t="n">
        <x:v>43.7475</x:v>
      </x:c>
      <x:c r="S671" s="38" t="n">
        <x:v>121.83</x:v>
      </x:c>
      <x:c r="T671" s="40" t="n">
        <x:v>23.56</x:v>
      </x:c>
      <x:c r="U671" s="40" t="n">
        <x:v>0.41</x:v>
      </x:c>
      <x:c r="V671" s="38" t="n">
        <x:f>L671*(1-T671/100)*(1-U671/100)</x:f>
        <x:v>296.02055234388</x:v>
      </x:c>
      <x:c r="W671" s="38" t="n">
        <x:f>G671*N671</x:f>
        <x:v>165108.41152000002</x:v>
      </x:c>
      <x:c r="X671" s="38" t="n">
        <x:f>H671*O671</x:f>
        <x:v>35545.70239</x:v>
      </x:c>
      <x:c r="Y671" s="38" t="n">
        <x:f>I671*P671</x:f>
        <x:v>11062.058700000001</x:v>
      </x:c>
      <x:c r="Z671" s="38" t="n">
        <x:f>J671*Q671+K671*P671</x:f>
        <x:v>2805.63696</x:v>
      </x:c>
      <x:c r="AA671" s="38" t="n">
        <x:f>M671*R671</x:f>
        <x:v>20405.7151425</x:v>
      </x:c>
      <x:c r="AB671" s="38" t="n">
        <x:f>SUM(W671:AA671)</x:f>
        <x:v>234927.52471250002</x:v>
      </x:c>
      <x:c r="AC671" s="38" t="n">
        <x:v>17.16</x:v>
      </x:c>
      <x:c r="AD671" s="38" t="n">
        <x:v>174.33</x:v>
      </x:c>
      <x:c r="AE671" s="38" t="n">
        <x:v>168.37</x:v>
      </x:c>
      <x:c r="AF671" s="38" t="n">
        <x:v>4.8148</x:v>
      </x:c>
      <x:c r="AG671" s="38" t="n">
        <x:v>5.7</x:v>
      </x:c>
      <x:c r="AH671" s="38" t="n">
        <x:f>IF(E671="Fason",L671*S671,0)</x:f>
        <x:v>0</x:v>
      </x:c>
      <x:c r="AI671" s="38" t="n">
        <x:f>IF(E671="Kurum içi",AC671*AD671+AE671*AF671+AB671*12%,0)</x:f>
        <x:v>31993.473641500004</x:v>
      </x:c>
      <x:c r="AJ671" s="38" t="n">
        <x:f>V671*AG671</x:f>
        <x:v>1687.317148360116</x:v>
      </x:c>
      <x:c r="AK671" s="38" t="n">
        <x:f>AB671*2%</x:f>
        <x:v>4698.55049425</x:v>
      </x:c>
      <x:c r="AL671" s="38" t="n">
        <x:f>AB671+AH671+AI671+AJ671+AK671</x:f>
        <x:v>273306.8659966102</x:v>
      </x:c>
      <x:c r="AM671" s="38" t="n">
        <x:f>AL671/V671</x:f>
        <x:v>923.2699007976856</x:v>
      </x:c>
      <x:c r="AN671" s="40" t="n">
        <x:f>(W671+X671)/AL671*100</x:f>
        <x:v>73.41715078335746</x:v>
      </x:c>
      <x:c r="AO671" s="28" t="str">
        <x:v>R01-R20; ilgili satırdaki bölgesel fiyat ve maliyet varsayımları</x:v>
      </x:c>
      <x:c r="AP671" s="28" t="str">
        <x:v>Girdi miktarları, alım fiyatı değişimi, fason bedeli ve parti sonucu simüle edilmiştir; işletme kaydı değildir.</x:v>
      </x:c>
    </x:row>
    <x:row r="672" ht="22" customHeight="1">
      <x:c r="A672" t="str">
        <x:v>SUC-0671</x:v>
      </x:c>
      <x:c r="B672" s="36" t="n">
        <x:v>46304</x:v>
      </x:c>
      <x:c r="C672" t="str">
        <x:v>Marmara</x:v>
      </x:c>
      <x:c r="D672" t="str">
        <x:v>ERZURUM_CI</x:v>
      </x:c>
      <x:c r="E672" t="str">
        <x:v>Kurum içi</x:v>
      </x:c>
      <x:c r="F672" s="42" t="str">
        <x:v>SENTETİK/SİMÜLE — gerçek parti kaydı değildir</x:v>
      </x:c>
      <x:c r="G672" s="38" t="n">
        <x:v>82.633</x:v>
      </x:c>
      <x:c r="H672" s="38" t="n">
        <x:v>14.236</x:v>
      </x:c>
      <x:c r="I672" s="38" t="n">
        <x:v>4.861</x:v>
      </x:c>
      <x:c r="J672" s="38" t="n">
        <x:v>1.881</x:v>
      </x:c>
      <x:c r="K672" s="38" t="n">
        <x:v>0.093</x:v>
      </x:c>
      <x:c r="L672" s="38" t="n">
        <x:f>SUM(G672:K672)</x:f>
        <x:v>103.70400000000001</x:v>
      </x:c>
      <x:c r="M672" s="38" t="n">
        <x:v>123.13</x:v>
      </x:c>
      <x:c r="N672" s="38" t="n">
        <x:v>589.88</x:v>
      </x:c>
      <x:c r="O672" s="38" t="n">
        <x:v>479.92</x:v>
      </x:c>
      <x:c r="P672" s="38" t="n">
        <x:v>400</x:v>
      </x:c>
      <x:c r="Q672" s="38" t="n">
        <x:v>19.88</x:v>
      </x:c>
      <x:c r="R672" s="38" t="n">
        <x:v>43.7475</x:v>
      </x:c>
      <x:c r="S672" s="38" t="n">
        <x:v>69.35</x:v>
      </x:c>
      <x:c r="T672" s="40" t="n">
        <x:v>21.08</x:v>
      </x:c>
      <x:c r="U672" s="40" t="n">
        <x:v>0.58</x:v>
      </x:c>
      <x:c r="V672" s="38" t="n">
        <x:f>L672*(1-T672/100)*(1-U672/100)</x:f>
        <x:v>81.36850625856</x:v>
      </x:c>
      <x:c r="W672" s="38" t="n">
        <x:f>G672*N672</x:f>
        <x:v>48743.554039999995</x:v>
      </x:c>
      <x:c r="X672" s="38" t="n">
        <x:f>H672*O672</x:f>
        <x:v>6832.14112</x:v>
      </x:c>
      <x:c r="Y672" s="38" t="n">
        <x:f>I672*P672</x:f>
        <x:v>1944.3999999999999</x:v>
      </x:c>
      <x:c r="Z672" s="38" t="n">
        <x:f>J672*Q672+K672*P672</x:f>
        <x:v>74.59428</x:v>
      </x:c>
      <x:c r="AA672" s="38" t="n">
        <x:f>M672*R672</x:f>
        <x:v>5386.629675</x:v>
      </x:c>
      <x:c r="AB672" s="38" t="n">
        <x:f>SUM(W672:AA672)</x:f>
        <x:v>62981.31911499999</x:v>
      </x:c>
      <x:c r="AC672" s="38" t="n">
        <x:v>5.44</x:v>
      </x:c>
      <x:c r="AD672" s="38" t="n">
        <x:v>174.33</x:v>
      </x:c>
      <x:c r="AE672" s="38" t="n">
        <x:v>30.66</x:v>
      </x:c>
      <x:c r="AF672" s="38" t="n">
        <x:v>4.8148</x:v>
      </x:c>
      <x:c r="AG672" s="38" t="n">
        <x:v>5.61</x:v>
      </x:c>
      <x:c r="AH672" s="38" t="n">
        <x:f>IF(E672="Fason",L672*S672,0)</x:f>
        <x:v>0</x:v>
      </x:c>
      <x:c r="AI672" s="38" t="n">
        <x:f>IF(E672="Kurum içi",AC672*AD672+AE672*AF672+AB672*12%,0)</x:f>
        <x:v>8653.735261799999</x:v>
      </x:c>
      <x:c r="AJ672" s="38" t="n">
        <x:f>V672*AG672</x:f>
        <x:v>456.47732011052165</x:v>
      </x:c>
      <x:c r="AK672" s="38" t="n">
        <x:f>AB672*2%</x:f>
        <x:v>1259.6263823</x:v>
      </x:c>
      <x:c r="AL672" s="38" t="n">
        <x:f>AB672+AH672+AI672+AJ672+AK672</x:f>
        <x:v>73351.15807921052</x:v>
      </x:c>
      <x:c r="AM672" s="38" t="n">
        <x:f>AL672/V672</x:f>
        <x:v>901.4686572483804</x:v>
      </x:c>
      <x:c r="AN672" s="40" t="n">
        <x:f>(W672+X672)/AL672*100</x:f>
        <x:v>75.76662266188742</x:v>
      </x:c>
      <x:c r="AO672" s="28" t="str">
        <x:v>R01-R20; ilgili satırdaki bölgesel fiyat ve maliyet varsayımları</x:v>
      </x:c>
      <x:c r="AP672" s="28" t="str">
        <x:v>Girdi miktarları, alım fiyatı değişimi, fason bedeli ve parti sonucu simüle edilmiştir; işletme kaydı değildir.</x:v>
      </x:c>
    </x:row>
    <x:row r="673" ht="22" customHeight="1">
      <x:c r="A673" t="str">
        <x:v>SUC-0672</x:v>
      </x:c>
      <x:c r="B673" s="36" t="n">
        <x:v>46277</x:v>
      </x:c>
      <x:c r="C673" t="str">
        <x:v>Akdeniz</x:v>
      </x:c>
      <x:c r="D673" t="str">
        <x:v>MEB_STANDART</x:v>
      </x:c>
      <x:c r="E673" t="str">
        <x:v>Kurum içi</x:v>
      </x:c>
      <x:c r="F673" s="42" t="str">
        <x:v>SENTETİK/SİMÜLE — gerçek parti kaydı değildir</x:v>
      </x:c>
      <x:c r="G673" s="38" t="n">
        <x:v>79.13</x:v>
      </x:c>
      <x:c r="H673" s="38" t="n">
        <x:v>24.321</x:v>
      </x:c>
      <x:c r="I673" s="38" t="n">
        <x:v>5.331</x:v>
      </x:c>
      <x:c r="J673" s="38" t="n">
        <x:v>2.925</x:v>
      </x:c>
      <x:c r="K673" s="38" t="n">
        <x:v>1.166</x:v>
      </x:c>
      <x:c r="L673" s="38" t="n">
        <x:f>SUM(G673:K673)</x:f>
        <x:v>112.87299999999999</x:v>
      </x:c>
      <x:c r="M673" s="38" t="n">
        <x:v>143.798</x:v>
      </x:c>
      <x:c r="N673" s="38" t="n">
        <x:v>581.54</x:v>
      </x:c>
      <x:c r="O673" s="38" t="n">
        <x:v>424.65</x:v>
      </x:c>
      <x:c r="P673" s="38" t="n">
        <x:v>550</x:v>
      </x:c>
      <x:c r="Q673" s="38" t="n">
        <x:v>19.88</x:v>
      </x:c>
      <x:c r="R673" s="38" t="n">
        <x:v>43.7475</x:v>
      </x:c>
      <x:c r="S673" s="38" t="n">
        <x:v>75.95</x:v>
      </x:c>
      <x:c r="T673" s="40" t="n">
        <x:v>20.36</x:v>
      </x:c>
      <x:c r="U673" s="40" t="n">
        <x:v>0.36</x:v>
      </x:c>
      <x:c r="V673" s="38" t="n">
        <x:f>L673*(1-T673/100)*(1-U673/100)</x:f>
        <x:v>89.56844579407999</x:v>
      </x:c>
      <x:c r="W673" s="38" t="n">
        <x:f>G673*N673</x:f>
        <x:v>46017.2602</x:v>
      </x:c>
      <x:c r="X673" s="38" t="n">
        <x:f>H673*O673</x:f>
        <x:v>10327.91265</x:v>
      </x:c>
      <x:c r="Y673" s="38" t="n">
        <x:f>I673*P673</x:f>
        <x:v>2932.05</x:v>
      </x:c>
      <x:c r="Z673" s="38" t="n">
        <x:f>J673*Q673+K673*P673</x:f>
        <x:v>699.449</x:v>
      </x:c>
      <x:c r="AA673" s="38" t="n">
        <x:f>M673*R673</x:f>
        <x:v>6290.803005000001</x:v>
      </x:c>
      <x:c r="AB673" s="38" t="n">
        <x:f>SUM(W673:AA673)</x:f>
        <x:v>66267.474855</x:v>
      </x:c>
      <x:c r="AC673" s="38" t="n">
        <x:v>5.09</x:v>
      </x:c>
      <x:c r="AD673" s="38" t="n">
        <x:v>174.33</x:v>
      </x:c>
      <x:c r="AE673" s="38" t="n">
        <x:v>40.67</x:v>
      </x:c>
      <x:c r="AF673" s="38" t="n">
        <x:v>4.8148</x:v>
      </x:c>
      <x:c r="AG673" s="38" t="n">
        <x:v>5.33</x:v>
      </x:c>
      <x:c r="AH673" s="38" t="n">
        <x:f>IF(E673="Fason",L673*S673,0)</x:f>
        <x:v>0</x:v>
      </x:c>
      <x:c r="AI673" s="38" t="n">
        <x:f>IF(E673="Kurum içi",AC673*AD673+AE673*AF673+AB673*12%,0)</x:f>
        <x:v>9035.254598599999</x:v>
      </x:c>
      <x:c r="AJ673" s="38" t="n">
        <x:f>V673*AG673</x:f>
        <x:v>477.39981608244636</x:v>
      </x:c>
      <x:c r="AK673" s="38" t="n">
        <x:f>AB673*2%</x:f>
        <x:v>1325.3494970999998</x:v>
      </x:c>
      <x:c r="AL673" s="38" t="n">
        <x:f>AB673+AH673+AI673+AJ673+AK673</x:f>
        <x:v>77105.47876678244</x:v>
      </x:c>
      <x:c r="AM673" s="38" t="n">
        <x:f>AL673/V673</x:f>
        <x:v>860.855383647605</x:v>
      </x:c>
      <x:c r="AN673" s="40" t="n">
        <x:f>(W673+X673)/AL673*100</x:f>
        <x:v>73.07544645488133</x:v>
      </x:c>
      <x:c r="AO673" s="28" t="str">
        <x:v>R01-R20; ilgili satırdaki bölgesel fiyat ve maliyet varsayımları</x:v>
      </x:c>
      <x:c r="AP673" s="28" t="str">
        <x:v>Girdi miktarları, alım fiyatı değişimi, fason bedeli ve parti sonucu simüle edilmiştir; işletme kaydı değildir.</x:v>
      </x:c>
    </x:row>
    <x:row r="674" ht="22" customHeight="1">
      <x:c r="A674" t="str">
        <x:v>SUC-0673</x:v>
      </x:c>
      <x:c r="B674" s="36" t="n">
        <x:v>46309</x:v>
      </x:c>
      <x:c r="C674" t="str">
        <x:v>Ege</x:v>
      </x:c>
      <x:c r="D674" t="str">
        <x:v>MEB_STANDART</x:v>
      </x:c>
      <x:c r="E674" t="str">
        <x:v>Fason</x:v>
      </x:c>
      <x:c r="F674" s="42" t="str">
        <x:v>SENTETİK/SİMÜLE — gerçek parti kaydı değildir</x:v>
      </x:c>
      <x:c r="G674" s="38" t="n">
        <x:v>315.424</x:v>
      </x:c>
      <x:c r="H674" s="38" t="n">
        <x:v>99.104</x:v>
      </x:c>
      <x:c r="I674" s="38" t="n">
        <x:v>19.865</x:v>
      </x:c>
      <x:c r="J674" s="38" t="n">
        <x:v>12.172</x:v>
      </x:c>
      <x:c r="K674" s="38" t="n">
        <x:v>4.311</x:v>
      </x:c>
      <x:c r="L674" s="38" t="n">
        <x:f>SUM(G674:K674)</x:f>
        <x:v>450.876</x:v>
      </x:c>
      <x:c r="M674" s="38" t="n">
        <x:v>547.575</x:v>
      </x:c>
      <x:c r="N674" s="38" t="n">
        <x:v>600.24</x:v>
      </x:c>
      <x:c r="O674" s="38" t="n">
        <x:v>441.89</x:v>
      </x:c>
      <x:c r="P674" s="38" t="n">
        <x:v>550</x:v>
      </x:c>
      <x:c r="Q674" s="38" t="n">
        <x:v>19.88</x:v>
      </x:c>
      <x:c r="R674" s="38" t="n">
        <x:v>43.7475</x:v>
      </x:c>
      <x:c r="S674" s="38" t="n">
        <x:v>71.14</x:v>
      </x:c>
      <x:c r="T674" s="40" t="n">
        <x:v>28.75</x:v>
      </x:c>
      <x:c r="U674" s="40" t="n">
        <x:v>0.91</x:v>
      </x:c>
      <x:c r="V674" s="38" t="n">
        <x:f>L674*(1-T674/100)*(1-U674/100)</x:f>
        <x:v>318.32578273499996</x:v>
      </x:c>
      <x:c r="W674" s="38" t="n">
        <x:f>G674*N674</x:f>
        <x:v>189330.10176</x:v>
      </x:c>
      <x:c r="X674" s="38" t="n">
        <x:f>H674*O674</x:f>
        <x:v>43793.06656</x:v>
      </x:c>
      <x:c r="Y674" s="38" t="n">
        <x:f>I674*P674</x:f>
        <x:v>10925.75</x:v>
      </x:c>
      <x:c r="Z674" s="38" t="n">
        <x:f>J674*Q674+K674*P674</x:f>
        <x:v>2613.02936</x:v>
      </x:c>
      <x:c r="AA674" s="38" t="n">
        <x:f>M674*R674</x:f>
        <x:v>23955.037312500004</x:v>
      </x:c>
      <x:c r="AB674" s="38" t="n">
        <x:f>SUM(W674:AA674)</x:f>
        <x:v>270616.9849925</x:v>
      </x:c>
      <x:c r="AC674" s="38" t="n">
        <x:v>25.87</x:v>
      </x:c>
      <x:c r="AD674" s="38" t="n">
        <x:v>174.33</x:v>
      </x:c>
      <x:c r="AE674" s="38" t="n">
        <x:v>108.12</x:v>
      </x:c>
      <x:c r="AF674" s="38" t="n">
        <x:v>4.8148</x:v>
      </x:c>
      <x:c r="AG674" s="38" t="n">
        <x:v>5.33</x:v>
      </x:c>
      <x:c r="AH674" s="38" t="n">
        <x:f>IF(E674="Fason",L674*S674,0)</x:f>
        <x:v>32075.318639999998</x:v>
      </x:c>
      <x:c r="AI674" s="38" t="n">
        <x:f>IF(E674="Kurum içi",AC674*AD674+AE674*AF674+AB674*12%,0)</x:f>
        <x:v>0</x:v>
      </x:c>
      <x:c r="AJ674" s="38" t="n">
        <x:f>V674*AG674</x:f>
        <x:v>1696.6764219775498</x:v>
      </x:c>
      <x:c r="AK674" s="38" t="n">
        <x:f>AB674*2%</x:f>
        <x:v>5412.33969985</x:v>
      </x:c>
      <x:c r="AL674" s="38" t="n">
        <x:f>AB674+AH674+AI674+AJ674+AK674</x:f>
        <x:v>309801.31975432753</x:v>
      </x:c>
      <x:c r="AM674" s="38" t="n">
        <x:f>AL674/V674</x:f>
        <x:v>973.2209470831054</x:v>
      </x:c>
      <x:c r="AN674" s="40" t="n">
        <x:f>(W674+X674)/AL674*100</x:f>
        <x:v>75.24924958514273</x:v>
      </x:c>
      <x:c r="AO674" s="28" t="str">
        <x:v>R01-R20; ilgili satırdaki bölgesel fiyat ve maliyet varsayımları</x:v>
      </x:c>
      <x:c r="AP674" s="28" t="str">
        <x:v>Girdi miktarları, alım fiyatı değişimi, fason bedeli ve parti sonucu simüle edilmiştir; işletme kaydı değildir.</x:v>
      </x:c>
    </x:row>
    <x:row r="675" ht="22" customHeight="1">
      <x:c r="A675" t="str">
        <x:v>SUC-0674</x:v>
      </x:c>
      <x:c r="B675" s="36" t="n">
        <x:v>46286</x:v>
      </x:c>
      <x:c r="C675" t="str">
        <x:v>Doğu Anadolu</x:v>
      </x:c>
      <x:c r="D675" t="str">
        <x:v>MEB_STANDART</x:v>
      </x:c>
      <x:c r="E675" t="str">
        <x:v>Fason</x:v>
      </x:c>
      <x:c r="F675" s="42" t="str">
        <x:v>SENTETİK/SİMÜLE — gerçek parti kaydı değildir</x:v>
      </x:c>
      <x:c r="G675" s="38" t="n">
        <x:v>200.941</x:v>
      </x:c>
      <x:c r="H675" s="38" t="n">
        <x:v>65.667</x:v>
      </x:c>
      <x:c r="I675" s="38" t="n">
        <x:v>13.558</x:v>
      </x:c>
      <x:c r="J675" s="38" t="n">
        <x:v>7.161</x:v>
      </x:c>
      <x:c r="K675" s="38" t="n">
        <x:v>2.727</x:v>
      </x:c>
      <x:c r="L675" s="38" t="n">
        <x:f>SUM(G675:K675)</x:f>
        <x:v>290.054</x:v>
      </x:c>
      <x:c r="M675" s="38" t="n">
        <x:v>372.722</x:v>
      </x:c>
      <x:c r="N675" s="38" t="n">
        <x:v>608.31</x:v>
      </x:c>
      <x:c r="O675" s="38" t="n">
        <x:v>478.13</x:v>
      </x:c>
      <x:c r="P675" s="38" t="n">
        <x:v>400</x:v>
      </x:c>
      <x:c r="Q675" s="38" t="n">
        <x:v>19.88</x:v>
      </x:c>
      <x:c r="R675" s="38" t="n">
        <x:v>43.7475</x:v>
      </x:c>
      <x:c r="S675" s="38" t="n">
        <x:v>89.02</x:v>
      </x:c>
      <x:c r="T675" s="40" t="n">
        <x:v>19.34</x:v>
      </x:c>
      <x:c r="U675" s="40" t="n">
        <x:v>0.8</x:v>
      </x:c>
      <x:c r="V675" s="38" t="n">
        <x:f>L675*(1-T675/100)*(1-U675/100)</x:f>
        <x:v>232.0858959488</x:v>
      </x:c>
      <x:c r="W675" s="38" t="n">
        <x:f>G675*N675</x:f>
        <x:v>122234.41970999999</x:v>
      </x:c>
      <x:c r="X675" s="38" t="n">
        <x:f>H675*O675</x:f>
        <x:v>31397.36271</x:v>
      </x:c>
      <x:c r="Y675" s="38" t="n">
        <x:f>I675*P675</x:f>
        <x:v>5423.2</x:v>
      </x:c>
      <x:c r="Z675" s="38" t="n">
        <x:f>J675*Q675+K675*P675</x:f>
        <x:v>1233.16068</x:v>
      </x:c>
      <x:c r="AA675" s="38" t="n">
        <x:f>M675*R675</x:f>
        <x:v>16305.655695</x:v>
      </x:c>
      <x:c r="AB675" s="38" t="n">
        <x:f>SUM(W675:AA675)</x:f>
        <x:v>176593.798795</x:v>
      </x:c>
      <x:c r="AC675" s="38" t="n">
        <x:v>12.6</x:v>
      </x:c>
      <x:c r="AD675" s="38" t="n">
        <x:v>174.33</x:v>
      </x:c>
      <x:c r="AE675" s="38" t="n">
        <x:v>68.56</x:v>
      </x:c>
      <x:c r="AF675" s="38" t="n">
        <x:v>4.8148</x:v>
      </x:c>
      <x:c r="AG675" s="38" t="n">
        <x:v>5.2</x:v>
      </x:c>
      <x:c r="AH675" s="38" t="n">
        <x:f>IF(E675="Fason",L675*S675,0)</x:f>
        <x:v>25820.607079999998</x:v>
      </x:c>
      <x:c r="AI675" s="38" t="n">
        <x:f>IF(E675="Kurum içi",AC675*AD675+AE675*AF675+AB675*12%,0)</x:f>
        <x:v>0</x:v>
      </x:c>
      <x:c r="AJ675" s="38" t="n">
        <x:f>V675*AG675</x:f>
        <x:v>1206.84665893376</x:v>
      </x:c>
      <x:c r="AK675" s="38" t="n">
        <x:f>AB675*2%</x:f>
        <x:v>3531.8759759000004</x:v>
      </x:c>
      <x:c r="AL675" s="38" t="n">
        <x:f>AB675+AH675+AI675+AJ675+AK675</x:f>
        <x:v>207153.12850983377</x:v>
      </x:c>
      <x:c r="AM675" s="38" t="n">
        <x:f>AL675/V675</x:f>
        <x:v>892.5709494881731</x:v>
      </x:c>
      <x:c r="AN675" s="40" t="n">
        <x:f>(W675+X675)/AL675*100</x:f>
        <x:v>74.16338991602869</x:v>
      </x:c>
      <x:c r="AO675" s="28" t="str">
        <x:v>R01-R20; ilgili satırdaki bölgesel fiyat ve maliyet varsayımları</x:v>
      </x:c>
      <x:c r="AP675" s="28" t="str">
        <x:v>Girdi miktarları, alım fiyatı değişimi, fason bedeli ve parti sonucu simüle edilmiştir; işletme kaydı değildir.</x:v>
      </x:c>
    </x:row>
    <x:row r="676" ht="22" customHeight="1">
      <x:c r="A676" t="str">
        <x:v>SUC-0675</x:v>
      </x:c>
      <x:c r="B676" s="36" t="n">
        <x:v>46277</x:v>
      </x:c>
      <x:c r="C676" t="str">
        <x:v>Doğu Anadolu</x:v>
      </x:c>
      <x:c r="D676" t="str">
        <x:v>ERZURUM_CI</x:v>
      </x:c>
      <x:c r="E676" t="str">
        <x:v>Kurum içi</x:v>
      </x:c>
      <x:c r="F676" s="42" t="str">
        <x:v>SENTETİK/SİMÜLE — gerçek parti kaydı değildir</x:v>
      </x:c>
      <x:c r="G676" s="38" t="n">
        <x:v>258.744</x:v>
      </x:c>
      <x:c r="H676" s="38" t="n">
        <x:v>44.486</x:v>
      </x:c>
      <x:c r="I676" s="38" t="n">
        <x:v>15.327</x:v>
      </x:c>
      <x:c r="J676" s="38" t="n">
        <x:v>5.675</x:v>
      </x:c>
      <x:c r="K676" s="38" t="n">
        <x:v>0.751</x:v>
      </x:c>
      <x:c r="L676" s="38" t="n">
        <x:f>SUM(G676:K676)</x:f>
        <x:v>324.983</x:v>
      </x:c>
      <x:c r="M676" s="38" t="n">
        <x:v>398.169</x:v>
      </x:c>
      <x:c r="N676" s="38" t="n">
        <x:v>608.38</x:v>
      </x:c>
      <x:c r="O676" s="38" t="n">
        <x:v>467.4</x:v>
      </x:c>
      <x:c r="P676" s="38" t="n">
        <x:v>669.9</x:v>
      </x:c>
      <x:c r="Q676" s="38" t="n">
        <x:v>19.88</x:v>
      </x:c>
      <x:c r="R676" s="38" t="n">
        <x:v>43.7475</x:v>
      </x:c>
      <x:c r="S676" s="38" t="n">
        <x:v>90.48</x:v>
      </x:c>
      <x:c r="T676" s="40" t="n">
        <x:v>24.42</x:v>
      </x:c>
      <x:c r="U676" s="40" t="n">
        <x:v>1.52</x:v>
      </x:c>
      <x:c r="V676" s="38" t="n">
        <x:f>L676*(1-T676/100)*(1-U676/100)</x:f>
        <x:v>241.88869469872</x:v>
      </x:c>
      <x:c r="W676" s="38" t="n">
        <x:f>G676*N676</x:f>
        <x:v>157414.67472</x:v>
      </x:c>
      <x:c r="X676" s="38" t="n">
        <x:f>H676*O676</x:f>
        <x:v>20792.7564</x:v>
      </x:c>
      <x:c r="Y676" s="38" t="n">
        <x:f>I676*P676</x:f>
        <x:v>10267.5573</x:v>
      </x:c>
      <x:c r="Z676" s="38" t="n">
        <x:f>J676*Q676+K676*P676</x:f>
        <x:v>615.9139</x:v>
      </x:c>
      <x:c r="AA676" s="38" t="n">
        <x:f>M676*R676</x:f>
        <x:v>17418.8983275</x:v>
      </x:c>
      <x:c r="AB676" s="38" t="n">
        <x:f>SUM(W676:AA676)</x:f>
        <x:v>206509.80064750003</x:v>
      </x:c>
      <x:c r="AC676" s="38" t="n">
        <x:v>11.57</x:v>
      </x:c>
      <x:c r="AD676" s="38" t="n">
        <x:v>174.33</x:v>
      </x:c>
      <x:c r="AE676" s="38" t="n">
        <x:v>152.42</x:v>
      </x:c>
      <x:c r="AF676" s="38" t="n">
        <x:v>4.8148</x:v>
      </x:c>
      <x:c r="AG676" s="38" t="n">
        <x:v>5.65</x:v>
      </x:c>
      <x:c r="AH676" s="38" t="n">
        <x:f>IF(E676="Fason",L676*S676,0)</x:f>
        <x:v>0</x:v>
      </x:c>
      <x:c r="AI676" s="38" t="n">
        <x:f>IF(E676="Kurum içi",AC676*AD676+AE676*AF676+AB676*12%,0)</x:f>
        <x:v>27532.0459937</x:v>
      </x:c>
      <x:c r="AJ676" s="38" t="n">
        <x:f>V676*AG676</x:f>
        <x:v>1366.671125047768</x:v>
      </x:c>
      <x:c r="AK676" s="38" t="n">
        <x:f>AB676*2%</x:f>
        <x:v>4130.19601295</x:v>
      </x:c>
      <x:c r="AL676" s="38" t="n">
        <x:f>AB676+AH676+AI676+AJ676+AK676</x:f>
        <x:v>239538.71377919783</x:v>
      </x:c>
      <x:c r="AM676" s="38" t="n">
        <x:f>AL676/V676</x:f>
        <x:v>990.2848666720487</x:v>
      </x:c>
      <x:c r="AN676" s="40" t="n">
        <x:f>(W676+X676)/AL676*100</x:f>
        <x:v>74.39608750853867</x:v>
      </x:c>
      <x:c r="AO676" s="28" t="str">
        <x:v>R01-R20; ilgili satırdaki bölgesel fiyat ve maliyet varsayımları</x:v>
      </x:c>
      <x:c r="AP676" s="28" t="str">
        <x:v>Girdi miktarları, alım fiyatı değişimi, fason bedeli ve parti sonucu simüle edilmiştir; işletme kaydı değildir.</x:v>
      </x:c>
    </x:row>
    <x:row r="677" ht="22" customHeight="1">
      <x:c r="A677" t="str">
        <x:v>SUC-0676</x:v>
      </x:c>
      <x:c r="B677" s="36" t="n">
        <x:v>46313</x:v>
      </x:c>
      <x:c r="C677" t="str">
        <x:v>Ege</x:v>
      </x:c>
      <x:c r="D677" t="str">
        <x:v>MEB_STANDART</x:v>
      </x:c>
      <x:c r="E677" t="str">
        <x:v>Kurum içi</x:v>
      </x:c>
      <x:c r="F677" s="42" t="str">
        <x:v>SENTETİK/SİMÜLE — gerçek parti kaydı değildir</x:v>
      </x:c>
      <x:c r="G677" s="38" t="n">
        <x:v>275.159</x:v>
      </x:c>
      <x:c r="H677" s="38" t="n">
        <x:v>85.783</x:v>
      </x:c>
      <x:c r="I677" s="38" t="n">
        <x:v>17.671</x:v>
      </x:c>
      <x:c r="J677" s="38" t="n">
        <x:v>9.429</x:v>
      </x:c>
      <x:c r="K677" s="38" t="n">
        <x:v>3.927</x:v>
      </x:c>
      <x:c r="L677" s="38" t="n">
        <x:f>SUM(G677:K677)</x:f>
        <x:v>391.969</x:v>
      </x:c>
      <x:c r="M677" s="38" t="n">
        <x:v>458.437</x:v>
      </x:c>
      <x:c r="N677" s="38" t="n">
        <x:v>612.42</x:v>
      </x:c>
      <x:c r="O677" s="38" t="n">
        <x:v>412.55</x:v>
      </x:c>
      <x:c r="P677" s="38" t="n">
        <x:v>669.9</x:v>
      </x:c>
      <x:c r="Q677" s="38" t="n">
        <x:v>19.88</x:v>
      </x:c>
      <x:c r="R677" s="38" t="n">
        <x:v>43.7475</x:v>
      </x:c>
      <x:c r="S677" s="38" t="n">
        <x:v>116.14</x:v>
      </x:c>
      <x:c r="T677" s="40" t="n">
        <x:v>26.33</x:v>
      </x:c>
      <x:c r="U677" s="40" t="n">
        <x:v>1.14</x:v>
      </x:c>
      <x:c r="V677" s="38" t="n">
        <x:f>L677*(1-T677/100)*(1-U677/100)</x:f>
        <x:v>285.47165768978</x:v>
      </x:c>
      <x:c r="W677" s="38" t="n">
        <x:f>G677*N677</x:f>
        <x:v>168512.87477999998</x:v>
      </x:c>
      <x:c r="X677" s="38" t="n">
        <x:f>H677*O677</x:f>
        <x:v>35389.77665</x:v>
      </x:c>
      <x:c r="Y677" s="38" t="n">
        <x:f>I677*P677</x:f>
        <x:v>11837.802899999999</x:v>
      </x:c>
      <x:c r="Z677" s="38" t="n">
        <x:f>J677*Q677+K677*P677</x:f>
        <x:v>2818.1458199999997</x:v>
      </x:c>
      <x:c r="AA677" s="38" t="n">
        <x:f>M677*R677</x:f>
        <x:v>20055.472657500002</x:v>
      </x:c>
      <x:c r="AB677" s="38" t="n">
        <x:f>SUM(W677:AA677)</x:f>
        <x:v>238614.0728075</x:v>
      </x:c>
      <x:c r="AC677" s="38" t="n">
        <x:v>17.93</x:v>
      </x:c>
      <x:c r="AD677" s="38" t="n">
        <x:v>174.33</x:v>
      </x:c>
      <x:c r="AE677" s="38" t="n">
        <x:v>129.47</x:v>
      </x:c>
      <x:c r="AF677" s="38" t="n">
        <x:v>4.8148</x:v>
      </x:c>
      <x:c r="AG677" s="38" t="n">
        <x:v>5.24</x:v>
      </x:c>
      <x:c r="AH677" s="38" t="n">
        <x:f>IF(E677="Fason",L677*S677,0)</x:f>
        <x:v>0</x:v>
      </x:c>
      <x:c r="AI677" s="38" t="n">
        <x:f>IF(E677="Kurum içi",AC677*AD677+AE677*AF677+AB677*12%,0)</x:f>
        <x:v>32382.7977929</x:v>
      </x:c>
      <x:c r="AJ677" s="38" t="n">
        <x:f>V677*AG677</x:f>
        <x:v>1495.871486294447</x:v>
      </x:c>
      <x:c r="AK677" s="38" t="n">
        <x:f>AB677*2%</x:f>
        <x:v>4772.28145615</x:v>
      </x:c>
      <x:c r="AL677" s="38" t="n">
        <x:f>AB677+AH677+AI677+AJ677+AK677</x:f>
        <x:v>277265.0235428444</x:v>
      </x:c>
      <x:c r="AM677" s="38" t="n">
        <x:f>AL677/V677</x:f>
        <x:v>971.2523680517045</x:v>
      </x:c>
      <x:c r="AN677" s="40" t="n">
        <x:f>(W677+X677)/AL677*100</x:f>
        <x:v>73.54070442227702</x:v>
      </x:c>
      <x:c r="AO677" s="28" t="str">
        <x:v>R01-R20; ilgili satırdaki bölgesel fiyat ve maliyet varsayımları</x:v>
      </x:c>
      <x:c r="AP677" s="28" t="str">
        <x:v>Girdi miktarları, alım fiyatı değişimi, fason bedeli ve parti sonucu simüle edilmiştir; işletme kaydı değildir.</x:v>
      </x:c>
    </x:row>
    <x:row r="678" ht="22" customHeight="1">
      <x:c r="A678" t="str">
        <x:v>SUC-0677</x:v>
      </x:c>
      <x:c r="B678" s="36" t="n">
        <x:v>46306</x:v>
      </x:c>
      <x:c r="C678" t="str">
        <x:v>Marmara</x:v>
      </x:c>
      <x:c r="D678" t="str">
        <x:v>ERZURUM_CI</x:v>
      </x:c>
      <x:c r="E678" t="str">
        <x:v>Kurum içi</x:v>
      </x:c>
      <x:c r="F678" s="42" t="str">
        <x:v>SENTETİK/SİMÜLE — gerçek parti kaydı değildir</x:v>
      </x:c>
      <x:c r="G678" s="38" t="n">
        <x:v>158.949</x:v>
      </x:c>
      <x:c r="H678" s="38" t="n">
        <x:v>27.296</x:v>
      </x:c>
      <x:c r="I678" s="38" t="n">
        <x:v>9.61</x:v>
      </x:c>
      <x:c r="J678" s="38" t="n">
        <x:v>3.396</x:v>
      </x:c>
      <x:c r="K678" s="38" t="n">
        <x:v>0.235</x:v>
      </x:c>
      <x:c r="L678" s="38" t="n">
        <x:f>SUM(G678:K678)</x:f>
        <x:v>199.48600000000002</x:v>
      </x:c>
      <x:c r="M678" s="38" t="n">
        <x:v>253.612</x:v>
      </x:c>
      <x:c r="N678" s="38" t="n">
        <x:v>617.44</x:v>
      </x:c>
      <x:c r="O678" s="38" t="n">
        <x:v>461.42</x:v>
      </x:c>
      <x:c r="P678" s="38" t="n">
        <x:v>400</x:v>
      </x:c>
      <x:c r="Q678" s="38" t="n">
        <x:v>19.88</x:v>
      </x:c>
      <x:c r="R678" s="38" t="n">
        <x:v>43.7475</x:v>
      </x:c>
      <x:c r="S678" s="38" t="n">
        <x:v>66.53</x:v>
      </x:c>
      <x:c r="T678" s="40" t="n">
        <x:v>20.02</x:v>
      </x:c>
      <x:c r="U678" s="40" t="n">
        <x:v>1.77</x:v>
      </x:c>
      <x:c r="V678" s="38" t="n">
        <x:f>L678*(1-T678/100)*(1-U678/100)</x:f>
        <x:v>156.72488722044002</x:v>
      </x:c>
      <x:c r="W678" s="38" t="n">
        <x:f>G678*N678</x:f>
        <x:v>98141.47056000002</x:v>
      </x:c>
      <x:c r="X678" s="38" t="n">
        <x:f>H678*O678</x:f>
        <x:v>12594.92032</x:v>
      </x:c>
      <x:c r="Y678" s="38" t="n">
        <x:f>I678*P678</x:f>
        <x:v>3844</x:v>
      </x:c>
      <x:c r="Z678" s="38" t="n">
        <x:f>J678*Q678+K678*P678</x:f>
        <x:v>161.51247999999998</x:v>
      </x:c>
      <x:c r="AA678" s="38" t="n">
        <x:f>M678*R678</x:f>
        <x:v>11094.89097</x:v>
      </x:c>
      <x:c r="AB678" s="38" t="n">
        <x:f>SUM(W678:AA678)</x:f>
        <x:v>125836.79433000003</x:v>
      </x:c>
      <x:c r="AC678" s="38" t="n">
        <x:v>11.99</x:v>
      </x:c>
      <x:c r="AD678" s="38" t="n">
        <x:v>174.33</x:v>
      </x:c>
      <x:c r="AE678" s="38" t="n">
        <x:v>54.24</x:v>
      </x:c>
      <x:c r="AF678" s="38" t="n">
        <x:v>4.8148</x:v>
      </x:c>
      <x:c r="AG678" s="38" t="n">
        <x:v>5.28</x:v>
      </x:c>
      <x:c r="AH678" s="38" t="n">
        <x:f>IF(E678="Fason",L678*S678,0)</x:f>
        <x:v>0</x:v>
      </x:c>
      <x:c r="AI678" s="38" t="n">
        <x:f>IF(E678="Kurum içi",AC678*AD678+AE678*AF678+AB678*12%,0)</x:f>
        <x:v>17451.786771600004</x:v>
      </x:c>
      <x:c r="AJ678" s="38" t="n">
        <x:f>V678*AG678</x:f>
        <x:v>827.5074045239234</x:v>
      </x:c>
      <x:c r="AK678" s="38" t="n">
        <x:f>AB678*2%</x:f>
        <x:v>2516.735886600001</x:v>
      </x:c>
      <x:c r="AL678" s="38" t="n">
        <x:f>AB678+AH678+AI678+AJ678+AK678</x:f>
        <x:v>146632.82439272397</x:v>
      </x:c>
      <x:c r="AM678" s="38" t="n">
        <x:f>AL678/V678</x:f>
        <x:v>935.6065076408627</x:v>
      </x:c>
      <x:c r="AN678" s="40" t="n">
        <x:f>(W678+X678)/AL678*100</x:f>
        <x:v>75.51951027241813</x:v>
      </x:c>
      <x:c r="AO678" s="28" t="str">
        <x:v>R01-R20; ilgili satırdaki bölgesel fiyat ve maliyet varsayımları</x:v>
      </x:c>
      <x:c r="AP678" s="28" t="str">
        <x:v>Girdi miktarları, alım fiyatı değişimi, fason bedeli ve parti sonucu simüle edilmiştir; işletme kaydı değildir.</x:v>
      </x:c>
    </x:row>
    <x:row r="679" ht="22" customHeight="1">
      <x:c r="A679" t="str">
        <x:v>SUC-0678</x:v>
      </x:c>
      <x:c r="B679" s="36" t="n">
        <x:v>46296</x:v>
      </x:c>
      <x:c r="C679" t="str">
        <x:v>Ege</x:v>
      </x:c>
      <x:c r="D679" t="str">
        <x:v>ERZURUM_CI</x:v>
      </x:c>
      <x:c r="E679" t="str">
        <x:v>Kurum içi</x:v>
      </x:c>
      <x:c r="F679" s="42" t="str">
        <x:v>SENTETİK/SİMÜLE — gerçek parti kaydı değildir</x:v>
      </x:c>
      <x:c r="G679" s="38" t="n">
        <x:v>226.863</x:v>
      </x:c>
      <x:c r="H679" s="38" t="n">
        <x:v>38.018</x:v>
      </x:c>
      <x:c r="I679" s="38" t="n">
        <x:v>13.918</x:v>
      </x:c>
      <x:c r="J679" s="38" t="n">
        <x:v>4.56</x:v>
      </x:c>
      <x:c r="K679" s="38" t="n">
        <x:v>0.637</x:v>
      </x:c>
      <x:c r="L679" s="38" t="n">
        <x:f>SUM(G679:K679)</x:f>
        <x:v>283.996</x:v>
      </x:c>
      <x:c r="M679" s="38" t="n">
        <x:v>336.019</x:v>
      </x:c>
      <x:c r="N679" s="38" t="n">
        <x:v>610.46</x:v>
      </x:c>
      <x:c r="O679" s="38" t="n">
        <x:v>437.58</x:v>
      </x:c>
      <x:c r="P679" s="38" t="n">
        <x:v>550</x:v>
      </x:c>
      <x:c r="Q679" s="38" t="n">
        <x:v>19.88</x:v>
      </x:c>
      <x:c r="R679" s="38" t="n">
        <x:v>43.7475</x:v>
      </x:c>
      <x:c r="S679" s="38" t="n">
        <x:v>102.93</x:v>
      </x:c>
      <x:c r="T679" s="40" t="n">
        <x:v>18.8</x:v>
      </x:c>
      <x:c r="U679" s="40" t="n">
        <x:v>1.49</x:v>
      </x:c>
      <x:c r="V679" s="38" t="n">
        <x:f>L679*(1-T679/100)*(1-U679/100)</x:f>
        <x:v>227.1687411952</x:v>
      </x:c>
      <x:c r="W679" s="38" t="n">
        <x:f>G679*N679</x:f>
        <x:v>138490.78698</x:v>
      </x:c>
      <x:c r="X679" s="38" t="n">
        <x:f>H679*O679</x:f>
        <x:v>16635.91644</x:v>
      </x:c>
      <x:c r="Y679" s="38" t="n">
        <x:f>I679*P679</x:f>
        <x:v>7654.9</x:v>
      </x:c>
      <x:c r="Z679" s="38" t="n">
        <x:f>J679*Q679+K679*P679</x:f>
        <x:v>441.0028</x:v>
      </x:c>
      <x:c r="AA679" s="38" t="n">
        <x:f>M679*R679</x:f>
        <x:v>14699.991202500001</x:v>
      </x:c>
      <x:c r="AB679" s="38" t="n">
        <x:f>SUM(W679:AA679)</x:f>
        <x:v>177922.5974225</x:v>
      </x:c>
      <x:c r="AC679" s="38" t="n">
        <x:v>18.61</x:v>
      </x:c>
      <x:c r="AD679" s="38" t="n">
        <x:v>174.33</x:v>
      </x:c>
      <x:c r="AE679" s="38" t="n">
        <x:v>64.18</x:v>
      </x:c>
      <x:c r="AF679" s="38" t="n">
        <x:v>4.8148</x:v>
      </x:c>
      <x:c r="AG679" s="38" t="n">
        <x:v>5.41</x:v>
      </x:c>
      <x:c r="AH679" s="38" t="n">
        <x:f>IF(E679="Fason",L679*S679,0)</x:f>
        <x:v>0</x:v>
      </x:c>
      <x:c r="AI679" s="38" t="n">
        <x:f>IF(E679="Kurum içi",AC679*AD679+AE679*AF679+AB679*12%,0)</x:f>
        <x:v>24904.006854699997</x:v>
      </x:c>
      <x:c r="AJ679" s="38" t="n">
        <x:f>V679*AG679</x:f>
        <x:v>1228.982889866032</x:v>
      </x:c>
      <x:c r="AK679" s="38" t="n">
        <x:f>AB679*2%</x:f>
        <x:v>3558.45194845</x:v>
      </x:c>
      <x:c r="AL679" s="38" t="n">
        <x:f>AB679+AH679+AI679+AJ679+AK679</x:f>
        <x:v>207614.03911551603</x:v>
      </x:c>
      <x:c r="AM679" s="38" t="n">
        <x:f>AL679/V679</x:f>
        <x:v>913.9199258806425</x:v>
      </x:c>
      <x:c r="AN679" s="40" t="n">
        <x:f>(W679+X679)/AL679*100</x:f>
        <x:v>74.71879266010899</x:v>
      </x:c>
      <x:c r="AO679" s="28" t="str">
        <x:v>R01-R20; ilgili satırdaki bölgesel fiyat ve maliyet varsayımları</x:v>
      </x:c>
      <x:c r="AP679" s="28" t="str">
        <x:v>Girdi miktarları, alım fiyatı değişimi, fason bedeli ve parti sonucu simüle edilmiştir; işletme kaydı değildir.</x:v>
      </x:c>
    </x:row>
    <x:row r="680" ht="22" customHeight="1">
      <x:c r="A680" t="str">
        <x:v>SUC-0679</x:v>
      </x:c>
      <x:c r="B680" s="36" t="n">
        <x:v>46305</x:v>
      </x:c>
      <x:c r="C680" t="str">
        <x:v>Akdeniz</x:v>
      </x:c>
      <x:c r="D680" t="str">
        <x:v>ERZURUM_CI</x:v>
      </x:c>
      <x:c r="E680" t="str">
        <x:v>Kurum içi</x:v>
      </x:c>
      <x:c r="F680" s="42" t="str">
        <x:v>SENTETİK/SİMÜLE — gerçek parti kaydı değildir</x:v>
      </x:c>
      <x:c r="G680" s="38" t="n">
        <x:v>336.703</x:v>
      </x:c>
      <x:c r="H680" s="38" t="n">
        <x:v>54.703</x:v>
      </x:c>
      <x:c r="I680" s="38" t="n">
        <x:v>18.602</x:v>
      </x:c>
      <x:c r="J680" s="38" t="n">
        <x:v>6.704</x:v>
      </x:c>
      <x:c r="K680" s="38" t="n">
        <x:v>0.568</x:v>
      </x:c>
      <x:c r="L680" s="38" t="n">
        <x:f>SUM(G680:K680)</x:f>
        <x:v>417.2799999999999</x:v>
      </x:c>
      <x:c r="M680" s="38" t="n">
        <x:v>538.143</x:v>
      </x:c>
      <x:c r="N680" s="38" t="n">
        <x:v>581.24</x:v>
      </x:c>
      <x:c r="O680" s="38" t="n">
        <x:v>462.93</x:v>
      </x:c>
      <x:c r="P680" s="38" t="n">
        <x:v>669.9</x:v>
      </x:c>
      <x:c r="Q680" s="38" t="n">
        <x:v>19.88</x:v>
      </x:c>
      <x:c r="R680" s="38" t="n">
        <x:v>43.7475</x:v>
      </x:c>
      <x:c r="S680" s="38" t="n">
        <x:v>97.87</x:v>
      </x:c>
      <x:c r="T680" s="40" t="n">
        <x:v>33.95</x:v>
      </x:c>
      <x:c r="U680" s="40" t="n">
        <x:v>1.71</x:v>
      </x:c>
      <x:c r="V680" s="38" t="n">
        <x:f>L680*(1-T680/100)*(1-U680/100)</x:f>
        <x:v>270.90045017599994</x:v>
      </x:c>
      <x:c r="W680" s="38" t="n">
        <x:f>G680*N680</x:f>
        <x:v>195705.25172</x:v>
      </x:c>
      <x:c r="X680" s="38" t="n">
        <x:f>H680*O680</x:f>
        <x:v>25323.65979</x:v>
      </x:c>
      <x:c r="Y680" s="38" t="n">
        <x:f>I680*P680</x:f>
        <x:v>12461.4798</x:v>
      </x:c>
      <x:c r="Z680" s="38" t="n">
        <x:f>J680*Q680+K680*P680</x:f>
        <x:v>513.7787199999999</x:v>
      </x:c>
      <x:c r="AA680" s="38" t="n">
        <x:f>M680*R680</x:f>
        <x:v>23542.410892500004</x:v>
      </x:c>
      <x:c r="AB680" s="38" t="n">
        <x:f>SUM(W680:AA680)</x:f>
        <x:v>257546.5809225</x:v>
      </x:c>
      <x:c r="AC680" s="38" t="n">
        <x:v>27.54</x:v>
      </x:c>
      <x:c r="AD680" s="38" t="n">
        <x:v>174.33</x:v>
      </x:c>
      <x:c r="AE680" s="38" t="n">
        <x:v>101.51</x:v>
      </x:c>
      <x:c r="AF680" s="38" t="n">
        <x:v>4.8148</x:v>
      </x:c>
      <x:c r="AG680" s="38" t="n">
        <x:v>5.15</x:v>
      </x:c>
      <x:c r="AH680" s="38" t="n">
        <x:f>IF(E680="Fason",L680*S680,0)</x:f>
        <x:v>0</x:v>
      </x:c>
      <x:c r="AI680" s="38" t="n">
        <x:f>IF(E680="Kurum içi",AC680*AD680+AE680*AF680+AB680*12%,0)</x:f>
        <x:v>36195.3882587</x:v>
      </x:c>
      <x:c r="AJ680" s="38" t="n">
        <x:f>V680*AG680</x:f>
        <x:v>1395.1373184063998</x:v>
      </x:c>
      <x:c r="AK680" s="38" t="n">
        <x:f>AB680*2%</x:f>
        <x:v>5150.93161845</x:v>
      </x:c>
      <x:c r="AL680" s="38" t="n">
        <x:f>AB680+AH680+AI680+AJ680+AK680</x:f>
        <x:v>300288.0381180564</x:v>
      </x:c>
      <x:c r="AM680" s="38" t="n">
        <x:f>AL680/V680</x:f>
        <x:v>1108.4811336524683</x:v>
      </x:c>
      <x:c r="AN680" s="40" t="n">
        <x:f>(W680+X680)/AL680*100</x:f>
        <x:v>73.60563307656759</x:v>
      </x:c>
      <x:c r="AO680" s="28" t="str">
        <x:v>R01-R20; ilgili satırdaki bölgesel fiyat ve maliyet varsayımları</x:v>
      </x:c>
      <x:c r="AP680" s="28" t="str">
        <x:v>Girdi miktarları, alım fiyatı değişimi, fason bedeli ve parti sonucu simüle edilmiştir; işletme kaydı değildir.</x:v>
      </x:c>
    </x:row>
    <x:row r="681" ht="22" customHeight="1">
      <x:c r="A681" t="str">
        <x:v>SUC-0680</x:v>
      </x:c>
      <x:c r="B681" s="36" t="n">
        <x:v>46267</x:v>
      </x:c>
      <x:c r="C681" t="str">
        <x:v>İç Anadolu</x:v>
      </x:c>
      <x:c r="D681" t="str">
        <x:v>MEB_STANDART</x:v>
      </x:c>
      <x:c r="E681" t="str">
        <x:v>Kurum içi</x:v>
      </x:c>
      <x:c r="F681" s="42" t="str">
        <x:v>SENTETİK/SİMÜLE — gerçek parti kaydı değildir</x:v>
      </x:c>
      <x:c r="G681" s="38" t="n">
        <x:v>324.421</x:v>
      </x:c>
      <x:c r="H681" s="38" t="n">
        <x:v>99.315</x:v>
      </x:c>
      <x:c r="I681" s="38" t="n">
        <x:v>22.359</x:v>
      </x:c>
      <x:c r="J681" s="38" t="n">
        <x:v>11.532</x:v>
      </x:c>
      <x:c r="K681" s="38" t="n">
        <x:v>4.903</x:v>
      </x:c>
      <x:c r="L681" s="38" t="n">
        <x:f>SUM(G681:K681)</x:f>
        <x:v>462.53</x:v>
      </x:c>
      <x:c r="M681" s="38" t="n">
        <x:v>583.299</x:v>
      </x:c>
      <x:c r="N681" s="38" t="n">
        <x:v>590.71</x:v>
      </x:c>
      <x:c r="O681" s="38" t="n">
        <x:v>471.81</x:v>
      </x:c>
      <x:c r="P681" s="38" t="n">
        <x:v>400</x:v>
      </x:c>
      <x:c r="Q681" s="38" t="n">
        <x:v>19.88</x:v>
      </x:c>
      <x:c r="R681" s="38" t="n">
        <x:v>43.7475</x:v>
      </x:c>
      <x:c r="S681" s="38" t="n">
        <x:v>121.25</x:v>
      </x:c>
      <x:c r="T681" s="40" t="n">
        <x:v>28.43</x:v>
      </x:c>
      <x:c r="U681" s="40" t="n">
        <x:v>1.73</x:v>
      </x:c>
      <x:c r="V681" s="38" t="n">
        <x:f>L681*(1-T681/100)*(1-U681/100)</x:f>
        <x:v>325.30585492669996</x:v>
      </x:c>
      <x:c r="W681" s="38" t="n">
        <x:f>G681*N681</x:f>
        <x:v>191638.72891</x:v>
      </x:c>
      <x:c r="X681" s="38" t="n">
        <x:f>H681*O681</x:f>
        <x:v>46857.81015</x:v>
      </x:c>
      <x:c r="Y681" s="38" t="n">
        <x:f>I681*P681</x:f>
        <x:v>8943.6</x:v>
      </x:c>
      <x:c r="Z681" s="38" t="n">
        <x:f>J681*Q681+K681*P681</x:f>
        <x:v>2190.4561599999997</x:v>
      </x:c>
      <x:c r="AA681" s="38" t="n">
        <x:f>M681*R681</x:f>
        <x:v>25517.8730025</x:v>
      </x:c>
      <x:c r="AB681" s="38" t="n">
        <x:f>SUM(W681:AA681)</x:f>
        <x:v>275148.4682225</x:v>
      </x:c>
      <x:c r="AC681" s="38" t="n">
        <x:v>22.08</x:v>
      </x:c>
      <x:c r="AD681" s="38" t="n">
        <x:v>174.33</x:v>
      </x:c>
      <x:c r="AE681" s="38" t="n">
        <x:v>124.9</x:v>
      </x:c>
      <x:c r="AF681" s="38" t="n">
        <x:v>4.8148</x:v>
      </x:c>
      <x:c r="AG681" s="38" t="n">
        <x:v>5.73</x:v>
      </x:c>
      <x:c r="AH681" s="38" t="n">
        <x:f>IF(E681="Fason",L681*S681,0)</x:f>
        <x:v>0</x:v>
      </x:c>
      <x:c r="AI681" s="38" t="n">
        <x:f>IF(E681="Kurum içi",AC681*AD681+AE681*AF681+AB681*12%,0)</x:f>
        <x:v>37468.3911067</x:v>
      </x:c>
      <x:c r="AJ681" s="38" t="n">
        <x:f>V681*AG681</x:f>
        <x:v>1864.0025487299908</x:v>
      </x:c>
      <x:c r="AK681" s="38" t="n">
        <x:f>AB681*2%</x:f>
        <x:v>5502.96936445</x:v>
      </x:c>
      <x:c r="AL681" s="38" t="n">
        <x:f>AB681+AH681+AI681+AJ681+AK681</x:f>
        <x:v>319983.83124238</x:v>
      </x:c>
      <x:c r="AM681" s="38" t="n">
        <x:f>AL681/V681</x:f>
        <x:v>983.6399388338118</x:v>
      </x:c>
      <x:c r="AN681" s="40" t="n">
        <x:f>(W681+X681)/AL681*100</x:f>
        <x:v>74.53393445975233</x:v>
      </x:c>
      <x:c r="AO681" s="28" t="str">
        <x:v>R01-R20; ilgili satırdaki bölgesel fiyat ve maliyet varsayımları</x:v>
      </x:c>
      <x:c r="AP681" s="28" t="str">
        <x:v>Girdi miktarları, alım fiyatı değişimi, fason bedeli ve parti sonucu simüle edilmiştir; işletme kaydı değildir.</x:v>
      </x:c>
    </x:row>
    <x:row r="682" ht="22" customHeight="1">
      <x:c r="A682" t="str">
        <x:v>SUC-0681</x:v>
      </x:c>
      <x:c r="B682" s="36" t="n">
        <x:v>46278</x:v>
      </x:c>
      <x:c r="C682" t="str">
        <x:v>Ege</x:v>
      </x:c>
      <x:c r="D682" t="str">
        <x:v>MEB_STANDART</x:v>
      </x:c>
      <x:c r="E682" t="str">
        <x:v>Kurum içi</x:v>
      </x:c>
      <x:c r="F682" s="42" t="str">
        <x:v>SENTETİK/SİMÜLE — gerçek parti kaydı değildir</x:v>
      </x:c>
      <x:c r="G682" s="38" t="n">
        <x:v>51.624</x:v>
      </x:c>
      <x:c r="H682" s="38" t="n">
        <x:v>16.381</x:v>
      </x:c>
      <x:c r="I682" s="38" t="n">
        <x:v>3.356</x:v>
      </x:c>
      <x:c r="J682" s="38" t="n">
        <x:v>1.877</x:v>
      </x:c>
      <x:c r="K682" s="38" t="n">
        <x:v>0.789</x:v>
      </x:c>
      <x:c r="L682" s="38" t="n">
        <x:f>SUM(G682:K682)</x:f>
        <x:v>74.02699999999999</x:v>
      </x:c>
      <x:c r="M682" s="38" t="n">
        <x:v>88.224</x:v>
      </x:c>
      <x:c r="N682" s="38" t="n">
        <x:v>584.26</x:v>
      </x:c>
      <x:c r="O682" s="38" t="n">
        <x:v>463.6</x:v>
      </x:c>
      <x:c r="P682" s="38" t="n">
        <x:v>669.9</x:v>
      </x:c>
      <x:c r="Q682" s="38" t="n">
        <x:v>19.88</x:v>
      </x:c>
      <x:c r="R682" s="38" t="n">
        <x:v>43.7475</x:v>
      </x:c>
      <x:c r="S682" s="38" t="n">
        <x:v>112.52</x:v>
      </x:c>
      <x:c r="T682" s="40" t="n">
        <x:v>19.63</x:v>
      </x:c>
      <x:c r="U682" s="40" t="n">
        <x:v>1.63</x:v>
      </x:c>
      <x:c r="V682" s="38" t="n">
        <x:f>L682*(1-T682/100)*(1-U682/100)</x:f>
        <x:v>58.525723251629984</x:v>
      </x:c>
      <x:c r="W682" s="38" t="n">
        <x:f>G682*N682</x:f>
        <x:v>30161.83824</x:v>
      </x:c>
      <x:c r="X682" s="38" t="n">
        <x:f>H682*O682</x:f>
        <x:v>7594.2316</x:v>
      </x:c>
      <x:c r="Y682" s="38" t="n">
        <x:f>I682*P682</x:f>
        <x:v>2248.1843999999996</x:v>
      </x:c>
      <x:c r="Z682" s="38" t="n">
        <x:f>J682*Q682+K682*P682</x:f>
        <x:v>565.86586</x:v>
      </x:c>
      <x:c r="AA682" s="38" t="n">
        <x:f>M682*R682</x:f>
        <x:v>3859.5794400000004</x:v>
      </x:c>
      <x:c r="AB682" s="38" t="n">
        <x:f>SUM(W682:AA682)</x:f>
        <x:v>44429.69954</x:v>
      </x:c>
      <x:c r="AC682" s="38" t="n">
        <x:v>4.13</x:v>
      </x:c>
      <x:c r="AD682" s="38" t="n">
        <x:v>174.33</x:v>
      </x:c>
      <x:c r="AE682" s="38" t="n">
        <x:v>24.01</x:v>
      </x:c>
      <x:c r="AF682" s="38" t="n">
        <x:v>4.8148</x:v>
      </x:c>
      <x:c r="AG682" s="38" t="n">
        <x:v>5.66</x:v>
      </x:c>
      <x:c r="AH682" s="38" t="n">
        <x:f>IF(E682="Fason",L682*S682,0)</x:f>
        <x:v>0</x:v>
      </x:c>
      <x:c r="AI682" s="38" t="n">
        <x:f>IF(E682="Kurum içi",AC682*AD682+AE682*AF682+AB682*12%,0)</x:f>
        <x:v>6167.1501928</x:v>
      </x:c>
      <x:c r="AJ682" s="38" t="n">
        <x:f>V682*AG682</x:f>
        <x:v>331.25559360422574</x:v>
      </x:c>
      <x:c r="AK682" s="38" t="n">
        <x:f>AB682*2%</x:f>
        <x:v>888.5939908</x:v>
      </x:c>
      <x:c r="AL682" s="38" t="n">
        <x:f>AB682+AH682+AI682+AJ682+AK682</x:f>
        <x:v>51816.69931720423</x:v>
      </x:c>
      <x:c r="AM682" s="38" t="n">
        <x:f>AL682/V682</x:f>
        <x:v>885.3662362175268</x:v>
      </x:c>
      <x:c r="AN682" s="40" t="n">
        <x:f>(W682+X682)/AL682*100</x:f>
        <x:v>72.86467555347393</x:v>
      </x:c>
      <x:c r="AO682" s="28" t="str">
        <x:v>R01-R20; ilgili satırdaki bölgesel fiyat ve maliyet varsayımları</x:v>
      </x:c>
      <x:c r="AP682" s="28" t="str">
        <x:v>Girdi miktarları, alım fiyatı değişimi, fason bedeli ve parti sonucu simüle edilmiştir; işletme kaydı değildir.</x:v>
      </x:c>
    </x:row>
    <x:row r="683" ht="22" customHeight="1">
      <x:c r="A683" t="str">
        <x:v>SUC-0682</x:v>
      </x:c>
      <x:c r="B683" s="36" t="n">
        <x:v>46302</x:v>
      </x:c>
      <x:c r="C683" t="str">
        <x:v>Akdeniz</x:v>
      </x:c>
      <x:c r="D683" t="str">
        <x:v>MEB_STANDART</x:v>
      </x:c>
      <x:c r="E683" t="str">
        <x:v>Kurum içi</x:v>
      </x:c>
      <x:c r="F683" s="42" t="str">
        <x:v>SENTETİK/SİMÜLE — gerçek parti kaydı değildir</x:v>
      </x:c>
      <x:c r="G683" s="38" t="n">
        <x:v>262.413</x:v>
      </x:c>
      <x:c r="H683" s="38" t="n">
        <x:v>83.856</x:v>
      </x:c>
      <x:c r="I683" s="38" t="n">
        <x:v>16.021</x:v>
      </x:c>
      <x:c r="J683" s="38" t="n">
        <x:v>9.395</x:v>
      </x:c>
      <x:c r="K683" s="38" t="n">
        <x:v>3.413</x:v>
      </x:c>
      <x:c r="L683" s="38" t="n">
        <x:f>SUM(G683:K683)</x:f>
        <x:v>375.098</x:v>
      </x:c>
      <x:c r="M683" s="38" t="n">
        <x:v>501.604</x:v>
      </x:c>
      <x:c r="N683" s="38" t="n">
        <x:v>580.34</x:v>
      </x:c>
      <x:c r="O683" s="38" t="n">
        <x:v>431.94</x:v>
      </x:c>
      <x:c r="P683" s="38" t="n">
        <x:v>400</x:v>
      </x:c>
      <x:c r="Q683" s="38" t="n">
        <x:v>19.88</x:v>
      </x:c>
      <x:c r="R683" s="38" t="n">
        <x:v>43.7475</x:v>
      </x:c>
      <x:c r="S683" s="38" t="n">
        <x:v>66.54</x:v>
      </x:c>
      <x:c r="T683" s="40" t="n">
        <x:v>19.23</x:v>
      </x:c>
      <x:c r="U683" s="40" t="n">
        <x:v>0.65</x:v>
      </x:c>
      <x:c r="V683" s="38" t="n">
        <x:f>L683*(1-T683/100)*(1-U683/100)</x:f>
        <x:v>300.9973713451</x:v>
      </x:c>
      <x:c r="W683" s="38" t="n">
        <x:f>G683*N683</x:f>
        <x:v>152288.76042</x:v>
      </x:c>
      <x:c r="X683" s="38" t="n">
        <x:f>H683*O683</x:f>
        <x:v>36220.76064</x:v>
      </x:c>
      <x:c r="Y683" s="38" t="n">
        <x:f>I683*P683</x:f>
        <x:v>6408.400000000001</x:v>
      </x:c>
      <x:c r="Z683" s="38" t="n">
        <x:f>J683*Q683+K683*P683</x:f>
        <x:v>1551.9725999999998</x:v>
      </x:c>
      <x:c r="AA683" s="38" t="n">
        <x:f>M683*R683</x:f>
        <x:v>21943.92099</x:v>
      </x:c>
      <x:c r="AB683" s="38" t="n">
        <x:f>SUM(W683:AA683)</x:f>
        <x:v>218413.81465000001</x:v>
      </x:c>
      <x:c r="AC683" s="38" t="n">
        <x:v>21.87</x:v>
      </x:c>
      <x:c r="AD683" s="38" t="n">
        <x:v>174.33</x:v>
      </x:c>
      <x:c r="AE683" s="38" t="n">
        <x:v>91.63</x:v>
      </x:c>
      <x:c r="AF683" s="38" t="n">
        <x:v>4.8148</x:v>
      </x:c>
      <x:c r="AG683" s="38" t="n">
        <x:v>5.59</x:v>
      </x:c>
      <x:c r="AH683" s="38" t="n">
        <x:f>IF(E683="Fason",L683*S683,0)</x:f>
        <x:v>0</x:v>
      </x:c>
      <x:c r="AI683" s="38" t="n">
        <x:f>IF(E683="Kurum içi",AC683*AD683+AE683*AF683+AB683*12%,0)</x:f>
        <x:v>30463.434982000002</x:v>
      </x:c>
      <x:c r="AJ683" s="38" t="n">
        <x:f>V683*AG683</x:f>
        <x:v>1682.575305819109</x:v>
      </x:c>
      <x:c r="AK683" s="38" t="n">
        <x:f>AB683*2%</x:f>
        <x:v>4368.276293000001</x:v>
      </x:c>
      <x:c r="AL683" s="38" t="n">
        <x:f>AB683+AH683+AI683+AJ683+AK683</x:f>
        <x:v>254928.10123081913</x:v>
      </x:c>
      <x:c r="AM683" s="38" t="n">
        <x:f>AL683/V683</x:f>
        <x:v>846.9446098203247</x:v>
      </x:c>
      <x:c r="AN683" s="40" t="n">
        <x:f>(W683+X683)/AL683*100</x:f>
        <x:v>73.94615193454807</x:v>
      </x:c>
      <x:c r="AO683" s="28" t="str">
        <x:v>R01-R20; ilgili satırdaki bölgesel fiyat ve maliyet varsayımları</x:v>
      </x:c>
      <x:c r="AP683" s="28" t="str">
        <x:v>Girdi miktarları, alım fiyatı değişimi, fason bedeli ve parti sonucu simüle edilmiştir; işletme kaydı değildir.</x:v>
      </x:c>
    </x:row>
    <x:row r="684" ht="22" customHeight="1">
      <x:c r="A684" t="str">
        <x:v>SUC-0683</x:v>
      </x:c>
      <x:c r="B684" s="36" t="n">
        <x:v>46316</x:v>
      </x:c>
      <x:c r="C684" t="str">
        <x:v>Marmara</x:v>
      </x:c>
      <x:c r="D684" t="str">
        <x:v>MEB_STANDART</x:v>
      </x:c>
      <x:c r="E684" t="str">
        <x:v>Kurum içi</x:v>
      </x:c>
      <x:c r="F684" s="42" t="str">
        <x:v>SENTETİK/SİMÜLE — gerçek parti kaydı değildir</x:v>
      </x:c>
      <x:c r="G684" s="38" t="n">
        <x:v>139.571</x:v>
      </x:c>
      <x:c r="H684" s="38" t="n">
        <x:v>42.089</x:v>
      </x:c>
      <x:c r="I684" s="38" t="n">
        <x:v>8.938</x:v>
      </x:c>
      <x:c r="J684" s="38" t="n">
        <x:v>4.938</x:v>
      </x:c>
      <x:c r="K684" s="38" t="n">
        <x:v>1.995</x:v>
      </x:c>
      <x:c r="L684" s="38" t="n">
        <x:f>SUM(G684:K684)</x:f>
        <x:v>197.53099999999998</x:v>
      </x:c>
      <x:c r="M684" s="38" t="n">
        <x:v>235.895</x:v>
      </x:c>
      <x:c r="N684" s="38" t="n">
        <x:v>615.66</x:v>
      </x:c>
      <x:c r="O684" s="38" t="n">
        <x:v>473.2</x:v>
      </x:c>
      <x:c r="P684" s="38" t="n">
        <x:v>400</x:v>
      </x:c>
      <x:c r="Q684" s="38" t="n">
        <x:v>19.88</x:v>
      </x:c>
      <x:c r="R684" s="38" t="n">
        <x:v>43.7475</x:v>
      </x:c>
      <x:c r="S684" s="38" t="n">
        <x:v>65.69</x:v>
      </x:c>
      <x:c r="T684" s="40" t="n">
        <x:v>17.88</x:v>
      </x:c>
      <x:c r="U684" s="40" t="n">
        <x:v>1.06</x:v>
      </x:c>
      <x:c r="V684" s="38" t="n">
        <x:f>L684*(1-T684/100)*(1-U684/100)</x:f>
        <x:v>160.49300515367997</x:v>
      </x:c>
      <x:c r="W684" s="38" t="n">
        <x:f>G684*N684</x:f>
        <x:v>85928.28185999999</x:v>
      </x:c>
      <x:c r="X684" s="38" t="n">
        <x:f>H684*O684</x:f>
        <x:v>19916.514799999997</x:v>
      </x:c>
      <x:c r="Y684" s="38" t="n">
        <x:f>I684*P684</x:f>
        <x:v>3575.2000000000003</x:v>
      </x:c>
      <x:c r="Z684" s="38" t="n">
        <x:f>J684*Q684+K684*P684</x:f>
        <x:v>896.1674399999999</x:v>
      </x:c>
      <x:c r="AA684" s="38" t="n">
        <x:f>M684*R684</x:f>
        <x:v>10319.816512500001</x:v>
      </x:c>
      <x:c r="AB684" s="38" t="n">
        <x:f>SUM(W684:AA684)</x:f>
        <x:v>120635.98061249999</x:v>
      </x:c>
      <x:c r="AC684" s="38" t="n">
        <x:v>7.35</x:v>
      </x:c>
      <x:c r="AD684" s="38" t="n">
        <x:v>174.33</x:v>
      </x:c>
      <x:c r="AE684" s="38" t="n">
        <x:v>48.84</x:v>
      </x:c>
      <x:c r="AF684" s="38" t="n">
        <x:v>4.8148</x:v>
      </x:c>
      <x:c r="AG684" s="38" t="n">
        <x:v>5.67</x:v>
      </x:c>
      <x:c r="AH684" s="38" t="n">
        <x:f>IF(E684="Fason",L684*S684,0)</x:f>
        <x:v>0</x:v>
      </x:c>
      <x:c r="AI684" s="38" t="n">
        <x:f>IF(E684="Kurum içi",AC684*AD684+AE684*AF684+AB684*12%,0)</x:f>
        <x:v>15992.798005499997</x:v>
      </x:c>
      <x:c r="AJ684" s="38" t="n">
        <x:f>V684*AG684</x:f>
        <x:v>909.9953392213654</x:v>
      </x:c>
      <x:c r="AK684" s="38" t="n">
        <x:f>AB684*2%</x:f>
        <x:v>2412.71961225</x:v>
      </x:c>
      <x:c r="AL684" s="38" t="n">
        <x:f>AB684+AH684+AI684+AJ684+AK684</x:f>
        <x:v>139951.49356947135</x:v>
      </x:c>
      <x:c r="AM684" s="38" t="n">
        <x:f>AL684/V684</x:f>
        <x:v>872.0099261364126</x:v>
      </x:c>
      <x:c r="AN684" s="40" t="n">
        <x:f>(W684+X684)/AL684*100</x:f>
        <x:v>75.62962992421303</x:v>
      </x:c>
      <x:c r="AO684" s="28" t="str">
        <x:v>R01-R20; ilgili satırdaki bölgesel fiyat ve maliyet varsayımları</x:v>
      </x:c>
      <x:c r="AP684" s="28" t="str">
        <x:v>Girdi miktarları, alım fiyatı değişimi, fason bedeli ve parti sonucu simüle edilmiştir; işletme kaydı değildir.</x:v>
      </x:c>
    </x:row>
    <x:row r="685" ht="22" customHeight="1">
      <x:c r="A685" t="str">
        <x:v>SUC-0684</x:v>
      </x:c>
      <x:c r="B685" s="36" t="n">
        <x:v>46287</x:v>
      </x:c>
      <x:c r="C685" t="str">
        <x:v>Güneydoğu Anadolu</x:v>
      </x:c>
      <x:c r="D685" t="str">
        <x:v>MEB_STANDART</x:v>
      </x:c>
      <x:c r="E685" t="str">
        <x:v>Kurum içi</x:v>
      </x:c>
      <x:c r="F685" s="42" t="str">
        <x:v>SENTETİK/SİMÜLE — gerçek parti kaydı değildir</x:v>
      </x:c>
      <x:c r="G685" s="38" t="n">
        <x:v>177.666</x:v>
      </x:c>
      <x:c r="H685" s="38" t="n">
        <x:v>54.412</x:v>
      </x:c>
      <x:c r="I685" s="38" t="n">
        <x:v>11.358</x:v>
      </x:c>
      <x:c r="J685" s="38" t="n">
        <x:v>6.204</x:v>
      </x:c>
      <x:c r="K685" s="38" t="n">
        <x:v>2.824</x:v>
      </x:c>
      <x:c r="L685" s="38" t="n">
        <x:f>SUM(G685:K685)</x:f>
        <x:v>252.46400000000003</x:v>
      </x:c>
      <x:c r="M685" s="38" t="n">
        <x:v>311.216</x:v>
      </x:c>
      <x:c r="N685" s="38" t="n">
        <x:v>574.26</x:v>
      </x:c>
      <x:c r="O685" s="38" t="n">
        <x:v>411.56</x:v>
      </x:c>
      <x:c r="P685" s="38" t="n">
        <x:v>669.9</x:v>
      </x:c>
      <x:c r="Q685" s="38" t="n">
        <x:v>19.88</x:v>
      </x:c>
      <x:c r="R685" s="38" t="n">
        <x:v>43.7475</x:v>
      </x:c>
      <x:c r="S685" s="38" t="n">
        <x:v>77.4</x:v>
      </x:c>
      <x:c r="T685" s="40" t="n">
        <x:v>25.87</x:v>
      </x:c>
      <x:c r="U685" s="40" t="n">
        <x:v>0.4</x:v>
      </x:c>
      <x:c r="V685" s="38" t="n">
        <x:f>L685*(1-T685/100)*(1-U685/100)</x:f>
        <x:v>186.40295694720004</x:v>
      </x:c>
      <x:c r="W685" s="38" t="n">
        <x:f>G685*N685</x:f>
        <x:v>102026.47716</x:v>
      </x:c>
      <x:c r="X685" s="38" t="n">
        <x:f>H685*O685</x:f>
        <x:v>22393.80272</x:v>
      </x:c>
      <x:c r="Y685" s="38" t="n">
        <x:f>I685*P685</x:f>
        <x:v>7608.7242</x:v>
      </x:c>
      <x:c r="Z685" s="38" t="n">
        <x:f>J685*Q685+K685*P685</x:f>
        <x:v>2015.13312</x:v>
      </x:c>
      <x:c r="AA685" s="38" t="n">
        <x:f>M685*R685</x:f>
        <x:v>13614.921960000001</x:v>
      </x:c>
      <x:c r="AB685" s="38" t="n">
        <x:f>SUM(W685:AA685)</x:f>
        <x:v>147659.05916</x:v>
      </x:c>
      <x:c r="AC685" s="38" t="n">
        <x:v>12.56</x:v>
      </x:c>
      <x:c r="AD685" s="38" t="n">
        <x:v>174.33</x:v>
      </x:c>
      <x:c r="AE685" s="38" t="n">
        <x:v>80.13</x:v>
      </x:c>
      <x:c r="AF685" s="38" t="n">
        <x:v>4.8148</x:v>
      </x:c>
      <x:c r="AG685" s="38" t="n">
        <x:v>5.67</x:v>
      </x:c>
      <x:c r="AH685" s="38" t="n">
        <x:f>IF(E685="Fason",L685*S685,0)</x:f>
        <x:v>0</x:v>
      </x:c>
      <x:c r="AI685" s="38" t="n">
        <x:f>IF(E685="Kurum içi",AC685*AD685+AE685*AF685+AB685*12%,0)</x:f>
        <x:v>20294.4818232</x:v>
      </x:c>
      <x:c r="AJ685" s="38" t="n">
        <x:f>V685*AG685</x:f>
        <x:v>1056.9047658906243</x:v>
      </x:c>
      <x:c r="AK685" s="38" t="n">
        <x:f>AB685*2%</x:f>
        <x:v>2953.1811832000003</x:v>
      </x:c>
      <x:c r="AL685" s="38" t="n">
        <x:f>AB685+AH685+AI685+AJ685+AK685</x:f>
        <x:v>171963.62693229064</x:v>
      </x:c>
      <x:c r="AM685" s="38" t="n">
        <x:f>AL685/V685</x:f>
        <x:v>922.5370120121032</x:v>
      </x:c>
      <x:c r="AN685" s="40" t="n">
        <x:f>(W685+X685)/AL685*100</x:f>
        <x:v>72.35267253870467</x:v>
      </x:c>
      <x:c r="AO685" s="28" t="str">
        <x:v>R01-R20; ilgili satırdaki bölgesel fiyat ve maliyet varsayımları</x:v>
      </x:c>
      <x:c r="AP685" s="28" t="str">
        <x:v>Girdi miktarları, alım fiyatı değişimi, fason bedeli ve parti sonucu simüle edilmiştir; işletme kaydı değildir.</x:v>
      </x:c>
    </x:row>
    <x:row r="686" ht="22" customHeight="1">
      <x:c r="A686" t="str">
        <x:v>SUC-0685</x:v>
      </x:c>
      <x:c r="B686" s="36" t="n">
        <x:v>46280</x:v>
      </x:c>
      <x:c r="C686" t="str">
        <x:v>Ege</x:v>
      </x:c>
      <x:c r="D686" t="str">
        <x:v>MEB_STANDART</x:v>
      </x:c>
      <x:c r="E686" t="str">
        <x:v>Fason</x:v>
      </x:c>
      <x:c r="F686" s="42" t="str">
        <x:v>SENTETİK/SİMÜLE — gerçek parti kaydı değildir</x:v>
      </x:c>
      <x:c r="G686" s="38" t="n">
        <x:v>348.167</x:v>
      </x:c>
      <x:c r="H686" s="38" t="n">
        <x:v>105.837</x:v>
      </x:c>
      <x:c r="I686" s="38" t="n">
        <x:v>23.508</x:v>
      </x:c>
      <x:c r="J686" s="38" t="n">
        <x:v>13.125</x:v>
      </x:c>
      <x:c r="K686" s="38" t="n">
        <x:v>4.569</x:v>
      </x:c>
      <x:c r="L686" s="38" t="n">
        <x:f>SUM(G686:K686)</x:f>
        <x:v>495.20599999999996</x:v>
      </x:c>
      <x:c r="M686" s="38" t="n">
        <x:v>634.643</x:v>
      </x:c>
      <x:c r="N686" s="38" t="n">
        <x:v>605.4</x:v>
      </x:c>
      <x:c r="O686" s="38" t="n">
        <x:v>431.98</x:v>
      </x:c>
      <x:c r="P686" s="38" t="n">
        <x:v>669.9</x:v>
      </x:c>
      <x:c r="Q686" s="38" t="n">
        <x:v>19.88</x:v>
      </x:c>
      <x:c r="R686" s="38" t="n">
        <x:v>43.7475</x:v>
      </x:c>
      <x:c r="S686" s="38" t="n">
        <x:v>111.01</x:v>
      </x:c>
      <x:c r="T686" s="40" t="n">
        <x:v>33.58</x:v>
      </x:c>
      <x:c r="U686" s="40" t="n">
        <x:v>0.43</x:v>
      </x:c>
      <x:c r="V686" s="38" t="n">
        <x:f>L686*(1-T686/100)*(1-U686/100)</x:f>
        <x:v>327.50148715164</x:v>
      </x:c>
      <x:c r="W686" s="38" t="n">
        <x:f>G686*N686</x:f>
        <x:v>210780.3018</x:v>
      </x:c>
      <x:c r="X686" s="38" t="n">
        <x:f>H686*O686</x:f>
        <x:v>45719.467260000005</x:v>
      </x:c>
      <x:c r="Y686" s="38" t="n">
        <x:f>I686*P686</x:f>
        <x:v>15748.009199999999</x:v>
      </x:c>
      <x:c r="Z686" s="38" t="n">
        <x:f>J686*Q686+K686*P686</x:f>
        <x:v>3321.6981</x:v>
      </x:c>
      <x:c r="AA686" s="38" t="n">
        <x:f>M686*R686</x:f>
        <x:v>27764.0446425</x:v>
      </x:c>
      <x:c r="AB686" s="38" t="n">
        <x:f>SUM(W686:AA686)</x:f>
        <x:v>303333.52100249997</x:v>
      </x:c>
      <x:c r="AC686" s="38" t="n">
        <x:v>34.39</x:v>
      </x:c>
      <x:c r="AD686" s="38" t="n">
        <x:v>174.33</x:v>
      </x:c>
      <x:c r="AE686" s="38" t="n">
        <x:v>162.25</x:v>
      </x:c>
      <x:c r="AF686" s="38" t="n">
        <x:v>4.8148</x:v>
      </x:c>
      <x:c r="AG686" s="38" t="n">
        <x:v>5.24</x:v>
      </x:c>
      <x:c r="AH686" s="38" t="n">
        <x:f>IF(E686="Fason",L686*S686,0)</x:f>
        <x:v>54972.81806</x:v>
      </x:c>
      <x:c r="AI686" s="38" t="n">
        <x:f>IF(E686="Kurum içi",AC686*AD686+AE686*AF686+AB686*12%,0)</x:f>
        <x:v>0</x:v>
      </x:c>
      <x:c r="AJ686" s="38" t="n">
        <x:f>V686*AG686</x:f>
        <x:v>1716.1077926745936</x:v>
      </x:c>
      <x:c r="AK686" s="38" t="n">
        <x:f>AB686*2%</x:f>
        <x:v>6066.67042005</x:v>
      </x:c>
      <x:c r="AL686" s="38" t="n">
        <x:f>AB686+AH686+AI686+AJ686+AK686</x:f>
        <x:v>366089.1172752246</x:v>
      </x:c>
      <x:c r="AM686" s="38" t="n">
        <x:f>AL686/V686</x:f>
        <x:v>1117.8242897740422</x:v>
      </x:c>
      <x:c r="AN686" s="40" t="n">
        <x:f>(W686+X686)/AL686*100</x:f>
        <x:v>70.06484403827943</x:v>
      </x:c>
      <x:c r="AO686" s="28" t="str">
        <x:v>R01-R20; ilgili satırdaki bölgesel fiyat ve maliyet varsayımları</x:v>
      </x:c>
      <x:c r="AP686" s="28" t="str">
        <x:v>Girdi miktarları, alım fiyatı değişimi, fason bedeli ve parti sonucu simüle edilmiştir; işletme kaydı değildir.</x:v>
      </x:c>
    </x:row>
    <x:row r="687" ht="22" customHeight="1">
      <x:c r="A687" t="str">
        <x:v>SUC-0686</x:v>
      </x:c>
      <x:c r="B687" s="36" t="n">
        <x:v>46307</x:v>
      </x:c>
      <x:c r="C687" t="str">
        <x:v>Ege</x:v>
      </x:c>
      <x:c r="D687" t="str">
        <x:v>MEB_STANDART</x:v>
      </x:c>
      <x:c r="E687" t="str">
        <x:v>Fason</x:v>
      </x:c>
      <x:c r="F687" s="42" t="str">
        <x:v>SENTETİK/SİMÜLE — gerçek parti kaydı değildir</x:v>
      </x:c>
      <x:c r="G687" s="38" t="n">
        <x:v>49.936</x:v>
      </x:c>
      <x:c r="H687" s="38" t="n">
        <x:v>16.148</x:v>
      </x:c>
      <x:c r="I687" s="38" t="n">
        <x:v>3.254</x:v>
      </x:c>
      <x:c r="J687" s="38" t="n">
        <x:v>1.851</x:v>
      </x:c>
      <x:c r="K687" s="38" t="n">
        <x:v>0.732</x:v>
      </x:c>
      <x:c r="L687" s="38" t="n">
        <x:f>SUM(G687:K687)</x:f>
        <x:v>71.921</x:v>
      </x:c>
      <x:c r="M687" s="38" t="n">
        <x:v>83.446</x:v>
      </x:c>
      <x:c r="N687" s="38" t="n">
        <x:v>583.57</x:v>
      </x:c>
      <x:c r="O687" s="38" t="n">
        <x:v>423.53</x:v>
      </x:c>
      <x:c r="P687" s="38" t="n">
        <x:v>550</x:v>
      </x:c>
      <x:c r="Q687" s="38" t="n">
        <x:v>19.88</x:v>
      </x:c>
      <x:c r="R687" s="38" t="n">
        <x:v>43.7475</x:v>
      </x:c>
      <x:c r="S687" s="38" t="n">
        <x:v>89.86</x:v>
      </x:c>
      <x:c r="T687" s="40" t="n">
        <x:v>21.21</x:v>
      </x:c>
      <x:c r="U687" s="40" t="n">
        <x:v>1.52</x:v>
      </x:c>
      <x:c r="V687" s="38" t="n">
        <x:f>L687*(1-T687/100)*(1-U687/100)</x:f>
        <x:v>55.80522425032001</x:v>
      </x:c>
      <x:c r="W687" s="38" t="n">
        <x:f>G687*N687</x:f>
        <x:v>29141.151520000003</x:v>
      </x:c>
      <x:c r="X687" s="38" t="n">
        <x:f>H687*O687</x:f>
        <x:v>6839.162439999999</x:v>
      </x:c>
      <x:c r="Y687" s="38" t="n">
        <x:f>I687*P687</x:f>
        <x:v>1789.7</x:v>
      </x:c>
      <x:c r="Z687" s="38" t="n">
        <x:f>J687*Q687+K687*P687</x:f>
        <x:v>439.39788</x:v>
      </x:c>
      <x:c r="AA687" s="38" t="n">
        <x:f>M687*R687</x:f>
        <x:v>3650.5538850000003</x:v>
      </x:c>
      <x:c r="AB687" s="38" t="n">
        <x:f>SUM(W687:AA687)</x:f>
        <x:v>41859.965724999995</x:v>
      </x:c>
      <x:c r="AC687" s="38" t="n">
        <x:v>3.45</x:v>
      </x:c>
      <x:c r="AD687" s="38" t="n">
        <x:v>174.33</x:v>
      </x:c>
      <x:c r="AE687" s="38" t="n">
        <x:v>31.27</x:v>
      </x:c>
      <x:c r="AF687" s="38" t="n">
        <x:v>4.8148</x:v>
      </x:c>
      <x:c r="AG687" s="38" t="n">
        <x:v>5.2</x:v>
      </x:c>
      <x:c r="AH687" s="38" t="n">
        <x:f>IF(E687="Fason",L687*S687,0)</x:f>
        <x:v>6462.82106</x:v>
      </x:c>
      <x:c r="AI687" s="38" t="n">
        <x:f>IF(E687="Kurum içi",AC687*AD687+AE687*AF687+AB687*12%,0)</x:f>
        <x:v>0</x:v>
      </x:c>
      <x:c r="AJ687" s="38" t="n">
        <x:f>V687*AG687</x:f>
        <x:v>290.18716610166405</x:v>
      </x:c>
      <x:c r="AK687" s="38" t="n">
        <x:f>AB687*2%</x:f>
        <x:v>837.1993144999999</x:v>
      </x:c>
      <x:c r="AL687" s="38" t="n">
        <x:f>AB687+AH687+AI687+AJ687+AK687</x:f>
        <x:v>49450.17326560166</x:v>
      </x:c>
      <x:c r="AM687" s="38" t="n">
        <x:f>AL687/V687</x:f>
        <x:v>886.1208592906621</x:v>
      </x:c>
      <x:c r="AN687" s="40" t="n">
        <x:f>(W687+X687)/AL687*100</x:f>
        <x:v>72.76074396493264</x:v>
      </x:c>
      <x:c r="AO687" s="28" t="str">
        <x:v>R01-R20; ilgili satırdaki bölgesel fiyat ve maliyet varsayımları</x:v>
      </x:c>
      <x:c r="AP687" s="28" t="str">
        <x:v>Girdi miktarları, alım fiyatı değişimi, fason bedeli ve parti sonucu simüle edilmiştir; işletme kaydı değildir.</x:v>
      </x:c>
    </x:row>
    <x:row r="688" ht="22" customHeight="1">
      <x:c r="A688" t="str">
        <x:v>SUC-0687</x:v>
      </x:c>
      <x:c r="B688" s="36" t="n">
        <x:v>46293</x:v>
      </x:c>
      <x:c r="C688" t="str">
        <x:v>Akdeniz</x:v>
      </x:c>
      <x:c r="D688" t="str">
        <x:v>ERZURUM_CI</x:v>
      </x:c>
      <x:c r="E688" t="str">
        <x:v>Kurum içi</x:v>
      </x:c>
      <x:c r="F688" s="42" t="str">
        <x:v>SENTETİK/SİMÜLE — gerçek parti kaydı değildir</x:v>
      </x:c>
      <x:c r="G688" s="38" t="n">
        <x:v>107.014</x:v>
      </x:c>
      <x:c r="H688" s="38" t="n">
        <x:v>19.071</x:v>
      </x:c>
      <x:c r="I688" s="38" t="n">
        <x:v>5.88</x:v>
      </x:c>
      <x:c r="J688" s="38" t="n">
        <x:v>2.053</x:v>
      </x:c>
      <x:c r="K688" s="38" t="n">
        <x:v>0.013</x:v>
      </x:c>
      <x:c r="L688" s="38" t="n">
        <x:f>SUM(G688:K688)</x:f>
        <x:v>134.031</x:v>
      </x:c>
      <x:c r="M688" s="38" t="n">
        <x:v>172.101</x:v>
      </x:c>
      <x:c r="N688" s="38" t="n">
        <x:v>589.86</x:v>
      </x:c>
      <x:c r="O688" s="38" t="n">
        <x:v>411.71</x:v>
      </x:c>
      <x:c r="P688" s="38" t="n">
        <x:v>550</x:v>
      </x:c>
      <x:c r="Q688" s="38" t="n">
        <x:v>19.88</x:v>
      </x:c>
      <x:c r="R688" s="38" t="n">
        <x:v>43.7475</x:v>
      </x:c>
      <x:c r="S688" s="38" t="n">
        <x:v>72.38</x:v>
      </x:c>
      <x:c r="T688" s="40" t="n">
        <x:v>18.77</x:v>
      </x:c>
      <x:c r="U688" s="40" t="n">
        <x:v>0.45</x:v>
      </x:c>
      <x:c r="V688" s="38" t="n">
        <x:f>L688*(1-T688/100)*(1-U688/100)</x:f>
        <x:v>108.38345108415001</x:v>
      </x:c>
      <x:c r="W688" s="38" t="n">
        <x:f>G688*N688</x:f>
        <x:v>63123.27804</x:v>
      </x:c>
      <x:c r="X688" s="38" t="n">
        <x:f>H688*O688</x:f>
        <x:v>7851.72141</x:v>
      </x:c>
      <x:c r="Y688" s="38" t="n">
        <x:f>I688*P688</x:f>
        <x:v>3234</x:v>
      </x:c>
      <x:c r="Z688" s="38" t="n">
        <x:f>J688*Q688+K688*P688</x:f>
        <x:v>47.96364</x:v>
      </x:c>
      <x:c r="AA688" s="38" t="n">
        <x:f>M688*R688</x:f>
        <x:v>7528.9884975</x:v>
      </x:c>
      <x:c r="AB688" s="38" t="n">
        <x:f>SUM(W688:AA688)</x:f>
        <x:v>81785.9515875</x:v>
      </x:c>
      <x:c r="AC688" s="38" t="n">
        <x:v>8.28</x:v>
      </x:c>
      <x:c r="AD688" s="38" t="n">
        <x:v>174.33</x:v>
      </x:c>
      <x:c r="AE688" s="38" t="n">
        <x:v>50.08</x:v>
      </x:c>
      <x:c r="AF688" s="38" t="n">
        <x:v>4.8148</x:v>
      </x:c>
      <x:c r="AG688" s="38" t="n">
        <x:v>5.27</x:v>
      </x:c>
      <x:c r="AH688" s="38" t="n">
        <x:f>IF(E688="Fason",L688*S688,0)</x:f>
        <x:v>0</x:v>
      </x:c>
      <x:c r="AI688" s="38" t="n">
        <x:f>IF(E688="Kurum içi",AC688*AD688+AE688*AF688+AB688*12%,0)</x:f>
        <x:v>11498.891774500002</x:v>
      </x:c>
      <x:c r="AJ688" s="38" t="n">
        <x:f>V688*AG688</x:f>
        <x:v>571.1807872134705</x:v>
      </x:c>
      <x:c r="AK688" s="38" t="n">
        <x:f>AB688*2%</x:f>
        <x:v>1635.71903175</x:v>
      </x:c>
      <x:c r="AL688" s="38" t="n">
        <x:f>AB688+AH688+AI688+AJ688+AK688</x:f>
        <x:v>95491.74318096349</x:v>
      </x:c>
      <x:c r="AM688" s="38" t="n">
        <x:f>AL688/V688</x:f>
        <x:v>881.054646496011</x:v>
      </x:c>
      <x:c r="AN688" s="40" t="n">
        <x:f>(W688+X688)/AL688*100</x:f>
        <x:v>74.32579727390404</x:v>
      </x:c>
      <x:c r="AO688" s="28" t="str">
        <x:v>R01-R20; ilgili satırdaki bölgesel fiyat ve maliyet varsayımları</x:v>
      </x:c>
      <x:c r="AP688" s="28" t="str">
        <x:v>Girdi miktarları, alım fiyatı değişimi, fason bedeli ve parti sonucu simüle edilmiştir; işletme kaydı değildir.</x:v>
      </x:c>
    </x:row>
    <x:row r="689" ht="22" customHeight="1">
      <x:c r="A689" t="str">
        <x:v>SUC-0688</x:v>
      </x:c>
      <x:c r="B689" s="36" t="n">
        <x:v>46289</x:v>
      </x:c>
      <x:c r="C689" t="str">
        <x:v>Akdeniz</x:v>
      </x:c>
      <x:c r="D689" t="str">
        <x:v>ERZURUM_CI</x:v>
      </x:c>
      <x:c r="E689" t="str">
        <x:v>Kurum içi</x:v>
      </x:c>
      <x:c r="F689" s="42" t="str">
        <x:v>SENTETİK/SİMÜLE — gerçek parti kaydı değildir</x:v>
      </x:c>
      <x:c r="G689" s="38" t="n">
        <x:v>330.625</x:v>
      </x:c>
      <x:c r="H689" s="38" t="n">
        <x:v>60.36</x:v>
      </x:c>
      <x:c r="I689" s="38" t="n">
        <x:v>19.802</x:v>
      </x:c>
      <x:c r="J689" s="38" t="n">
        <x:v>7.323</x:v>
      </x:c>
      <x:c r="K689" s="38" t="n">
        <x:v>0.604</x:v>
      </x:c>
      <x:c r="L689" s="38" t="n">
        <x:f>SUM(G689:K689)</x:f>
        <x:v>418.714</x:v>
      </x:c>
      <x:c r="M689" s="38" t="n">
        <x:v>481.564</x:v>
      </x:c>
      <x:c r="N689" s="38" t="n">
        <x:v>604.56</x:v>
      </x:c>
      <x:c r="O689" s="38" t="n">
        <x:v>482.59</x:v>
      </x:c>
      <x:c r="P689" s="38" t="n">
        <x:v>400</x:v>
      </x:c>
      <x:c r="Q689" s="38" t="n">
        <x:v>19.88</x:v>
      </x:c>
      <x:c r="R689" s="38" t="n">
        <x:v>43.7475</x:v>
      </x:c>
      <x:c r="S689" s="38" t="n">
        <x:v>79.85</x:v>
      </x:c>
      <x:c r="T689" s="40" t="n">
        <x:v>17.18</x:v>
      </x:c>
      <x:c r="U689" s="40" t="n">
        <x:v>0.65</x:v>
      </x:c>
      <x:c r="V689" s="38" t="n">
        <x:f>L689*(1-T689/100)*(1-U689/100)</x:f>
        <x:v>344.5248717238</x:v>
      </x:c>
      <x:c r="W689" s="38" t="n">
        <x:f>G689*N689</x:f>
        <x:v>199882.65</x:v>
      </x:c>
      <x:c r="X689" s="38" t="n">
        <x:f>H689*O689</x:f>
        <x:v>29129.1324</x:v>
      </x:c>
      <x:c r="Y689" s="38" t="n">
        <x:f>I689*P689</x:f>
        <x:v>7920.8</x:v>
      </x:c>
      <x:c r="Z689" s="38" t="n">
        <x:f>J689*Q689+K689*P689</x:f>
        <x:v>387.18124</x:v>
      </x:c>
      <x:c r="AA689" s="38" t="n">
        <x:f>M689*R689</x:f>
        <x:v>21067.221090000003</x:v>
      </x:c>
      <x:c r="AB689" s="38" t="n">
        <x:f>SUM(W689:AA689)</x:f>
        <x:v>258386.98473</x:v>
      </x:c>
      <x:c r="AC689" s="38" t="n">
        <x:v>16</x:v>
      </x:c>
      <x:c r="AD689" s="38" t="n">
        <x:v>174.33</x:v>
      </x:c>
      <x:c r="AE689" s="38" t="n">
        <x:v>144.62</x:v>
      </x:c>
      <x:c r="AF689" s="38" t="n">
        <x:v>4.8148</x:v>
      </x:c>
      <x:c r="AG689" s="38" t="n">
        <x:v>5.38</x:v>
      </x:c>
      <x:c r="AH689" s="38" t="n">
        <x:f>IF(E689="Fason",L689*S689,0)</x:f>
        <x:v>0</x:v>
      </x:c>
      <x:c r="AI689" s="38" t="n">
        <x:f>IF(E689="Kurum içi",AC689*AD689+AE689*AF689+AB689*12%,0)</x:f>
        <x:v>34492.0345436</x:v>
      </x:c>
      <x:c r="AJ689" s="38" t="n">
        <x:f>V689*AG689</x:f>
        <x:v>1853.543809874044</x:v>
      </x:c>
      <x:c r="AK689" s="38" t="n">
        <x:f>AB689*2%</x:f>
        <x:v>5167.7396946</x:v>
      </x:c>
      <x:c r="AL689" s="38" t="n">
        <x:f>AB689+AH689+AI689+AJ689+AK689</x:f>
        <x:v>299900.30277807405</x:v>
      </x:c>
      <x:c r="AM689" s="38" t="n">
        <x:f>AL689/V689</x:f>
        <x:v>870.4750437248526</x:v>
      </x:c>
      <x:c r="AN689" s="40" t="n">
        <x:f>(W689+X689)/AL689*100</x:f>
        <x:v>76.36263794287281</x:v>
      </x:c>
      <x:c r="AO689" s="28" t="str">
        <x:v>R01-R20; ilgili satırdaki bölgesel fiyat ve maliyet varsayımları</x:v>
      </x:c>
      <x:c r="AP689" s="28" t="str">
        <x:v>Girdi miktarları, alım fiyatı değişimi, fason bedeli ve parti sonucu simüle edilmiştir; işletme kaydı değildir.</x:v>
      </x:c>
    </x:row>
    <x:row r="690" ht="22" customHeight="1">
      <x:c r="A690" t="str">
        <x:v>SUC-0689</x:v>
      </x:c>
      <x:c r="B690" s="36" t="n">
        <x:v>46308</x:v>
      </x:c>
      <x:c r="C690" t="str">
        <x:v>Güneydoğu Anadolu</x:v>
      </x:c>
      <x:c r="D690" t="str">
        <x:v>ERZURUM_CI</x:v>
      </x:c>
      <x:c r="E690" t="str">
        <x:v>Kurum içi</x:v>
      </x:c>
      <x:c r="F690" s="42" t="str">
        <x:v>SENTETİK/SİMÜLE — gerçek parti kaydı değildir</x:v>
      </x:c>
      <x:c r="G690" s="38" t="n">
        <x:v>263.032</x:v>
      </x:c>
      <x:c r="H690" s="38" t="n">
        <x:v>46.108</x:v>
      </x:c>
      <x:c r="I690" s="38" t="n">
        <x:v>15.552</x:v>
      </x:c>
      <x:c r="J690" s="38" t="n">
        <x:v>5.559</x:v>
      </x:c>
      <x:c r="K690" s="38" t="n">
        <x:v>0.347</x:v>
      </x:c>
      <x:c r="L690" s="38" t="n">
        <x:f>SUM(G690:K690)</x:f>
        <x:v>330.598</x:v>
      </x:c>
      <x:c r="M690" s="38" t="n">
        <x:v>423.341</x:v>
      </x:c>
      <x:c r="N690" s="38" t="n">
        <x:v>599.45</x:v>
      </x:c>
      <x:c r="O690" s="38" t="n">
        <x:v>481.81</x:v>
      </x:c>
      <x:c r="P690" s="38" t="n">
        <x:v>550</x:v>
      </x:c>
      <x:c r="Q690" s="38" t="n">
        <x:v>19.88</x:v>
      </x:c>
      <x:c r="R690" s="38" t="n">
        <x:v>43.7475</x:v>
      </x:c>
      <x:c r="S690" s="38" t="n">
        <x:v>120.59</x:v>
      </x:c>
      <x:c r="T690" s="40" t="n">
        <x:v>16.07</x:v>
      </x:c>
      <x:c r="U690" s="40" t="n">
        <x:v>0.67</x:v>
      </x:c>
      <x:c r="V690" s="38" t="n">
        <x:f>L690*(1-T690/100)*(1-U690/100)</x:f>
        <x:v>275.61184636062</x:v>
      </x:c>
      <x:c r="W690" s="38" t="n">
        <x:f>G690*N690</x:f>
        <x:v>157674.5324</x:v>
      </x:c>
      <x:c r="X690" s="38" t="n">
        <x:f>H690*O690</x:f>
        <x:v>22215.295479999997</x:v>
      </x:c>
      <x:c r="Y690" s="38" t="n">
        <x:f>I690*P690</x:f>
        <x:v>8553.6</x:v>
      </x:c>
      <x:c r="Z690" s="38" t="n">
        <x:f>J690*Q690+K690*P690</x:f>
        <x:v>301.36292</x:v>
      </x:c>
      <x:c r="AA690" s="38" t="n">
        <x:f>M690*R690</x:f>
        <x:v>18520.1103975</x:v>
      </x:c>
      <x:c r="AB690" s="38" t="n">
        <x:f>SUM(W690:AA690)</x:f>
        <x:v>207264.9011975</x:v>
      </x:c>
      <x:c r="AC690" s="38" t="n">
        <x:v>18.05</x:v>
      </x:c>
      <x:c r="AD690" s="38" t="n">
        <x:v>174.33</x:v>
      </x:c>
      <x:c r="AE690" s="38" t="n">
        <x:v>150.91</x:v>
      </x:c>
      <x:c r="AF690" s="38" t="n">
        <x:v>4.8148</x:v>
      </x:c>
      <x:c r="AG690" s="38" t="n">
        <x:v>5.86</x:v>
      </x:c>
      <x:c r="AH690" s="38" t="n">
        <x:f>IF(E690="Fason",L690*S690,0)</x:f>
        <x:v>0</x:v>
      </x:c>
      <x:c r="AI690" s="38" t="n">
        <x:f>IF(E690="Kurum içi",AC690*AD690+AE690*AF690+AB690*12%,0)</x:f>
        <x:v>28745.0461117</x:v>
      </x:c>
      <x:c r="AJ690" s="38" t="n">
        <x:f>V690*AG690</x:f>
        <x:v>1615.0854196732332</x:v>
      </x:c>
      <x:c r="AK690" s="38" t="n">
        <x:f>AB690*2%</x:f>
        <x:v>4145.29802395</x:v>
      </x:c>
      <x:c r="AL690" s="38" t="n">
        <x:f>AB690+AH690+AI690+AJ690+AK690</x:f>
        <x:v>241770.33075282324</x:v>
      </x:c>
      <x:c r="AM690" s="38" t="n">
        <x:f>AL690/V690</x:f>
        <x:v>877.2131312399491</x:v>
      </x:c>
      <x:c r="AN690" s="40" t="n">
        <x:f>(W690+X690)/AL690*100</x:f>
        <x:v>74.40525366361537</x:v>
      </x:c>
      <x:c r="AO690" s="28" t="str">
        <x:v>R01-R20; ilgili satırdaki bölgesel fiyat ve maliyet varsayımları</x:v>
      </x:c>
      <x:c r="AP690" s="28" t="str">
        <x:v>Girdi miktarları, alım fiyatı değişimi, fason bedeli ve parti sonucu simüle edilmiştir; işletme kaydı değildir.</x:v>
      </x:c>
    </x:row>
    <x:row r="691" ht="22" customHeight="1">
      <x:c r="A691" t="str">
        <x:v>SUC-0690</x:v>
      </x:c>
      <x:c r="B691" s="36" t="n">
        <x:v>46298</x:v>
      </x:c>
      <x:c r="C691" t="str">
        <x:v>Marmara</x:v>
      </x:c>
      <x:c r="D691" t="str">
        <x:v>ERZURUM_CI</x:v>
      </x:c>
      <x:c r="E691" t="str">
        <x:v>Kurum içi</x:v>
      </x:c>
      <x:c r="F691" s="42" t="str">
        <x:v>SENTETİK/SİMÜLE — gerçek parti kaydı değildir</x:v>
      </x:c>
      <x:c r="G691" s="38" t="n">
        <x:v>283.899</x:v>
      </x:c>
      <x:c r="H691" s="38" t="n">
        <x:v>47.196</x:v>
      </x:c>
      <x:c r="I691" s="38" t="n">
        <x:v>16.436</x:v>
      </x:c>
      <x:c r="J691" s="38" t="n">
        <x:v>5.171</x:v>
      </x:c>
      <x:c r="K691" s="38" t="n">
        <x:v>0.466</x:v>
      </x:c>
      <x:c r="L691" s="38" t="n">
        <x:f>SUM(G691:K691)</x:f>
        <x:v>353.168</x:v>
      </x:c>
      <x:c r="M691" s="38" t="n">
        <x:v>420.622</x:v>
      </x:c>
      <x:c r="N691" s="38" t="n">
        <x:v>603.94</x:v>
      </x:c>
      <x:c r="O691" s="38" t="n">
        <x:v>451</x:v>
      </x:c>
      <x:c r="P691" s="38" t="n">
        <x:v>669.9</x:v>
      </x:c>
      <x:c r="Q691" s="38" t="n">
        <x:v>19.88</x:v>
      </x:c>
      <x:c r="R691" s="38" t="n">
        <x:v>43.7475</x:v>
      </x:c>
      <x:c r="S691" s="38" t="n">
        <x:v>91.02</x:v>
      </x:c>
      <x:c r="T691" s="40" t="n">
        <x:v>26.81</x:v>
      </x:c>
      <x:c r="U691" s="40" t="n">
        <x:v>1.35</x:v>
      </x:c>
      <x:c r="V691" s="38" t="n">
        <x:f>L691*(1-T691/100)*(1-U691/100)</x:f>
        <x:v>254.99412980079998</x:v>
      </x:c>
      <x:c r="W691" s="38" t="n">
        <x:f>G691*N691</x:f>
        <x:v>171457.96206000002</x:v>
      </x:c>
      <x:c r="X691" s="38" t="n">
        <x:f>H691*O691</x:f>
        <x:v>21285.396</x:v>
      </x:c>
      <x:c r="Y691" s="38" t="n">
        <x:f>I691*P691</x:f>
        <x:v>11010.4764</x:v>
      </x:c>
      <x:c r="Z691" s="38" t="n">
        <x:f>J691*Q691+K691*P691</x:f>
        <x:v>414.97288000000003</x:v>
      </x:c>
      <x:c r="AA691" s="38" t="n">
        <x:f>M691*R691</x:f>
        <x:v>18401.160945000003</x:v>
      </x:c>
      <x:c r="AB691" s="38" t="n">
        <x:f>SUM(W691:AA691)</x:f>
        <x:v>222569.96828500004</x:v>
      </x:c>
      <x:c r="AC691" s="38" t="n">
        <x:v>18.72</x:v>
      </x:c>
      <x:c r="AD691" s="38" t="n">
        <x:v>174.33</x:v>
      </x:c>
      <x:c r="AE691" s="38" t="n">
        <x:v>128.28</x:v>
      </x:c>
      <x:c r="AF691" s="38" t="n">
        <x:v>4.8148</x:v>
      </x:c>
      <x:c r="AG691" s="38" t="n">
        <x:v>5.43</x:v>
      </x:c>
      <x:c r="AH691" s="38" t="n">
        <x:f>IF(E691="Fason",L691*S691,0)</x:f>
        <x:v>0</x:v>
      </x:c>
      <x:c r="AI691" s="38" t="n">
        <x:f>IF(E691="Kurum içi",AC691*AD691+AE691*AF691+AB691*12%,0)</x:f>
        <x:v>30589.496338200002</x:v>
      </x:c>
      <x:c r="AJ691" s="38" t="n">
        <x:f>V691*AG691</x:f>
        <x:v>1384.6181248183439</x:v>
      </x:c>
      <x:c r="AK691" s="38" t="n">
        <x:f>AB691*2%</x:f>
        <x:v>4451.399365700001</x:v>
      </x:c>
      <x:c r="AL691" s="38" t="n">
        <x:f>AB691+AH691+AI691+AJ691+AK691</x:f>
        <x:v>258995.48211371838</x:v>
      </x:c>
      <x:c r="AM691" s="38" t="n">
        <x:f>AL691/V691</x:f>
        <x:v>1015.6919389322579</x:v>
      </x:c>
      <x:c r="AN691" s="40" t="n">
        <x:f>(W691+X691)/AL691*100</x:f>
        <x:v>74.41958310893287</x:v>
      </x:c>
      <x:c r="AO691" s="28" t="str">
        <x:v>R01-R20; ilgili satırdaki bölgesel fiyat ve maliyet varsayımları</x:v>
      </x:c>
      <x:c r="AP691" s="28" t="str">
        <x:v>Girdi miktarları, alım fiyatı değişimi, fason bedeli ve parti sonucu simüle edilmiştir; işletme kaydı değildir.</x:v>
      </x:c>
    </x:row>
    <x:row r="692" ht="22" customHeight="1">
      <x:c r="A692" t="str">
        <x:v>SUC-0691</x:v>
      </x:c>
      <x:c r="B692" s="36" t="n">
        <x:v>46275</x:v>
      </x:c>
      <x:c r="C692" t="str">
        <x:v>Marmara</x:v>
      </x:c>
      <x:c r="D692" t="str">
        <x:v>MEB_STANDART</x:v>
      </x:c>
      <x:c r="E692" t="str">
        <x:v>Kurum içi</x:v>
      </x:c>
      <x:c r="F692" s="42" t="str">
        <x:v>SENTETİK/SİMÜLE — gerçek parti kaydı değildir</x:v>
      </x:c>
      <x:c r="G692" s="38" t="n">
        <x:v>238.241</x:v>
      </x:c>
      <x:c r="H692" s="38" t="n">
        <x:v>77.699</x:v>
      </x:c>
      <x:c r="I692" s="38" t="n">
        <x:v>16.096</x:v>
      </x:c>
      <x:c r="J692" s="38" t="n">
        <x:v>8.608</x:v>
      </x:c>
      <x:c r="K692" s="38" t="n">
        <x:v>3.026</x:v>
      </x:c>
      <x:c r="L692" s="38" t="n">
        <x:f>SUM(G692:K692)</x:f>
        <x:v>343.67</x:v>
      </x:c>
      <x:c r="M692" s="38" t="n">
        <x:v>440.484</x:v>
      </x:c>
      <x:c r="N692" s="38" t="n">
        <x:v>617.3</x:v>
      </x:c>
      <x:c r="O692" s="38" t="n">
        <x:v>453.18</x:v>
      </x:c>
      <x:c r="P692" s="38" t="n">
        <x:v>550</x:v>
      </x:c>
      <x:c r="Q692" s="38" t="n">
        <x:v>19.88</x:v>
      </x:c>
      <x:c r="R692" s="38" t="n">
        <x:v>43.7475</x:v>
      </x:c>
      <x:c r="S692" s="38" t="n">
        <x:v>116.57</x:v>
      </x:c>
      <x:c r="T692" s="40" t="n">
        <x:v>19.87</x:v>
      </x:c>
      <x:c r="U692" s="40" t="n">
        <x:v>1.51</x:v>
      </x:c>
      <x:c r="V692" s="38" t="n">
        <x:f>L692*(1-T692/100)*(1-U692/100)</x:f>
        <x:v>271.2244911579</x:v>
      </x:c>
      <x:c r="W692" s="38" t="n">
        <x:f>G692*N692</x:f>
        <x:v>147066.1693</x:v>
      </x:c>
      <x:c r="X692" s="38" t="n">
        <x:f>H692*O692</x:f>
        <x:v>35211.63282</x:v>
      </x:c>
      <x:c r="Y692" s="38" t="n">
        <x:f>I692*P692</x:f>
        <x:v>8852.8</x:v>
      </x:c>
      <x:c r="Z692" s="38" t="n">
        <x:f>J692*Q692+K692*P692</x:f>
        <x:v>1835.42704</x:v>
      </x:c>
      <x:c r="AA692" s="38" t="n">
        <x:f>M692*R692</x:f>
        <x:v>19270.07379</x:v>
      </x:c>
      <x:c r="AB692" s="38" t="n">
        <x:f>SUM(W692:AA692)</x:f>
        <x:v>212236.10295</x:v>
      </x:c>
      <x:c r="AC692" s="38" t="n">
        <x:v>20.71</x:v>
      </x:c>
      <x:c r="AD692" s="38" t="n">
        <x:v>174.33</x:v>
      </x:c>
      <x:c r="AE692" s="38" t="n">
        <x:v>98.37</x:v>
      </x:c>
      <x:c r="AF692" s="38" t="n">
        <x:v>4.8148</x:v>
      </x:c>
      <x:c r="AG692" s="38" t="n">
        <x:v>5.78</x:v>
      </x:c>
      <x:c r="AH692" s="38" t="n">
        <x:f>IF(E692="Fason",L692*S692,0)</x:f>
        <x:v>0</x:v>
      </x:c>
      <x:c r="AI692" s="38" t="n">
        <x:f>IF(E692="Kurum içi",AC692*AD692+AE692*AF692+AB692*12%,0)</x:f>
        <x:v>29552.338529999997</x:v>
      </x:c>
      <x:c r="AJ692" s="38" t="n">
        <x:f>V692*AG692</x:f>
        <x:v>1567.677558892662</x:v>
      </x:c>
      <x:c r="AK692" s="38" t="n">
        <x:f>AB692*2%</x:f>
        <x:v>4244.722059</x:v>
      </x:c>
      <x:c r="AL692" s="38" t="n">
        <x:f>AB692+AH692+AI692+AJ692+AK692</x:f>
        <x:v>247600.84109789267</x:v>
      </x:c>
      <x:c r="AM692" s="38" t="n">
        <x:f>AL692/V692</x:f>
        <x:v>912.9000115028173</x:v>
      </x:c>
      <x:c r="AN692" s="40" t="n">
        <x:f>(W692+X692)/AL692*100</x:f>
        <x:v>73.6176021502018</x:v>
      </x:c>
      <x:c r="AO692" s="28" t="str">
        <x:v>R01-R20; ilgili satırdaki bölgesel fiyat ve maliyet varsayımları</x:v>
      </x:c>
      <x:c r="AP692" s="28" t="str">
        <x:v>Girdi miktarları, alım fiyatı değişimi, fason bedeli ve parti sonucu simüle edilmiştir; işletme kaydı değildir.</x:v>
      </x:c>
    </x:row>
    <x:row r="693" ht="22" customHeight="1">
      <x:c r="A693" t="str">
        <x:v>SUC-0692</x:v>
      </x:c>
      <x:c r="B693" s="36" t="n">
        <x:v>46305</x:v>
      </x:c>
      <x:c r="C693" t="str">
        <x:v>İç Anadolu</x:v>
      </x:c>
      <x:c r="D693" t="str">
        <x:v>MEB_STANDART</x:v>
      </x:c>
      <x:c r="E693" t="str">
        <x:v>Fason</x:v>
      </x:c>
      <x:c r="F693" s="42" t="str">
        <x:v>SENTETİK/SİMÜLE — gerçek parti kaydı değildir</x:v>
      </x:c>
      <x:c r="G693" s="38" t="n">
        <x:v>194.57</x:v>
      </x:c>
      <x:c r="H693" s="38" t="n">
        <x:v>60.082</x:v>
      </x:c>
      <x:c r="I693" s="38" t="n">
        <x:v>11.818</x:v>
      </x:c>
      <x:c r="J693" s="38" t="n">
        <x:v>6.745</x:v>
      </x:c>
      <x:c r="K693" s="38" t="n">
        <x:v>2.45</x:v>
      </x:c>
      <x:c r="L693" s="38" t="n">
        <x:f>SUM(G693:K693)</x:f>
        <x:v>275.66499999999996</x:v>
      </x:c>
      <x:c r="M693" s="38" t="n">
        <x:v>344.584</x:v>
      </x:c>
      <x:c r="N693" s="38" t="n">
        <x:v>597.99</x:v>
      </x:c>
      <x:c r="O693" s="38" t="n">
        <x:v>432.81</x:v>
      </x:c>
      <x:c r="P693" s="38" t="n">
        <x:v>400</x:v>
      </x:c>
      <x:c r="Q693" s="38" t="n">
        <x:v>19.88</x:v>
      </x:c>
      <x:c r="R693" s="38" t="n">
        <x:v>43.7475</x:v>
      </x:c>
      <x:c r="S693" s="38" t="n">
        <x:v>98.75</x:v>
      </x:c>
      <x:c r="T693" s="40" t="n">
        <x:v>30.82</x:v>
      </x:c>
      <x:c r="U693" s="40" t="n">
        <x:v>0.91</x:v>
      </x:c>
      <x:c r="V693" s="38" t="n">
        <x:f>L693*(1-T693/100)*(1-U693/100)</x:f>
        <x:v>188.9696310723</x:v>
      </x:c>
      <x:c r="W693" s="38" t="n">
        <x:f>G693*N693</x:f>
        <x:v>116350.9143</x:v>
      </x:c>
      <x:c r="X693" s="38" t="n">
        <x:f>H693*O693</x:f>
        <x:v>26004.09042</x:v>
      </x:c>
      <x:c r="Y693" s="38" t="n">
        <x:f>I693*P693</x:f>
        <x:v>4727.2</x:v>
      </x:c>
      <x:c r="Z693" s="38" t="n">
        <x:f>J693*Q693+K693*P693</x:f>
        <x:v>1114.0906</x:v>
      </x:c>
      <x:c r="AA693" s="38" t="n">
        <x:f>M693*R693</x:f>
        <x:v>15074.688540000001</x:v>
      </x:c>
      <x:c r="AB693" s="38" t="n">
        <x:f>SUM(W693:AA693)</x:f>
        <x:v>163270.98386</x:v>
      </x:c>
      <x:c r="AC693" s="38" t="n">
        <x:v>16.18</x:v>
      </x:c>
      <x:c r="AD693" s="38" t="n">
        <x:v>174.33</x:v>
      </x:c>
      <x:c r="AE693" s="38" t="n">
        <x:v>64.41</x:v>
      </x:c>
      <x:c r="AF693" s="38" t="n">
        <x:v>4.8148</x:v>
      </x:c>
      <x:c r="AG693" s="38" t="n">
        <x:v>5.25</x:v>
      </x:c>
      <x:c r="AH693" s="38" t="n">
        <x:f>IF(E693="Fason",L693*S693,0)</x:f>
        <x:v>27221.918749999997</x:v>
      </x:c>
      <x:c r="AI693" s="38" t="n">
        <x:f>IF(E693="Kurum içi",AC693*AD693+AE693*AF693+AB693*12%,0)</x:f>
        <x:v>0</x:v>
      </x:c>
      <x:c r="AJ693" s="38" t="n">
        <x:f>V693*AG693</x:f>
        <x:v>992.090563129575</x:v>
      </x:c>
      <x:c r="AK693" s="38" t="n">
        <x:f>AB693*2%</x:f>
        <x:v>3265.4196772</x:v>
      </x:c>
      <x:c r="AL693" s="38" t="n">
        <x:f>AB693+AH693+AI693+AJ693+AK693</x:f>
        <x:v>194750.41285032957</x:v>
      </x:c>
      <x:c r="AM693" s="38" t="n">
        <x:f>AL693/V693</x:f>
        <x:v>1030.591062411599</x:v>
      </x:c>
      <x:c r="AN693" s="40" t="n">
        <x:f>(W693+X693)/AL693*100</x:f>
        <x:v>73.09612474578078</x:v>
      </x:c>
      <x:c r="AO693" s="28" t="str">
        <x:v>R01-R20; ilgili satırdaki bölgesel fiyat ve maliyet varsayımları</x:v>
      </x:c>
      <x:c r="AP693" s="28" t="str">
        <x:v>Girdi miktarları, alım fiyatı değişimi, fason bedeli ve parti sonucu simüle edilmiştir; işletme kaydı değildir.</x:v>
      </x:c>
    </x:row>
    <x:row r="694" ht="22" customHeight="1">
      <x:c r="A694" t="str">
        <x:v>SUC-0693</x:v>
      </x:c>
      <x:c r="B694" s="36" t="n">
        <x:v>46290</x:v>
      </x:c>
      <x:c r="C694" t="str">
        <x:v>Ege</x:v>
      </x:c>
      <x:c r="D694" t="str">
        <x:v>MEB_STANDART</x:v>
      </x:c>
      <x:c r="E694" t="str">
        <x:v>Kurum içi</x:v>
      </x:c>
      <x:c r="F694" s="42" t="str">
        <x:v>SENTETİK/SİMÜLE — gerçek parti kaydı değildir</x:v>
      </x:c>
      <x:c r="G694" s="38" t="n">
        <x:v>208.022</x:v>
      </x:c>
      <x:c r="H694" s="38" t="n">
        <x:v>64.577</x:v>
      </x:c>
      <x:c r="I694" s="38" t="n">
        <x:v>13.684</x:v>
      </x:c>
      <x:c r="J694" s="38" t="n">
        <x:v>7.328</x:v>
      </x:c>
      <x:c r="K694" s="38" t="n">
        <x:v>2.696</x:v>
      </x:c>
      <x:c r="L694" s="38" t="n">
        <x:f>SUM(G694:K694)</x:f>
        <x:v>296.307</x:v>
      </x:c>
      <x:c r="M694" s="38" t="n">
        <x:v>352.822</x:v>
      </x:c>
      <x:c r="N694" s="38" t="n">
        <x:v>598.25</x:v>
      </x:c>
      <x:c r="O694" s="38" t="n">
        <x:v>474.15</x:v>
      </x:c>
      <x:c r="P694" s="38" t="n">
        <x:v>669.9</x:v>
      </x:c>
      <x:c r="Q694" s="38" t="n">
        <x:v>19.88</x:v>
      </x:c>
      <x:c r="R694" s="38" t="n">
        <x:v>43.7475</x:v>
      </x:c>
      <x:c r="S694" s="38" t="n">
        <x:v>105.04</x:v>
      </x:c>
      <x:c r="T694" s="40" t="n">
        <x:v>15.98</x:v>
      </x:c>
      <x:c r="U694" s="40" t="n">
        <x:v>1.24</x:v>
      </x:c>
      <x:c r="V694" s="38" t="n">
        <x:f>L694*(1-T694/100)*(1-U694/100)</x:f>
        <x:v>245.87007284664006</x:v>
      </x:c>
      <x:c r="W694" s="38" t="n">
        <x:f>G694*N694</x:f>
        <x:v>124449.1615</x:v>
      </x:c>
      <x:c r="X694" s="38" t="n">
        <x:f>H694*O694</x:f>
        <x:v>30619.184549999998</x:v>
      </x:c>
      <x:c r="Y694" s="38" t="n">
        <x:f>I694*P694</x:f>
        <x:v>9166.9116</x:v>
      </x:c>
      <x:c r="Z694" s="38" t="n">
        <x:f>J694*Q694+K694*P694</x:f>
        <x:v>1951.7310400000001</x:v>
      </x:c>
      <x:c r="AA694" s="38" t="n">
        <x:f>M694*R694</x:f>
        <x:v>15435.080445000001</x:v>
      </x:c>
      <x:c r="AB694" s="38" t="n">
        <x:f>SUM(W694:AA694)</x:f>
        <x:v>181622.069135</x:v>
      </x:c>
      <x:c r="AC694" s="38" t="n">
        <x:v>12.22</x:v>
      </x:c>
      <x:c r="AD694" s="38" t="n">
        <x:v>174.33</x:v>
      </x:c>
      <x:c r="AE694" s="38" t="n">
        <x:v>75.55</x:v>
      </x:c>
      <x:c r="AF694" s="38" t="n">
        <x:v>4.8148</x:v>
      </x:c>
      <x:c r="AG694" s="38" t="n">
        <x:v>5.79</x:v>
      </x:c>
      <x:c r="AH694" s="38" t="n">
        <x:f>IF(E694="Fason",L694*S694,0)</x:f>
        <x:v>0</x:v>
      </x:c>
      <x:c r="AI694" s="38" t="n">
        <x:f>IF(E694="Kurum içi",AC694*AD694+AE694*AF694+AB694*12%,0)</x:f>
        <x:v>24288.719036199996</x:v>
      </x:c>
      <x:c r="AJ694" s="38" t="n">
        <x:f>V694*AG694</x:f>
        <x:v>1423.587721782046</x:v>
      </x:c>
      <x:c r="AK694" s="38" t="n">
        <x:f>AB694*2%</x:f>
        <x:v>3632.4413827</x:v>
      </x:c>
      <x:c r="AL694" s="38" t="n">
        <x:f>AB694+AH694+AI694+AJ694+AK694</x:f>
        <x:v>210966.81727568203</x:v>
      </x:c>
      <x:c r="AM694" s="38" t="n">
        <x:f>AL694/V694</x:f>
        <x:v>858.0418707862476</x:v>
      </x:c>
      <x:c r="AN694" s="40" t="n">
        <x:f>(W694+X694)/AL694*100</x:f>
        <x:v>73.50366662040675</x:v>
      </x:c>
      <x:c r="AO694" s="28" t="str">
        <x:v>R01-R20; ilgili satırdaki bölgesel fiyat ve maliyet varsayımları</x:v>
      </x:c>
      <x:c r="AP694" s="28" t="str">
        <x:v>Girdi miktarları, alım fiyatı değişimi, fason bedeli ve parti sonucu simüle edilmiştir; işletme kaydı değildir.</x:v>
      </x:c>
    </x:row>
    <x:row r="695" ht="22" customHeight="1">
      <x:c r="A695" t="str">
        <x:v>SUC-0694</x:v>
      </x:c>
      <x:c r="B695" s="36" t="n">
        <x:v>46296</x:v>
      </x:c>
      <x:c r="C695" t="str">
        <x:v>Doğu Anadolu</x:v>
      </x:c>
      <x:c r="D695" t="str">
        <x:v>MEB_STANDART</x:v>
      </x:c>
      <x:c r="E695" t="str">
        <x:v>Kurum içi</x:v>
      </x:c>
      <x:c r="F695" s="42" t="str">
        <x:v>SENTETİK/SİMÜLE — gerçek parti kaydı değildir</x:v>
      </x:c>
      <x:c r="G695" s="38" t="n">
        <x:v>278.232</x:v>
      </x:c>
      <x:c r="H695" s="38" t="n">
        <x:v>86.596</x:v>
      </x:c>
      <x:c r="I695" s="38" t="n">
        <x:v>17.845</x:v>
      </x:c>
      <x:c r="J695" s="38" t="n">
        <x:v>9.326</x:v>
      </x:c>
      <x:c r="K695" s="38" t="n">
        <x:v>4.653</x:v>
      </x:c>
      <x:c r="L695" s="38" t="n">
        <x:f>SUM(G695:K695)</x:f>
        <x:v>396.65200000000004</x:v>
      </x:c>
      <x:c r="M695" s="38" t="n">
        <x:v>536.732</x:v>
      </x:c>
      <x:c r="N695" s="38" t="n">
        <x:v>575.81</x:v>
      </x:c>
      <x:c r="O695" s="38" t="n">
        <x:v>436.82</x:v>
      </x:c>
      <x:c r="P695" s="38" t="n">
        <x:v>669.9</x:v>
      </x:c>
      <x:c r="Q695" s="38" t="n">
        <x:v>19.88</x:v>
      </x:c>
      <x:c r="R695" s="38" t="n">
        <x:v>43.7475</x:v>
      </x:c>
      <x:c r="S695" s="38" t="n">
        <x:v>122.67</x:v>
      </x:c>
      <x:c r="T695" s="40" t="n">
        <x:v>18.07</x:v>
      </x:c>
      <x:c r="U695" s="40" t="n">
        <x:v>1.55</x:v>
      </x:c>
      <x:c r="V695" s="38" t="n">
        <x:f>L695*(1-T695/100)*(1-U695/100)</x:f>
        <x:v>319.93984035420004</x:v>
      </x:c>
      <x:c r="W695" s="38" t="n">
        <x:f>G695*N695</x:f>
        <x:v>160208.76792</x:v>
      </x:c>
      <x:c r="X695" s="38" t="n">
        <x:f>H695*O695</x:f>
        <x:v>37826.86472</x:v>
      </x:c>
      <x:c r="Y695" s="38" t="n">
        <x:f>I695*P695</x:f>
        <x:v>11954.365499999998</x:v>
      </x:c>
      <x:c r="Z695" s="38" t="n">
        <x:f>J695*Q695+K695*P695</x:f>
        <x:v>3302.4455799999996</x:v>
      </x:c>
      <x:c r="AA695" s="38" t="n">
        <x:f>M695*R695</x:f>
        <x:v>23480.68317</x:v>
      </x:c>
      <x:c r="AB695" s="38" t="n">
        <x:f>SUM(W695:AA695)</x:f>
        <x:v>236773.12689</x:v>
      </x:c>
      <x:c r="AC695" s="38" t="n">
        <x:v>21.85</x:v>
      </x:c>
      <x:c r="AD695" s="38" t="n">
        <x:v>174.33</x:v>
      </x:c>
      <x:c r="AE695" s="38" t="n">
        <x:v>119.52</x:v>
      </x:c>
      <x:c r="AF695" s="38" t="n">
        <x:v>4.8148</x:v>
      </x:c>
      <x:c r="AG695" s="38" t="n">
        <x:v>5.59</x:v>
      </x:c>
      <x:c r="AH695" s="38" t="n">
        <x:f>IF(E695="Fason",L695*S695,0)</x:f>
        <x:v>0</x:v>
      </x:c>
      <x:c r="AI695" s="38" t="n">
        <x:f>IF(E695="Kurum içi",AC695*AD695+AE695*AF695+AB695*12%,0)</x:f>
        <x:v>32797.350622800004</x:v>
      </x:c>
      <x:c r="AJ695" s="38" t="n">
        <x:f>V695*AG695</x:f>
        <x:v>1788.4637075799783</x:v>
      </x:c>
      <x:c r="AK695" s="38" t="n">
        <x:f>AB695*2%</x:f>
        <x:v>4735.4625378</x:v>
      </x:c>
      <x:c r="AL695" s="38" t="n">
        <x:f>AB695+AH695+AI695+AJ695+AK695</x:f>
        <x:v>276094.40375818004</x:v>
      </x:c>
      <x:c r="AM695" s="38" t="n">
        <x:f>AL695/V695</x:f>
        <x:v>862.957246751516</x:v>
      </x:c>
      <x:c r="AN695" s="40" t="n">
        <x:f>(W695+X695)/AL695*100</x:f>
        <x:v>71.7275069484753</x:v>
      </x:c>
      <x:c r="AO695" s="28" t="str">
        <x:v>R01-R20; ilgili satırdaki bölgesel fiyat ve maliyet varsayımları</x:v>
      </x:c>
      <x:c r="AP695" s="28" t="str">
        <x:v>Girdi miktarları, alım fiyatı değişimi, fason bedeli ve parti sonucu simüle edilmiştir; işletme kaydı değildir.</x:v>
      </x:c>
    </x:row>
    <x:row r="696" ht="22" customHeight="1">
      <x:c r="A696" t="str">
        <x:v>SUC-0695</x:v>
      </x:c>
      <x:c r="B696" s="36" t="n">
        <x:v>46307</x:v>
      </x:c>
      <x:c r="C696" t="str">
        <x:v>Marmara</x:v>
      </x:c>
      <x:c r="D696" t="str">
        <x:v>MEB_STANDART</x:v>
      </x:c>
      <x:c r="E696" t="str">
        <x:v>Kurum içi</x:v>
      </x:c>
      <x:c r="F696" s="42" t="str">
        <x:v>SENTETİK/SİMÜLE — gerçek parti kaydı değildir</x:v>
      </x:c>
      <x:c r="G696" s="38" t="n">
        <x:v>254.701</x:v>
      </x:c>
      <x:c r="H696" s="38" t="n">
        <x:v>81.212</x:v>
      </x:c>
      <x:c r="I696" s="38" t="n">
        <x:v>17.449</x:v>
      </x:c>
      <x:c r="J696" s="38" t="n">
        <x:v>9.63</x:v>
      </x:c>
      <x:c r="K696" s="38" t="n">
        <x:v>3.942</x:v>
      </x:c>
      <x:c r="L696" s="38" t="n">
        <x:f>SUM(G696:K696)</x:f>
        <x:v>366.934</x:v>
      </x:c>
      <x:c r="M696" s="38" t="n">
        <x:v>469.171</x:v>
      </x:c>
      <x:c r="N696" s="38" t="n">
        <x:v>591.49</x:v>
      </x:c>
      <x:c r="O696" s="38" t="n">
        <x:v>428.98</x:v>
      </x:c>
      <x:c r="P696" s="38" t="n">
        <x:v>669.9</x:v>
      </x:c>
      <x:c r="Q696" s="38" t="n">
        <x:v>19.88</x:v>
      </x:c>
      <x:c r="R696" s="38" t="n">
        <x:v>43.7475</x:v>
      </x:c>
      <x:c r="S696" s="38" t="n">
        <x:v>108.17</x:v>
      </x:c>
      <x:c r="T696" s="40" t="n">
        <x:v>16.86</x:v>
      </x:c>
      <x:c r="U696" s="40" t="n">
        <x:v>1.54</x:v>
      </x:c>
      <x:c r="V696" s="38" t="n">
        <x:f>L696*(1-T696/100)*(1-U696/100)</x:f>
        <x:v>300.37086611496005</x:v>
      </x:c>
      <x:c r="W696" s="38" t="n">
        <x:f>G696*N696</x:f>
        <x:v>150653.09449</x:v>
      </x:c>
      <x:c r="X696" s="38" t="n">
        <x:f>H696*O696</x:f>
        <x:v>34838.32376</x:v>
      </x:c>
      <x:c r="Y696" s="38" t="n">
        <x:f>I696*P696</x:f>
        <x:v>11689.0851</x:v>
      </x:c>
      <x:c r="Z696" s="38" t="n">
        <x:f>J696*Q696+K696*P696</x:f>
        <x:v>2832.1902</x:v>
      </x:c>
      <x:c r="AA696" s="38" t="n">
        <x:f>M696*R696</x:f>
        <x:v>20525.0583225</x:v>
      </x:c>
      <x:c r="AB696" s="38" t="n">
        <x:f>SUM(W696:AA696)</x:f>
        <x:v>220537.7518725</x:v>
      </x:c>
      <x:c r="AC696" s="38" t="n">
        <x:v>21.06</x:v>
      </x:c>
      <x:c r="AD696" s="38" t="n">
        <x:v>174.33</x:v>
      </x:c>
      <x:c r="AE696" s="38" t="n">
        <x:v>173.04</x:v>
      </x:c>
      <x:c r="AF696" s="38" t="n">
        <x:v>4.8148</x:v>
      </x:c>
      <x:c r="AG696" s="38" t="n">
        <x:v>5.23</x:v>
      </x:c>
      <x:c r="AH696" s="38" t="n">
        <x:f>IF(E696="Fason",L696*S696,0)</x:f>
        <x:v>0</x:v>
      </x:c>
      <x:c r="AI696" s="38" t="n">
        <x:f>IF(E696="Kurum içi",AC696*AD696+AE696*AF696+AB696*12%,0)</x:f>
        <x:v>30969.0730167</x:v>
      </x:c>
      <x:c r="AJ696" s="38" t="n">
        <x:f>V696*AG696</x:f>
        <x:v>1570.9396297812411</x:v>
      </x:c>
      <x:c r="AK696" s="38" t="n">
        <x:f>AB696*2%</x:f>
        <x:v>4410.75503745</x:v>
      </x:c>
      <x:c r="AL696" s="38" t="n">
        <x:f>AB696+AH696+AI696+AJ696+AK696</x:f>
        <x:v>257488.51955643122</x:v>
      </x:c>
      <x:c r="AM696" s="38" t="n">
        <x:f>AL696/V696</x:f>
        <x:v>857.2353333957608</x:v>
      </x:c>
      <x:c r="AN696" s="40" t="n">
        <x:f>(W696+X696)/AL696*100</x:f>
        <x:v>72.03871402481991</x:v>
      </x:c>
      <x:c r="AO696" s="28" t="str">
        <x:v>R01-R20; ilgili satırdaki bölgesel fiyat ve maliyet varsayımları</x:v>
      </x:c>
      <x:c r="AP696" s="28" t="str">
        <x:v>Girdi miktarları, alım fiyatı değişimi, fason bedeli ve parti sonucu simüle edilmiştir; işletme kaydı değildir.</x:v>
      </x:c>
    </x:row>
    <x:row r="697" ht="22" customHeight="1">
      <x:c r="A697" t="str">
        <x:v>SUC-0696</x:v>
      </x:c>
      <x:c r="B697" s="36" t="n">
        <x:v>46288</x:v>
      </x:c>
      <x:c r="C697" t="str">
        <x:v>İç Anadolu</x:v>
      </x:c>
      <x:c r="D697" t="str">
        <x:v>MEB_STANDART</x:v>
      </x:c>
      <x:c r="E697" t="str">
        <x:v>Kurum içi</x:v>
      </x:c>
      <x:c r="F697" s="42" t="str">
        <x:v>SENTETİK/SİMÜLE — gerçek parti kaydı değildir</x:v>
      </x:c>
      <x:c r="G697" s="38" t="n">
        <x:v>301.721</x:v>
      </x:c>
      <x:c r="H697" s="38" t="n">
        <x:v>92.619</x:v>
      </x:c>
      <x:c r="I697" s="38" t="n">
        <x:v>18.877</x:v>
      </x:c>
      <x:c r="J697" s="38" t="n">
        <x:v>10.43</x:v>
      </x:c>
      <x:c r="K697" s="38" t="n">
        <x:v>3.848</x:v>
      </x:c>
      <x:c r="L697" s="38" t="n">
        <x:f>SUM(G697:K697)</x:f>
        <x:v>427.49500000000006</x:v>
      </x:c>
      <x:c r="M697" s="38" t="n">
        <x:v>534.23</x:v>
      </x:c>
      <x:c r="N697" s="38" t="n">
        <x:v>589.76</x:v>
      </x:c>
      <x:c r="O697" s="38" t="n">
        <x:v>470.61</x:v>
      </x:c>
      <x:c r="P697" s="38" t="n">
        <x:v>669.9</x:v>
      </x:c>
      <x:c r="Q697" s="38" t="n">
        <x:v>19.88</x:v>
      </x:c>
      <x:c r="R697" s="38" t="n">
        <x:v>43.7475</x:v>
      </x:c>
      <x:c r="S697" s="38" t="n">
        <x:v>122.45</x:v>
      </x:c>
      <x:c r="T697" s="40" t="n">
        <x:v>25.17</x:v>
      </x:c>
      <x:c r="U697" s="40" t="n">
        <x:v>0.55</x:v>
      </x:c>
      <x:c r="V697" s="38" t="n">
        <x:f>L697*(1-T697/100)*(1-U697/100)</x:f>
        <x:v>318.13508870325006</x:v>
      </x:c>
      <x:c r="W697" s="38" t="n">
        <x:f>G697*N697</x:f>
        <x:v>177942.97696</x:v>
      </x:c>
      <x:c r="X697" s="38" t="n">
        <x:f>H697*O697</x:f>
        <x:v>43587.42759</x:v>
      </x:c>
      <x:c r="Y697" s="38" t="n">
        <x:f>I697*P697</x:f>
        <x:v>12645.702299999999</x:v>
      </x:c>
      <x:c r="Z697" s="38" t="n">
        <x:f>J697*Q697+K697*P697</x:f>
        <x:v>2785.1236</x:v>
      </x:c>
      <x:c r="AA697" s="38" t="n">
        <x:f>M697*R697</x:f>
        <x:v>23371.226925000003</x:v>
      </x:c>
      <x:c r="AB697" s="38" t="n">
        <x:f>SUM(W697:AA697)</x:f>
        <x:v>260332.457375</x:v>
      </x:c>
      <x:c r="AC697" s="38" t="n">
        <x:v>18.73</x:v>
      </x:c>
      <x:c r="AD697" s="38" t="n">
        <x:v>174.33</x:v>
      </x:c>
      <x:c r="AE697" s="38" t="n">
        <x:v>117.26</x:v>
      </x:c>
      <x:c r="AF697" s="38" t="n">
        <x:v>4.8148</x:v>
      </x:c>
      <x:c r="AG697" s="38" t="n">
        <x:v>5.15</x:v>
      </x:c>
      <x:c r="AH697" s="38" t="n">
        <x:f>IF(E697="Fason",L697*S697,0)</x:f>
        <x:v>0</x:v>
      </x:c>
      <x:c r="AI697" s="38" t="n">
        <x:f>IF(E697="Kurum içi",AC697*AD697+AE697*AF697+AB697*12%,0)</x:f>
        <x:v>35069.679232999995</x:v>
      </x:c>
      <x:c r="AJ697" s="38" t="n">
        <x:f>V697*AG697</x:f>
        <x:v>1638.395706821738</x:v>
      </x:c>
      <x:c r="AK697" s="38" t="n">
        <x:f>AB697*2%</x:f>
        <x:v>5206.6491475</x:v>
      </x:c>
      <x:c r="AL697" s="38" t="n">
        <x:f>AB697+AH697+AI697+AJ697+AK697</x:f>
        <x:v>302247.1814623217</x:v>
      </x:c>
      <x:c r="AM697" s="38" t="n">
        <x:f>AL697/V697</x:f>
        <x:v>950.0592427396518</x:v>
      </x:c>
      <x:c r="AN697" s="40" t="n">
        <x:f>(W697+X697)/AL697*100</x:f>
        <x:v>73.29444843065181</x:v>
      </x:c>
      <x:c r="AO697" s="28" t="str">
        <x:v>R01-R20; ilgili satırdaki bölgesel fiyat ve maliyet varsayımları</x:v>
      </x:c>
      <x:c r="AP697" s="28" t="str">
        <x:v>Girdi miktarları, alım fiyatı değişimi, fason bedeli ve parti sonucu simüle edilmiştir; işletme kaydı değildir.</x:v>
      </x:c>
    </x:row>
    <x:row r="698" ht="22" customHeight="1">
      <x:c r="A698" t="str">
        <x:v>SUC-0697</x:v>
      </x:c>
      <x:c r="B698" s="36" t="n">
        <x:v>46271</x:v>
      </x:c>
      <x:c r="C698" t="str">
        <x:v>Ege</x:v>
      </x:c>
      <x:c r="D698" t="str">
        <x:v>ERZURUM_CI</x:v>
      </x:c>
      <x:c r="E698" t="str">
        <x:v>Kurum içi</x:v>
      </x:c>
      <x:c r="F698" s="42" t="str">
        <x:v>SENTETİK/SİMÜLE — gerçek parti kaydı değildir</x:v>
      </x:c>
      <x:c r="G698" s="38" t="n">
        <x:v>192.509</x:v>
      </x:c>
      <x:c r="H698" s="38" t="n">
        <x:v>35.55</x:v>
      </x:c>
      <x:c r="I698" s="38" t="n">
        <x:v>10.98</x:v>
      </x:c>
      <x:c r="J698" s="38" t="n">
        <x:v>3.725</x:v>
      </x:c>
      <x:c r="K698" s="38" t="n">
        <x:v>0.36</x:v>
      </x:c>
      <x:c r="L698" s="38" t="n">
        <x:f>SUM(G698:K698)</x:f>
        <x:v>243.12399999999997</x:v>
      </x:c>
      <x:c r="M698" s="38" t="n">
        <x:v>314.713</x:v>
      </x:c>
      <x:c r="N698" s="38" t="n">
        <x:v>612.18</x:v>
      </x:c>
      <x:c r="O698" s="38" t="n">
        <x:v>474.01</x:v>
      </x:c>
      <x:c r="P698" s="38" t="n">
        <x:v>550</x:v>
      </x:c>
      <x:c r="Q698" s="38" t="n">
        <x:v>19.88</x:v>
      </x:c>
      <x:c r="R698" s="38" t="n">
        <x:v>43.7475</x:v>
      </x:c>
      <x:c r="S698" s="38" t="n">
        <x:v>86.76</x:v>
      </x:c>
      <x:c r="T698" s="40" t="n">
        <x:v>18.46</x:v>
      </x:c>
      <x:c r="U698" s="40" t="n">
        <x:v>0.98</x:v>
      </x:c>
      <x:c r="V698" s="38" t="n">
        <x:f>L698*(1-T698/100)*(1-U698/100)</x:f>
        <x:v>196.30052516591996</x:v>
      </x:c>
      <x:c r="W698" s="38" t="n">
        <x:f>G698*N698</x:f>
        <x:v>117850.15961999998</x:v>
      </x:c>
      <x:c r="X698" s="38" t="n">
        <x:f>H698*O698</x:f>
        <x:v>16851.0555</x:v>
      </x:c>
      <x:c r="Y698" s="38" t="n">
        <x:f>I698*P698</x:f>
        <x:v>6039</x:v>
      </x:c>
      <x:c r="Z698" s="38" t="n">
        <x:f>J698*Q698+K698*P698</x:f>
        <x:v>272.053</x:v>
      </x:c>
      <x:c r="AA698" s="38" t="n">
        <x:f>M698*R698</x:f>
        <x:v>13767.906967500001</x:v>
      </x:c>
      <x:c r="AB698" s="38" t="n">
        <x:f>SUM(W698:AA698)</x:f>
        <x:v>154780.17508749999</x:v>
      </x:c>
      <x:c r="AC698" s="38" t="n">
        <x:v>11.49</x:v>
      </x:c>
      <x:c r="AD698" s="38" t="n">
        <x:v>174.33</x:v>
      </x:c>
      <x:c r="AE698" s="38" t="n">
        <x:v>61.97</x:v>
      </x:c>
      <x:c r="AF698" s="38" t="n">
        <x:v>4.8148</x:v>
      </x:c>
      <x:c r="AG698" s="38" t="n">
        <x:v>5.6</x:v>
      </x:c>
      <x:c r="AH698" s="38" t="n">
        <x:f>IF(E698="Fason",L698*S698,0)</x:f>
        <x:v>0</x:v>
      </x:c>
      <x:c r="AI698" s="38" t="n">
        <x:f>IF(E698="Kurum içi",AC698*AD698+AE698*AF698+AB698*12%,0)</x:f>
        <x:v>20875.0458665</x:v>
      </x:c>
      <x:c r="AJ698" s="38" t="n">
        <x:f>V698*AG698</x:f>
        <x:v>1099.2829409291517</x:v>
      </x:c>
      <x:c r="AK698" s="38" t="n">
        <x:f>AB698*2%</x:f>
        <x:v>3095.60350175</x:v>
      </x:c>
      <x:c r="AL698" s="38" t="n">
        <x:f>AB698+AH698+AI698+AJ698+AK698</x:f>
        <x:v>179850.10739667914</x:v>
      </x:c>
      <x:c r="AM698" s="38" t="n">
        <x:f>AL698/V698</x:f>
        <x:v>916.1977903251336</x:v>
      </x:c>
      <x:c r="AN698" s="40" t="n">
        <x:f>(W698+X698)/AL698*100</x:f>
        <x:v>74.89637736101078</x:v>
      </x:c>
      <x:c r="AO698" s="28" t="str">
        <x:v>R01-R20; ilgili satırdaki bölgesel fiyat ve maliyet varsayımları</x:v>
      </x:c>
      <x:c r="AP698" s="28" t="str">
        <x:v>Girdi miktarları, alım fiyatı değişimi, fason bedeli ve parti sonucu simüle edilmiştir; işletme kaydı değildir.</x:v>
      </x:c>
    </x:row>
    <x:row r="699" ht="22" customHeight="1">
      <x:c r="A699" t="str">
        <x:v>SUC-0698</x:v>
      </x:c>
      <x:c r="B699" s="36" t="n">
        <x:v>46301</x:v>
      </x:c>
      <x:c r="C699" t="str">
        <x:v>Akdeniz</x:v>
      </x:c>
      <x:c r="D699" t="str">
        <x:v>MEB_STANDART</x:v>
      </x:c>
      <x:c r="E699" t="str">
        <x:v>Kurum içi</x:v>
      </x:c>
      <x:c r="F699" s="42" t="str">
        <x:v>SENTETİK/SİMÜLE — gerçek parti kaydı değildir</x:v>
      </x:c>
      <x:c r="G699" s="38" t="n">
        <x:v>187.313</x:v>
      </x:c>
      <x:c r="H699" s="38" t="n">
        <x:v>57.648</x:v>
      </x:c>
      <x:c r="I699" s="38" t="n">
        <x:v>12.365</x:v>
      </x:c>
      <x:c r="J699" s="38" t="n">
        <x:v>6.291</x:v>
      </x:c>
      <x:c r="K699" s="38" t="n">
        <x:v>3.057</x:v>
      </x:c>
      <x:c r="L699" s="38" t="n">
        <x:f>SUM(G699:K699)</x:f>
        <x:v>266.674</x:v>
      </x:c>
      <x:c r="M699" s="38" t="n">
        <x:v>363.119</x:v>
      </x:c>
      <x:c r="N699" s="38" t="n">
        <x:v>599.06</x:v>
      </x:c>
      <x:c r="O699" s="38" t="n">
        <x:v>462.36</x:v>
      </x:c>
      <x:c r="P699" s="38" t="n">
        <x:v>400</x:v>
      </x:c>
      <x:c r="Q699" s="38" t="n">
        <x:v>19.88</x:v>
      </x:c>
      <x:c r="R699" s="38" t="n">
        <x:v>43.7475</x:v>
      </x:c>
      <x:c r="S699" s="38" t="n">
        <x:v>90.81</x:v>
      </x:c>
      <x:c r="T699" s="40" t="n">
        <x:v>16.9</x:v>
      </x:c>
      <x:c r="U699" s="40" t="n">
        <x:v>0.36</x:v>
      </x:c>
      <x:c r="V699" s="38" t="n">
        <x:f>L699*(1-T699/100)*(1-U699/100)</x:f>
        <x:v>220.80831206159996</x:v>
      </x:c>
      <x:c r="W699" s="38" t="n">
        <x:f>G699*N699</x:f>
        <x:v>112211.72577999998</x:v>
      </x:c>
      <x:c r="X699" s="38" t="n">
        <x:f>H699*O699</x:f>
        <x:v>26654.12928</x:v>
      </x:c>
      <x:c r="Y699" s="38" t="n">
        <x:f>I699*P699</x:f>
        <x:v>4946</x:v>
      </x:c>
      <x:c r="Z699" s="38" t="n">
        <x:f>J699*Q699+K699*P699</x:f>
        <x:v>1347.86508</x:v>
      </x:c>
      <x:c r="AA699" s="38" t="n">
        <x:f>M699*R699</x:f>
        <x:v>15885.548452500003</x:v>
      </x:c>
      <x:c r="AB699" s="38" t="n">
        <x:f>SUM(W699:AA699)</x:f>
        <x:v>161045.26859249995</x:v>
      </x:c>
      <x:c r="AC699" s="38" t="n">
        <x:v>12.2</x:v>
      </x:c>
      <x:c r="AD699" s="38" t="n">
        <x:v>174.33</x:v>
      </x:c>
      <x:c r="AE699" s="38" t="n">
        <x:v>96.53</x:v>
      </x:c>
      <x:c r="AF699" s="38" t="n">
        <x:v>4.8148</x:v>
      </x:c>
      <x:c r="AG699" s="38" t="n">
        <x:v>5.26</x:v>
      </x:c>
      <x:c r="AH699" s="38" t="n">
        <x:f>IF(E699="Fason",L699*S699,0)</x:f>
        <x:v>0</x:v>
      </x:c>
      <x:c r="AI699" s="38" t="n">
        <x:f>IF(E699="Kurum içi",AC699*AD699+AE699*AF699+AB699*12%,0)</x:f>
        <x:v>21917.030875099994</x:v>
      </x:c>
      <x:c r="AJ699" s="38" t="n">
        <x:f>V699*AG699</x:f>
        <x:v>1161.4517214440157</x:v>
      </x:c>
      <x:c r="AK699" s="38" t="n">
        <x:f>AB699*2%</x:f>
        <x:v>3220.905371849999</x:v>
      </x:c>
      <x:c r="AL699" s="38" t="n">
        <x:f>AB699+AH699+AI699+AJ699+AK699</x:f>
        <x:v>187344.65656089399</x:v>
      </x:c>
      <x:c r="AM699" s="38" t="n">
        <x:f>AL699/V699</x:f>
        <x:v>848.4492943754288</x:v>
      </x:c>
      <x:c r="AN699" s="40" t="n">
        <x:f>(W699+X699)/AL699*100</x:f>
        <x:v>74.1232003138896</x:v>
      </x:c>
      <x:c r="AO699" s="28" t="str">
        <x:v>R01-R20; ilgili satırdaki bölgesel fiyat ve maliyet varsayımları</x:v>
      </x:c>
      <x:c r="AP699" s="28" t="str">
        <x:v>Girdi miktarları, alım fiyatı değişimi, fason bedeli ve parti sonucu simüle edilmiştir; işletme kaydı değildir.</x:v>
      </x:c>
    </x:row>
    <x:row r="700" ht="22" customHeight="1">
      <x:c r="A700" t="str">
        <x:v>SUC-0699</x:v>
      </x:c>
      <x:c r="B700" s="36" t="n">
        <x:v>46267</x:v>
      </x:c>
      <x:c r="C700" t="str">
        <x:v>İç Anadolu</x:v>
      </x:c>
      <x:c r="D700" t="str">
        <x:v>ERZURUM_CI</x:v>
      </x:c>
      <x:c r="E700" t="str">
        <x:v>Kurum içi</x:v>
      </x:c>
      <x:c r="F700" s="42" t="str">
        <x:v>SENTETİK/SİMÜLE — gerçek parti kaydı değildir</x:v>
      </x:c>
      <x:c r="G700" s="38" t="n">
        <x:v>346.459</x:v>
      </x:c>
      <x:c r="H700" s="38" t="n">
        <x:v>64.311</x:v>
      </x:c>
      <x:c r="I700" s="38" t="n">
        <x:v>21.682</x:v>
      </x:c>
      <x:c r="J700" s="38" t="n">
        <x:v>7.694</x:v>
      </x:c>
      <x:c r="K700" s="38" t="n">
        <x:v>0.269</x:v>
      </x:c>
      <x:c r="L700" s="38" t="n">
        <x:f>SUM(G700:K700)</x:f>
        <x:v>440.415</x:v>
      </x:c>
      <x:c r="M700" s="38" t="n">
        <x:v>522.026</x:v>
      </x:c>
      <x:c r="N700" s="38" t="n">
        <x:v>601.95</x:v>
      </x:c>
      <x:c r="O700" s="38" t="n">
        <x:v>423.43</x:v>
      </x:c>
      <x:c r="P700" s="38" t="n">
        <x:v>550</x:v>
      </x:c>
      <x:c r="Q700" s="38" t="n">
        <x:v>19.88</x:v>
      </x:c>
      <x:c r="R700" s="38" t="n">
        <x:v>43.7475</x:v>
      </x:c>
      <x:c r="S700" s="38" t="n">
        <x:v>67.52</x:v>
      </x:c>
      <x:c r="T700" s="40" t="n">
        <x:v>17.68</x:v>
      </x:c>
      <x:c r="U700" s="40" t="n">
        <x:v>1.51</x:v>
      </x:c>
      <x:c r="V700" s="38" t="n">
        <x:f>L700*(1-T700/100)*(1-U700/100)</x:f>
        <x:v>357.07512861720005</x:v>
      </x:c>
      <x:c r="W700" s="38" t="n">
        <x:f>G700*N700</x:f>
        <x:v>208550.99505000003</x:v>
      </x:c>
      <x:c r="X700" s="38" t="n">
        <x:f>H700*O700</x:f>
        <x:v>27231.20673</x:v>
      </x:c>
      <x:c r="Y700" s="38" t="n">
        <x:f>I700*P700</x:f>
        <x:v>11925.099999999999</x:v>
      </x:c>
      <x:c r="Z700" s="38" t="n">
        <x:f>J700*Q700+K700*P700</x:f>
        <x:v>300.90672</x:v>
      </x:c>
      <x:c r="AA700" s="38" t="n">
        <x:f>M700*R700</x:f>
        <x:v>22837.332435</x:v>
      </x:c>
      <x:c r="AB700" s="38" t="n">
        <x:f>SUM(W700:AA700)</x:f>
        <x:v>270845.54093500006</x:v>
      </x:c>
      <x:c r="AC700" s="38" t="n">
        <x:v>19.77</x:v>
      </x:c>
      <x:c r="AD700" s="38" t="n">
        <x:v>174.33</x:v>
      </x:c>
      <x:c r="AE700" s="38" t="n">
        <x:v>105.26</x:v>
      </x:c>
      <x:c r="AF700" s="38" t="n">
        <x:v>4.8148</x:v>
      </x:c>
      <x:c r="AG700" s="38" t="n">
        <x:v>5.68</x:v>
      </x:c>
      <x:c r="AH700" s="38" t="n">
        <x:f>IF(E700="Fason",L700*S700,0)</x:f>
        <x:v>0</x:v>
      </x:c>
      <x:c r="AI700" s="38" t="n">
        <x:f>IF(E700="Kurum içi",AC700*AD700+AE700*AF700+AB700*12%,0)</x:f>
        <x:v>36454.77486020001</x:v>
      </x:c>
      <x:c r="AJ700" s="38" t="n">
        <x:f>V700*AG700</x:f>
        <x:v>2028.1867305456963</x:v>
      </x:c>
      <x:c r="AK700" s="38" t="n">
        <x:f>AB700*2%</x:f>
        <x:v>5416.910818700001</x:v>
      </x:c>
      <x:c r="AL700" s="38" t="n">
        <x:f>AB700+AH700+AI700+AJ700+AK700</x:f>
        <x:v>314745.41334444575</x:v>
      </x:c>
      <x:c r="AM700" s="38" t="n">
        <x:f>AL700/V700</x:f>
        <x:v>881.454316248014</x:v>
      </x:c>
      <x:c r="AN700" s="40" t="n">
        <x:f>(W700+X700)/AL700*100</x:f>
        <x:v>74.91203740655268</x:v>
      </x:c>
      <x:c r="AO700" s="28" t="str">
        <x:v>R01-R20; ilgili satırdaki bölgesel fiyat ve maliyet varsayımları</x:v>
      </x:c>
      <x:c r="AP700" s="28" t="str">
        <x:v>Girdi miktarları, alım fiyatı değişimi, fason bedeli ve parti sonucu simüle edilmiştir; işletme kaydı değildir.</x:v>
      </x:c>
    </x:row>
    <x:row r="701" ht="22" customHeight="1">
      <x:c r="A701" t="str">
        <x:v>SUC-0700</x:v>
      </x:c>
      <x:c r="B701" s="36" t="n">
        <x:v>46312</x:v>
      </x:c>
      <x:c r="C701" t="str">
        <x:v>İç Anadolu</x:v>
      </x:c>
      <x:c r="D701" t="str">
        <x:v>MEB_STANDART</x:v>
      </x:c>
      <x:c r="E701" t="str">
        <x:v>Fason</x:v>
      </x:c>
      <x:c r="F701" s="42" t="str">
        <x:v>SENTETİK/SİMÜLE — gerçek parti kaydı değildir</x:v>
      </x:c>
      <x:c r="G701" s="38" t="n">
        <x:v>84.071</x:v>
      </x:c>
      <x:c r="H701" s="38" t="n">
        <x:v>26.212</x:v>
      </x:c>
      <x:c r="I701" s="38" t="n">
        <x:v>5.305</x:v>
      </x:c>
      <x:c r="J701" s="38" t="n">
        <x:v>2.835</x:v>
      </x:c>
      <x:c r="K701" s="38" t="n">
        <x:v>1.371</x:v>
      </x:c>
      <x:c r="L701" s="38" t="n">
        <x:f>SUM(G701:K701)</x:f>
        <x:v>119.79399999999998</x:v>
      </x:c>
      <x:c r="M701" s="38" t="n">
        <x:v>138.146</x:v>
      </x:c>
      <x:c r="N701" s="38" t="n">
        <x:v>599.14</x:v>
      </x:c>
      <x:c r="O701" s="38" t="n">
        <x:v>411.55</x:v>
      </x:c>
      <x:c r="P701" s="38" t="n">
        <x:v>400</x:v>
      </x:c>
      <x:c r="Q701" s="38" t="n">
        <x:v>19.88</x:v>
      </x:c>
      <x:c r="R701" s="38" t="n">
        <x:v>43.7475</x:v>
      </x:c>
      <x:c r="S701" s="38" t="n">
        <x:v>91.39</x:v>
      </x:c>
      <x:c r="T701" s="40" t="n">
        <x:v>19.89</x:v>
      </x:c>
      <x:c r="U701" s="40" t="n">
        <x:v>1.42</x:v>
      </x:c>
      <x:c r="V701" s="38" t="n">
        <x:f>L701*(1-T701/100)*(1-U701/100)</x:f>
        <x:v>94.60424237771998</x:v>
      </x:c>
      <x:c r="W701" s="38" t="n">
        <x:f>G701*N701</x:f>
        <x:v>50370.29894</x:v>
      </x:c>
      <x:c r="X701" s="38" t="n">
        <x:f>H701*O701</x:f>
        <x:v>10787.5486</x:v>
      </x:c>
      <x:c r="Y701" s="38" t="n">
        <x:f>I701*P701</x:f>
        <x:v>2122</x:v>
      </x:c>
      <x:c r="Z701" s="38" t="n">
        <x:f>J701*Q701+K701*P701</x:f>
        <x:v>604.7597999999999</x:v>
      </x:c>
      <x:c r="AA701" s="38" t="n">
        <x:f>M701*R701</x:f>
        <x:v>6043.542135</x:v>
      </x:c>
      <x:c r="AB701" s="38" t="n">
        <x:f>SUM(W701:AA701)</x:f>
        <x:v>69928.149475</x:v>
      </x:c>
      <x:c r="AC701" s="38" t="n">
        <x:v>8.22</x:v>
      </x:c>
      <x:c r="AD701" s="38" t="n">
        <x:v>174.33</x:v>
      </x:c>
      <x:c r="AE701" s="38" t="n">
        <x:v>32.53</x:v>
      </x:c>
      <x:c r="AF701" s="38" t="n">
        <x:v>4.8148</x:v>
      </x:c>
      <x:c r="AG701" s="38" t="n">
        <x:v>5.88</x:v>
      </x:c>
      <x:c r="AH701" s="38" t="n">
        <x:f>IF(E701="Fason",L701*S701,0)</x:f>
        <x:v>10947.973659999998</x:v>
      </x:c>
      <x:c r="AI701" s="38" t="n">
        <x:f>IF(E701="Kurum içi",AC701*AD701+AE701*AF701+AB701*12%,0)</x:f>
        <x:v>0</x:v>
      </x:c>
      <x:c r="AJ701" s="38" t="n">
        <x:f>V701*AG701</x:f>
        <x:v>556.2729451809935</x:v>
      </x:c>
      <x:c r="AK701" s="38" t="n">
        <x:f>AB701*2%</x:f>
        <x:v>1398.5629895</x:v>
      </x:c>
      <x:c r="AL701" s="38" t="n">
        <x:f>AB701+AH701+AI701+AJ701+AK701</x:f>
        <x:v>82830.95906968099</x:v>
      </x:c>
      <x:c r="AM701" s="38" t="n">
        <x:f>AL701/V701</x:f>
        <x:v>875.5522689877628</x:v>
      </x:c>
      <x:c r="AN701" s="40" t="n">
        <x:f>(W701+X701)/AL701*100</x:f>
        <x:v>73.8345278467093</x:v>
      </x:c>
      <x:c r="AO701" s="28" t="str">
        <x:v>R01-R20; ilgili satırdaki bölgesel fiyat ve maliyet varsayımları</x:v>
      </x:c>
      <x:c r="AP701" s="28" t="str">
        <x:v>Girdi miktarları, alım fiyatı değişimi, fason bedeli ve parti sonucu simüle edilmiştir; işletme kaydı değildir.</x:v>
      </x:c>
    </x:row>
    <x:row r="702" ht="22" customHeight="1">
      <x:c r="A702" t="str">
        <x:v>SUC-0701</x:v>
      </x:c>
      <x:c r="B702" s="36" t="n">
        <x:v>46317</x:v>
      </x:c>
      <x:c r="C702" t="str">
        <x:v>İç Anadolu</x:v>
      </x:c>
      <x:c r="D702" t="str">
        <x:v>MEB_STANDART</x:v>
      </x:c>
      <x:c r="E702" t="str">
        <x:v>Kurum içi</x:v>
      </x:c>
      <x:c r="F702" s="42" t="str">
        <x:v>SENTETİK/SİMÜLE — gerçek parti kaydı değildir</x:v>
      </x:c>
      <x:c r="G702" s="38" t="n">
        <x:v>127.008</x:v>
      </x:c>
      <x:c r="H702" s="38" t="n">
        <x:v>41.088</x:v>
      </x:c>
      <x:c r="I702" s="38" t="n">
        <x:v>7.62</x:v>
      </x:c>
      <x:c r="J702" s="38" t="n">
        <x:v>4.774</x:v>
      </x:c>
      <x:c r="K702" s="38" t="n">
        <x:v>1.813</x:v>
      </x:c>
      <x:c r="L702" s="38" t="n">
        <x:f>SUM(G702:K702)</x:f>
        <x:v>182.303</x:v>
      </x:c>
      <x:c r="M702" s="38" t="n">
        <x:v>214.348</x:v>
      </x:c>
      <x:c r="N702" s="38" t="n">
        <x:v>581.99</x:v>
      </x:c>
      <x:c r="O702" s="38" t="n">
        <x:v>443.95</x:v>
      </x:c>
      <x:c r="P702" s="38" t="n">
        <x:v>669.9</x:v>
      </x:c>
      <x:c r="Q702" s="38" t="n">
        <x:v>19.88</x:v>
      </x:c>
      <x:c r="R702" s="38" t="n">
        <x:v>43.7475</x:v>
      </x:c>
      <x:c r="S702" s="38" t="n">
        <x:v>74.86</x:v>
      </x:c>
      <x:c r="T702" s="40" t="n">
        <x:v>16.58</x:v>
      </x:c>
      <x:c r="U702" s="40" t="n">
        <x:v>0.63</x:v>
      </x:c>
      <x:c r="V702" s="38" t="n">
        <x:f>L702*(1-T702/100)*(1-U702/100)</x:f>
        <x:v>151.11907647562</x:v>
      </x:c>
      <x:c r="W702" s="38" t="n">
        <x:f>G702*N702</x:f>
        <x:v>73917.38592</x:v>
      </x:c>
      <x:c r="X702" s="38" t="n">
        <x:f>H702*O702</x:f>
        <x:v>18241.0176</x:v>
      </x:c>
      <x:c r="Y702" s="38" t="n">
        <x:f>I702*P702</x:f>
        <x:v>5104.638</x:v>
      </x:c>
      <x:c r="Z702" s="38" t="n">
        <x:f>J702*Q702+K702*P702</x:f>
        <x:v>1309.43582</x:v>
      </x:c>
      <x:c r="AA702" s="38" t="n">
        <x:f>M702*R702</x:f>
        <x:v>9377.18913</x:v>
      </x:c>
      <x:c r="AB702" s="38" t="n">
        <x:f>SUM(W702:AA702)</x:f>
        <x:v>107949.66647</x:v>
      </x:c>
      <x:c r="AC702" s="38" t="n">
        <x:v>12.06</x:v>
      </x:c>
      <x:c r="AD702" s="38" t="n">
        <x:v>174.33</x:v>
      </x:c>
      <x:c r="AE702" s="38" t="n">
        <x:v>47.59</x:v>
      </x:c>
      <x:c r="AF702" s="38" t="n">
        <x:v>4.8148</x:v>
      </x:c>
      <x:c r="AG702" s="38" t="n">
        <x:v>5.47</x:v>
      </x:c>
      <x:c r="AH702" s="38" t="n">
        <x:f>IF(E702="Fason",L702*S702,0)</x:f>
        <x:v>0</x:v>
      </x:c>
      <x:c r="AI702" s="38" t="n">
        <x:f>IF(E702="Kurum içi",AC702*AD702+AE702*AF702+AB702*12%,0)</x:f>
        <x:v>15285.5161084</x:v>
      </x:c>
      <x:c r="AJ702" s="38" t="n">
        <x:f>V702*AG702</x:f>
        <x:v>826.6213483216413</x:v>
      </x:c>
      <x:c r="AK702" s="38" t="n">
        <x:f>AB702*2%</x:f>
        <x:v>2158.9933293999998</x:v>
      </x:c>
      <x:c r="AL702" s="38" t="n">
        <x:f>AB702+AH702+AI702+AJ702+AK702</x:f>
        <x:v>126220.79725612163</x:v>
      </x:c>
      <x:c r="AM702" s="38" t="n">
        <x:f>AL702/V702</x:f>
        <x:v>835.2406605428455</x:v>
      </x:c>
      <x:c r="AN702" s="40" t="n">
        <x:f>(W702+X702)/AL702*100</x:f>
        <x:v>73.01364396629207</x:v>
      </x:c>
      <x:c r="AO702" s="28" t="str">
        <x:v>R01-R20; ilgili satırdaki bölgesel fiyat ve maliyet varsayımları</x:v>
      </x:c>
      <x:c r="AP702" s="28" t="str">
        <x:v>Girdi miktarları, alım fiyatı değişimi, fason bedeli ve parti sonucu simüle edilmiştir; işletme kaydı değildir.</x:v>
      </x:c>
    </x:row>
    <x:row r="703" ht="22" customHeight="1">
      <x:c r="A703" t="str">
        <x:v>SUC-0702</x:v>
      </x:c>
      <x:c r="B703" s="36" t="n">
        <x:v>46293</x:v>
      </x:c>
      <x:c r="C703" t="str">
        <x:v>Güneydoğu Anadolu</x:v>
      </x:c>
      <x:c r="D703" t="str">
        <x:v>MEB_STANDART</x:v>
      </x:c>
      <x:c r="E703" t="str">
        <x:v>Kurum içi</x:v>
      </x:c>
      <x:c r="F703" s="42" t="str">
        <x:v>SENTETİK/SİMÜLE — gerçek parti kaydı değildir</x:v>
      </x:c>
      <x:c r="G703" s="38" t="n">
        <x:v>137.061</x:v>
      </x:c>
      <x:c r="H703" s="38" t="n">
        <x:v>43.47</x:v>
      </x:c>
      <x:c r="I703" s="38" t="n">
        <x:v>8.94</x:v>
      </x:c>
      <x:c r="J703" s="38" t="n">
        <x:v>4.64</x:v>
      </x:c>
      <x:c r="K703" s="38" t="n">
        <x:v>1.971</x:v>
      </x:c>
      <x:c r="L703" s="38" t="n">
        <x:f>SUM(G703:K703)</x:f>
        <x:v>196.082</x:v>
      </x:c>
      <x:c r="M703" s="38" t="n">
        <x:v>232.34</x:v>
      </x:c>
      <x:c r="N703" s="38" t="n">
        <x:v>575.78</x:v>
      </x:c>
      <x:c r="O703" s="38" t="n">
        <x:v>465.23</x:v>
      </x:c>
      <x:c r="P703" s="38" t="n">
        <x:v>550</x:v>
      </x:c>
      <x:c r="Q703" s="38" t="n">
        <x:v>19.88</x:v>
      </x:c>
      <x:c r="R703" s="38" t="n">
        <x:v>43.7475</x:v>
      </x:c>
      <x:c r="S703" s="38" t="n">
        <x:v>70.43</x:v>
      </x:c>
      <x:c r="T703" s="40" t="n">
        <x:v>29.36</x:v>
      </x:c>
      <x:c r="U703" s="40" t="n">
        <x:v>0.64</x:v>
      </x:c>
      <x:c r="V703" s="38" t="n">
        <x:f>L703*(1-T703/100)*(1-U703/100)</x:f>
        <x:v>137.62584592128</x:v>
      </x:c>
      <x:c r="W703" s="38" t="n">
        <x:f>G703*N703</x:f>
        <x:v>78916.98258</x:v>
      </x:c>
      <x:c r="X703" s="38" t="n">
        <x:f>H703*O703</x:f>
        <x:v>20223.5481</x:v>
      </x:c>
      <x:c r="Y703" s="38" t="n">
        <x:f>I703*P703</x:f>
        <x:v>4917</x:v>
      </x:c>
      <x:c r="Z703" s="38" t="n">
        <x:f>J703*Q703+K703*P703</x:f>
        <x:v>1176.2931999999998</x:v>
      </x:c>
      <x:c r="AA703" s="38" t="n">
        <x:f>M703*R703</x:f>
        <x:v>10164.294150000002</x:v>
      </x:c>
      <x:c r="AB703" s="38" t="n">
        <x:f>SUM(W703:AA703)</x:f>
        <x:v>115398.11803</x:v>
      </x:c>
      <x:c r="AC703" s="38" t="n">
        <x:v>9.92</x:v>
      </x:c>
      <x:c r="AD703" s="38" t="n">
        <x:v>174.33</x:v>
      </x:c>
      <x:c r="AE703" s="38" t="n">
        <x:v>47.91</x:v>
      </x:c>
      <x:c r="AF703" s="38" t="n">
        <x:v>4.8148</x:v>
      </x:c>
      <x:c r="AG703" s="38" t="n">
        <x:v>5.39</x:v>
      </x:c>
      <x:c r="AH703" s="38" t="n">
        <x:f>IF(E703="Fason",L703*S703,0)</x:f>
        <x:v>0</x:v>
      </x:c>
      <x:c r="AI703" s="38" t="n">
        <x:f>IF(E703="Kurum içi",AC703*AD703+AE703*AF703+AB703*12%,0)</x:f>
        <x:v>15807.804831599999</x:v>
      </x:c>
      <x:c r="AJ703" s="38" t="n">
        <x:f>V703*AG703</x:f>
        <x:v>741.8033095156991</x:v>
      </x:c>
      <x:c r="AK703" s="38" t="n">
        <x:f>AB703*2%</x:f>
        <x:v>2307.9623606</x:v>
      </x:c>
      <x:c r="AL703" s="38" t="n">
        <x:f>AB703+AH703+AI703+AJ703+AK703</x:f>
        <x:v>134255.6885317157</x:v>
      </x:c>
      <x:c r="AM703" s="38" t="n">
        <x:f>AL703/V703</x:f>
        <x:v>975.5121767499111</x:v>
      </x:c>
      <x:c r="AN703" s="40" t="n">
        <x:f>(W703+X703)/AL703*100</x:f>
        <x:v>73.84456611429144</x:v>
      </x:c>
      <x:c r="AO703" s="28" t="str">
        <x:v>R01-R20; ilgili satırdaki bölgesel fiyat ve maliyet varsayımları</x:v>
      </x:c>
      <x:c r="AP703" s="28" t="str">
        <x:v>Girdi miktarları, alım fiyatı değişimi, fason bedeli ve parti sonucu simüle edilmiştir; işletme kaydı değildir.</x:v>
      </x:c>
    </x:row>
    <x:row r="704" ht="22" customHeight="1">
      <x:c r="A704" t="str">
        <x:v>SUC-0703</x:v>
      </x:c>
      <x:c r="B704" s="36" t="n">
        <x:v>46313</x:v>
      </x:c>
      <x:c r="C704" t="str">
        <x:v>Marmara</x:v>
      </x:c>
      <x:c r="D704" t="str">
        <x:v>MEB_STANDART</x:v>
      </x:c>
      <x:c r="E704" t="str">
        <x:v>Kurum içi</x:v>
      </x:c>
      <x:c r="F704" s="42" t="str">
        <x:v>SENTETİK/SİMÜLE — gerçek parti kaydı değildir</x:v>
      </x:c>
      <x:c r="G704" s="38" t="n">
        <x:v>69.696</x:v>
      </x:c>
      <x:c r="H704" s="38" t="n">
        <x:v>21.312</x:v>
      </x:c>
      <x:c r="I704" s="38" t="n">
        <x:v>4.575</x:v>
      </x:c>
      <x:c r="J704" s="38" t="n">
        <x:v>2.518</x:v>
      </x:c>
      <x:c r="K704" s="38" t="n">
        <x:v>1.068</x:v>
      </x:c>
      <x:c r="L704" s="38" t="n">
        <x:f>SUM(G704:K704)</x:f>
        <x:v>99.169</x:v>
      </x:c>
      <x:c r="M704" s="38" t="n">
        <x:v>131.086</x:v>
      </x:c>
      <x:c r="N704" s="38" t="n">
        <x:v>615.09</x:v>
      </x:c>
      <x:c r="O704" s="38" t="n">
        <x:v>462.8</x:v>
      </x:c>
      <x:c r="P704" s="38" t="n">
        <x:v>550</x:v>
      </x:c>
      <x:c r="Q704" s="38" t="n">
        <x:v>19.88</x:v>
      </x:c>
      <x:c r="R704" s="38" t="n">
        <x:v>43.7475</x:v>
      </x:c>
      <x:c r="S704" s="38" t="n">
        <x:v>120.9</x:v>
      </x:c>
      <x:c r="T704" s="40" t="n">
        <x:v>25.82</x:v>
      </x:c>
      <x:c r="U704" s="40" t="n">
        <x:v>1.26</x:v>
      </x:c>
      <x:c r="V704" s="38" t="n">
        <x:f>L704*(1-T704/100)*(1-U704/100)</x:f>
        <x:v>72.63666329108001</x:v>
      </x:c>
      <x:c r="W704" s="38" t="n">
        <x:f>G704*N704</x:f>
        <x:v>42869.312640000004</x:v>
      </x:c>
      <x:c r="X704" s="38" t="n">
        <x:f>H704*O704</x:f>
        <x:v>9863.1936</x:v>
      </x:c>
      <x:c r="Y704" s="38" t="n">
        <x:f>I704*P704</x:f>
        <x:v>2516.25</x:v>
      </x:c>
      <x:c r="Z704" s="38" t="n">
        <x:f>J704*Q704+K704*P704</x:f>
        <x:v>637.4578399999999</x:v>
      </x:c>
      <x:c r="AA704" s="38" t="n">
        <x:f>M704*R704</x:f>
        <x:v>5734.684785000001</x:v>
      </x:c>
      <x:c r="AB704" s="38" t="n">
        <x:f>SUM(W704:AA704)</x:f>
        <x:v>61620.89886500001</x:v>
      </x:c>
      <x:c r="AC704" s="38" t="n">
        <x:v>5.39</x:v>
      </x:c>
      <x:c r="AD704" s="38" t="n">
        <x:v>174.33</x:v>
      </x:c>
      <x:c r="AE704" s="38" t="n">
        <x:v>40.34</x:v>
      </x:c>
      <x:c r="AF704" s="38" t="n">
        <x:v>4.8148</x:v>
      </x:c>
      <x:c r="AG704" s="38" t="n">
        <x:v>5.27</x:v>
      </x:c>
      <x:c r="AH704" s="38" t="n">
        <x:f>IF(E704="Fason",L704*S704,0)</x:f>
        <x:v>0</x:v>
      </x:c>
      <x:c r="AI704" s="38" t="n">
        <x:f>IF(E704="Kurum içi",AC704*AD704+AE704*AF704+AB704*12%,0)</x:f>
        <x:v>8528.375595800002</x:v>
      </x:c>
      <x:c r="AJ704" s="38" t="n">
        <x:f>V704*AG704</x:f>
        <x:v>382.7952155439916</x:v>
      </x:c>
      <x:c r="AK704" s="38" t="n">
        <x:f>AB704*2%</x:f>
        <x:v>1232.4179773000003</x:v>
      </x:c>
      <x:c r="AL704" s="38" t="n">
        <x:f>AB704+AH704+AI704+AJ704+AK704</x:f>
        <x:v>71764.487653644</x:v>
      </x:c>
      <x:c r="AM704" s="38" t="n">
        <x:f>AL704/V704</x:f>
        <x:v>987.9926252402191</x:v>
      </x:c>
      <x:c r="AN704" s="40" t="n">
        <x:f>(W704+X704)/AL704*100</x:f>
        <x:v>73.47994525440244</x:v>
      </x:c>
      <x:c r="AO704" s="28" t="str">
        <x:v>R01-R20; ilgili satırdaki bölgesel fiyat ve maliyet varsayımları</x:v>
      </x:c>
      <x:c r="AP704" s="28" t="str">
        <x:v>Girdi miktarları, alım fiyatı değişimi, fason bedeli ve parti sonucu simüle edilmiştir; işletme kaydı değildir.</x:v>
      </x:c>
    </x:row>
    <x:row r="705" ht="22" customHeight="1">
      <x:c r="A705" t="str">
        <x:v>SUC-0704</x:v>
      </x:c>
      <x:c r="B705" s="36" t="n">
        <x:v>46295</x:v>
      </x:c>
      <x:c r="C705" t="str">
        <x:v>Güneydoğu Anadolu</x:v>
      </x:c>
      <x:c r="D705" t="str">
        <x:v>MEB_STANDART</x:v>
      </x:c>
      <x:c r="E705" t="str">
        <x:v>Kurum içi</x:v>
      </x:c>
      <x:c r="F705" s="42" t="str">
        <x:v>SENTETİK/SİMÜLE — gerçek parti kaydı değildir</x:v>
      </x:c>
      <x:c r="G705" s="38" t="n">
        <x:v>137.924</x:v>
      </x:c>
      <x:c r="H705" s="38" t="n">
        <x:v>43.413</x:v>
      </x:c>
      <x:c r="I705" s="38" t="n">
        <x:v>8.543</x:v>
      </x:c>
      <x:c r="J705" s="38" t="n">
        <x:v>4.551</x:v>
      </x:c>
      <x:c r="K705" s="38" t="n">
        <x:v>2.154</x:v>
      </x:c>
      <x:c r="L705" s="38" t="n">
        <x:f>SUM(G705:K705)</x:f>
        <x:v>196.58499999999998</x:v>
      </x:c>
      <x:c r="M705" s="38" t="n">
        <x:v>258.615</x:v>
      </x:c>
      <x:c r="N705" s="38" t="n">
        <x:v>568.35</x:v>
      </x:c>
      <x:c r="O705" s="38" t="n">
        <x:v>431.34</x:v>
      </x:c>
      <x:c r="P705" s="38" t="n">
        <x:v>669.9</x:v>
      </x:c>
      <x:c r="Q705" s="38" t="n">
        <x:v>19.88</x:v>
      </x:c>
      <x:c r="R705" s="38" t="n">
        <x:v>43.7475</x:v>
      </x:c>
      <x:c r="S705" s="38" t="n">
        <x:v>67.14</x:v>
      </x:c>
      <x:c r="T705" s="40" t="n">
        <x:v>20.12</x:v>
      </x:c>
      <x:c r="U705" s="40" t="n">
        <x:v>0.62</x:v>
      </x:c>
      <x:c r="V705" s="38" t="n">
        <x:f>L705*(1-T705/100)*(1-U705/100)</x:f>
        <x:v>156.05849899239996</x:v>
      </x:c>
      <x:c r="W705" s="38" t="n">
        <x:f>G705*N705</x:f>
        <x:v>78389.1054</x:v>
      </x:c>
      <x:c r="X705" s="38" t="n">
        <x:f>H705*O705</x:f>
        <x:v>18725.763419999996</x:v>
      </x:c>
      <x:c r="Y705" s="38" t="n">
        <x:f>I705*P705</x:f>
        <x:v>5722.9556999999995</x:v>
      </x:c>
      <x:c r="Z705" s="38" t="n">
        <x:f>J705*Q705+K705*P705</x:f>
        <x:v>1533.4384799999998</x:v>
      </x:c>
      <x:c r="AA705" s="38" t="n">
        <x:f>M705*R705</x:f>
        <x:v>11313.759712500001</x:v>
      </x:c>
      <x:c r="AB705" s="38" t="n">
        <x:f>SUM(W705:AA705)</x:f>
        <x:v>115685.02271250001</x:v>
      </x:c>
      <x:c r="AC705" s="38" t="n">
        <x:v>9.09</x:v>
      </x:c>
      <x:c r="AD705" s="38" t="n">
        <x:v>174.33</x:v>
      </x:c>
      <x:c r="AE705" s="38" t="n">
        <x:v>52.18</x:v>
      </x:c>
      <x:c r="AF705" s="38" t="n">
        <x:v>4.8148</x:v>
      </x:c>
      <x:c r="AG705" s="38" t="n">
        <x:v>5.21</x:v>
      </x:c>
      <x:c r="AH705" s="38" t="n">
        <x:f>IF(E705="Fason",L705*S705,0)</x:f>
        <x:v>0</x:v>
      </x:c>
      <x:c r="AI705" s="38" t="n">
        <x:f>IF(E705="Kurum içi",AC705*AD705+AE705*AF705+AB705*12%,0)</x:f>
        <x:v>15718.098689500002</x:v>
      </x:c>
      <x:c r="AJ705" s="38" t="n">
        <x:f>V705*AG705</x:f>
        <x:v>813.0647797504038</x:v>
      </x:c>
      <x:c r="AK705" s="38" t="n">
        <x:f>AB705*2%</x:f>
        <x:v>2313.7004542500003</x:v>
      </x:c>
      <x:c r="AL705" s="38" t="n">
        <x:f>AB705+AH705+AI705+AJ705+AK705</x:f>
        <x:v>134529.88663600042</x:v>
      </x:c>
      <x:c r="AM705" s="38" t="n">
        <x:f>AL705/V705</x:f>
        <x:v>862.0478058202522</x:v>
      </x:c>
      <x:c r="AN705" s="40" t="n">
        <x:f>(W705+X705)/AL705*100</x:f>
        <x:v>72.18832279459598</x:v>
      </x:c>
      <x:c r="AO705" s="28" t="str">
        <x:v>R01-R20; ilgili satırdaki bölgesel fiyat ve maliyet varsayımları</x:v>
      </x:c>
      <x:c r="AP705" s="28" t="str">
        <x:v>Girdi miktarları, alım fiyatı değişimi, fason bedeli ve parti sonucu simüle edilmiştir; işletme kaydı değildir.</x:v>
      </x:c>
    </x:row>
    <x:row r="706" ht="22" customHeight="1">
      <x:c r="A706" t="str">
        <x:v>SUC-0705</x:v>
      </x:c>
      <x:c r="B706" s="36" t="n">
        <x:v>46268</x:v>
      </x:c>
      <x:c r="C706" t="str">
        <x:v>İç Anadolu</x:v>
      </x:c>
      <x:c r="D706" t="str">
        <x:v>MEB_STANDART</x:v>
      </x:c>
      <x:c r="E706" t="str">
        <x:v>Kurum içi</x:v>
      </x:c>
      <x:c r="F706" s="42" t="str">
        <x:v>SENTETİK/SİMÜLE — gerçek parti kaydı değildir</x:v>
      </x:c>
      <x:c r="G706" s="38" t="n">
        <x:v>299.509</x:v>
      </x:c>
      <x:c r="H706" s="38" t="n">
        <x:v>90.587</x:v>
      </x:c>
      <x:c r="I706" s="38" t="n">
        <x:v>18.532</x:v>
      </x:c>
      <x:c r="J706" s="38" t="n">
        <x:v>10.693</x:v>
      </x:c>
      <x:c r="K706" s="38" t="n">
        <x:v>4.134</x:v>
      </x:c>
      <x:c r="L706" s="38" t="n">
        <x:f>SUM(G706:K706)</x:f>
        <x:v>423.455</x:v>
      </x:c>
      <x:c r="M706" s="38" t="n">
        <x:v>522.335</x:v>
      </x:c>
      <x:c r="N706" s="38" t="n">
        <x:v>587.08</x:v>
      </x:c>
      <x:c r="O706" s="38" t="n">
        <x:v>448.96</x:v>
      </x:c>
      <x:c r="P706" s="38" t="n">
        <x:v>550</x:v>
      </x:c>
      <x:c r="Q706" s="38" t="n">
        <x:v>19.88</x:v>
      </x:c>
      <x:c r="R706" s="38" t="n">
        <x:v>43.7475</x:v>
      </x:c>
      <x:c r="S706" s="38" t="n">
        <x:v>72.97</x:v>
      </x:c>
      <x:c r="T706" s="40" t="n">
        <x:v>19.05</x:v>
      </x:c>
      <x:c r="U706" s="40" t="n">
        <x:v>1.48</x:v>
      </x:c>
      <x:c r="V706" s="38" t="n">
        <x:f>L706*(1-T706/100)*(1-U706/100)</x:f>
        <x:v>337.713577527</x:v>
      </x:c>
      <x:c r="W706" s="38" t="n">
        <x:f>G706*N706</x:f>
        <x:v>175835.74372000003</x:v>
      </x:c>
      <x:c r="X706" s="38" t="n">
        <x:f>H706*O706</x:f>
        <x:v>40669.93952</x:v>
      </x:c>
      <x:c r="Y706" s="38" t="n">
        <x:f>I706*P706</x:f>
        <x:v>10192.6</x:v>
      </x:c>
      <x:c r="Z706" s="38" t="n">
        <x:f>J706*Q706+K706*P706</x:f>
        <x:v>2486.2768400000004</x:v>
      </x:c>
      <x:c r="AA706" s="38" t="n">
        <x:f>M706*R706</x:f>
        <x:v>22850.850412500004</x:v>
      </x:c>
      <x:c r="AB706" s="38" t="n">
        <x:f>SUM(W706:AA706)</x:f>
        <x:v>252035.41049250006</x:v>
      </x:c>
      <x:c r="AC706" s="38" t="n">
        <x:v>21.2</x:v>
      </x:c>
      <x:c r="AD706" s="38" t="n">
        <x:v>174.33</x:v>
      </x:c>
      <x:c r="AE706" s="38" t="n">
        <x:v>138.33</x:v>
      </x:c>
      <x:c r="AF706" s="38" t="n">
        <x:v>4.8148</x:v>
      </x:c>
      <x:c r="AG706" s="38" t="n">
        <x:v>5.69</x:v>
      </x:c>
      <x:c r="AH706" s="38" t="n">
        <x:f>IF(E706="Fason",L706*S706,0)</x:f>
        <x:v>0</x:v>
      </x:c>
      <x:c r="AI706" s="38" t="n">
        <x:f>IF(E706="Kurum içi",AC706*AD706+AE706*AF706+AB706*12%,0)</x:f>
        <x:v>34606.0765431</x:v>
      </x:c>
      <x:c r="AJ706" s="38" t="n">
        <x:f>V706*AG706</x:f>
        <x:v>1921.59025612863</x:v>
      </x:c>
      <x:c r="AK706" s="38" t="n">
        <x:f>AB706*2%</x:f>
        <x:v>5040.708209850001</x:v>
      </x:c>
      <x:c r="AL706" s="38" t="n">
        <x:f>AB706+AH706+AI706+AJ706+AK706</x:f>
        <x:v>293603.7855015787</x:v>
      </x:c>
      <x:c r="AM706" s="38" t="n">
        <x:f>AL706/V706</x:f>
        <x:v>869.3869747600103</x:v>
      </x:c>
      <x:c r="AN706" s="40" t="n">
        <x:f>(W706+X706)/AL706*100</x:f>
        <x:v>73.74076695575708</x:v>
      </x:c>
      <x:c r="AO706" s="28" t="str">
        <x:v>R01-R20; ilgili satırdaki bölgesel fiyat ve maliyet varsayımları</x:v>
      </x:c>
      <x:c r="AP706" s="28" t="str">
        <x:v>Girdi miktarları, alım fiyatı değişimi, fason bedeli ve parti sonucu simüle edilmiştir; işletme kaydı değildir.</x:v>
      </x:c>
    </x:row>
    <x:row r="707" ht="22" customHeight="1">
      <x:c r="A707" t="str">
        <x:v>SUC-0706</x:v>
      </x:c>
      <x:c r="B707" s="36" t="n">
        <x:v>46289</x:v>
      </x:c>
      <x:c r="C707" t="str">
        <x:v>Karadeniz</x:v>
      </x:c>
      <x:c r="D707" t="str">
        <x:v>MEB_STANDART</x:v>
      </x:c>
      <x:c r="E707" t="str">
        <x:v>Kurum içi</x:v>
      </x:c>
      <x:c r="F707" s="42" t="str">
        <x:v>SENTETİK/SİMÜLE — gerçek parti kaydı değildir</x:v>
      </x:c>
      <x:c r="G707" s="38" t="n">
        <x:v>248.906</x:v>
      </x:c>
      <x:c r="H707" s="38" t="n">
        <x:v>75.041</x:v>
      </x:c>
      <x:c r="I707" s="38" t="n">
        <x:v>16.834</x:v>
      </x:c>
      <x:c r="J707" s="38" t="n">
        <x:v>8.487</x:v>
      </x:c>
      <x:c r="K707" s="38" t="n">
        <x:v>3.568</x:v>
      </x:c>
      <x:c r="L707" s="38" t="n">
        <x:f>SUM(G707:K707)</x:f>
        <x:v>352.836</x:v>
      </x:c>
      <x:c r="M707" s="38" t="n">
        <x:v>447.92</x:v>
      </x:c>
      <x:c r="N707" s="38" t="n">
        <x:v>599.35</x:v>
      </x:c>
      <x:c r="O707" s="38" t="n">
        <x:v>458.28</x:v>
      </x:c>
      <x:c r="P707" s="38" t="n">
        <x:v>669.9</x:v>
      </x:c>
      <x:c r="Q707" s="38" t="n">
        <x:v>19.88</x:v>
      </x:c>
      <x:c r="R707" s="38" t="n">
        <x:v>43.7475</x:v>
      </x:c>
      <x:c r="S707" s="38" t="n">
        <x:v>122.82</x:v>
      </x:c>
      <x:c r="T707" s="40" t="n">
        <x:v>18.69</x:v>
      </x:c>
      <x:c r="U707" s="40" t="n">
        <x:v>1.39</x:v>
      </x:c>
      <x:c r="V707" s="38" t="n">
        <x:f>L707*(1-T707/100)*(1-U707/100)</x:f>
        <x:v>282.90316737276</x:v>
      </x:c>
      <x:c r="W707" s="38" t="n">
        <x:f>G707*N707</x:f>
        <x:v>149181.81110000002</x:v>
      </x:c>
      <x:c r="X707" s="38" t="n">
        <x:f>H707*O707</x:f>
        <x:v>34389.78948</x:v>
      </x:c>
      <x:c r="Y707" s="38" t="n">
        <x:f>I707*P707</x:f>
        <x:v>11277.096599999999</x:v>
      </x:c>
      <x:c r="Z707" s="38" t="n">
        <x:f>J707*Q707+K707*P707</x:f>
        <x:v>2558.92476</x:v>
      </x:c>
      <x:c r="AA707" s="38" t="n">
        <x:f>M707*R707</x:f>
        <x:v>19595.380200000003</x:v>
      </x:c>
      <x:c r="AB707" s="38" t="n">
        <x:f>SUM(W707:AA707)</x:f>
        <x:v>217003.00214000003</x:v>
      </x:c>
      <x:c r="AC707" s="38" t="n">
        <x:v>21.55</x:v>
      </x:c>
      <x:c r="AD707" s="38" t="n">
        <x:v>174.33</x:v>
      </x:c>
      <x:c r="AE707" s="38" t="n">
        <x:v>99.96</x:v>
      </x:c>
      <x:c r="AF707" s="38" t="n">
        <x:v>4.8148</x:v>
      </x:c>
      <x:c r="AG707" s="38" t="n">
        <x:v>5.4</x:v>
      </x:c>
      <x:c r="AH707" s="38" t="n">
        <x:f>IF(E707="Fason",L707*S707,0)</x:f>
        <x:v>0</x:v>
      </x:c>
      <x:c r="AI707" s="38" t="n">
        <x:f>IF(E707="Kurum içi",AC707*AD707+AE707*AF707+AB707*12%,0)</x:f>
        <x:v>30278.459164800002</x:v>
      </x:c>
      <x:c r="AJ707" s="38" t="n">
        <x:f>V707*AG707</x:f>
        <x:v>1527.677103812904</x:v>
      </x:c>
      <x:c r="AK707" s="38" t="n">
        <x:f>AB707*2%</x:f>
        <x:v>4340.060042800001</x:v>
      </x:c>
      <x:c r="AL707" s="38" t="n">
        <x:f>AB707+AH707+AI707+AJ707+AK707</x:f>
        <x:v>253149.19845141293</x:v>
      </x:c>
      <x:c r="AM707" s="38" t="n">
        <x:f>AL707/V707</x:f>
        <x:v>894.826313902161</x:v>
      </x:c>
      <x:c r="AN707" s="40" t="n">
        <x:f>(W707+X707)/AL707*100</x:f>
        <x:v>72.51518144357586</x:v>
      </x:c>
      <x:c r="AO707" s="28" t="str">
        <x:v>R01-R20; ilgili satırdaki bölgesel fiyat ve maliyet varsayımları</x:v>
      </x:c>
      <x:c r="AP707" s="28" t="str">
        <x:v>Girdi miktarları, alım fiyatı değişimi, fason bedeli ve parti sonucu simüle edilmiştir; işletme kaydı değildir.</x:v>
      </x:c>
    </x:row>
    <x:row r="708" ht="22" customHeight="1">
      <x:c r="A708" t="str">
        <x:v>SUC-0707</x:v>
      </x:c>
      <x:c r="B708" s="36" t="n">
        <x:v>46277</x:v>
      </x:c>
      <x:c r="C708" t="str">
        <x:v>Karadeniz</x:v>
      </x:c>
      <x:c r="D708" t="str">
        <x:v>ERZURUM_CI</x:v>
      </x:c>
      <x:c r="E708" t="str">
        <x:v>Kurum içi</x:v>
      </x:c>
      <x:c r="F708" s="42" t="str">
        <x:v>SENTETİK/SİMÜLE — gerçek parti kaydı değildir</x:v>
      </x:c>
      <x:c r="G708" s="38" t="n">
        <x:v>87.692</x:v>
      </x:c>
      <x:c r="H708" s="38" t="n">
        <x:v>15.035</x:v>
      </x:c>
      <x:c r="I708" s="38" t="n">
        <x:v>5.313</x:v>
      </x:c>
      <x:c r="J708" s="38" t="n">
        <x:v>1.766</x:v>
      </x:c>
      <x:c r="K708" s="38" t="n">
        <x:v>0.167</x:v>
      </x:c>
      <x:c r="L708" s="38" t="n">
        <x:f>SUM(G708:K708)</x:f>
        <x:v>109.973</x:v>
      </x:c>
      <x:c r="M708" s="38" t="n">
        <x:v>141.043</x:v>
      </x:c>
      <x:c r="N708" s="38" t="n">
        <x:v>613.46</x:v>
      </x:c>
      <x:c r="O708" s="38" t="n">
        <x:v>472.73</x:v>
      </x:c>
      <x:c r="P708" s="38" t="n">
        <x:v>400</x:v>
      </x:c>
      <x:c r="Q708" s="38" t="n">
        <x:v>19.88</x:v>
      </x:c>
      <x:c r="R708" s="38" t="n">
        <x:v>43.7475</x:v>
      </x:c>
      <x:c r="S708" s="38" t="n">
        <x:v>113.26</x:v>
      </x:c>
      <x:c r="T708" s="40" t="n">
        <x:v>25.53</x:v>
      </x:c>
      <x:c r="U708" s="40" t="n">
        <x:v>0.86</x:v>
      </x:c>
      <x:c r="V708" s="38" t="n">
        <x:f>L708*(1-T708/100)*(1-U708/100)</x:f>
        <x:v>81.19257981933998</x:v>
      </x:c>
      <x:c r="W708" s="38" t="n">
        <x:f>G708*N708</x:f>
        <x:v>53795.53432</x:v>
      </x:c>
      <x:c r="X708" s="38" t="n">
        <x:f>H708*O708</x:f>
        <x:v>7107.495550000001</x:v>
      </x:c>
      <x:c r="Y708" s="38" t="n">
        <x:f>I708*P708</x:f>
        <x:v>2125.2</x:v>
      </x:c>
      <x:c r="Z708" s="38" t="n">
        <x:f>J708*Q708+K708*P708</x:f>
        <x:v>101.90808</x:v>
      </x:c>
      <x:c r="AA708" s="38" t="n">
        <x:f>M708*R708</x:f>
        <x:v>6170.2786425</x:v>
      </x:c>
      <x:c r="AB708" s="38" t="n">
        <x:f>SUM(W708:AA708)</x:f>
        <x:v>69300.4165925</x:v>
      </x:c>
      <x:c r="AC708" s="38" t="n">
        <x:v>5.9</x:v>
      </x:c>
      <x:c r="AD708" s="38" t="n">
        <x:v>174.33</x:v>
      </x:c>
      <x:c r="AE708" s="38" t="n">
        <x:v>27.38</x:v>
      </x:c>
      <x:c r="AF708" s="38" t="n">
        <x:v>4.8148</x:v>
      </x:c>
      <x:c r="AG708" s="38" t="n">
        <x:v>5.71</x:v>
      </x:c>
      <x:c r="AH708" s="38" t="n">
        <x:f>IF(E708="Fason",L708*S708,0)</x:f>
        <x:v>0</x:v>
      </x:c>
      <x:c r="AI708" s="38" t="n">
        <x:f>IF(E708="Kurum içi",AC708*AD708+AE708*AF708+AB708*12%,0)</x:f>
        <x:v>9476.426215099998</x:v>
      </x:c>
      <x:c r="AJ708" s="38" t="n">
        <x:f>V708*AG708</x:f>
        <x:v>463.6096307684313</x:v>
      </x:c>
      <x:c r="AK708" s="38" t="n">
        <x:f>AB708*2%</x:f>
        <x:v>1386.0083318499999</x:v>
      </x:c>
      <x:c r="AL708" s="38" t="n">
        <x:f>AB708+AH708+AI708+AJ708+AK708</x:f>
        <x:v>80626.46077021843</x:v>
      </x:c>
      <x:c r="AM708" s="38" t="n">
        <x:f>AL708/V708</x:f>
        <x:v>993.0274533660439</x:v>
      </x:c>
      <x:c r="AN708" s="40" t="n">
        <x:f>(W708+X708)/AL708*100</x:f>
        <x:v>75.53727310885037</x:v>
      </x:c>
      <x:c r="AO708" s="28" t="str">
        <x:v>R01-R20; ilgili satırdaki bölgesel fiyat ve maliyet varsayımları</x:v>
      </x:c>
      <x:c r="AP708" s="28" t="str">
        <x:v>Girdi miktarları, alım fiyatı değişimi, fason bedeli ve parti sonucu simüle edilmiştir; işletme kaydı değildir.</x:v>
      </x:c>
    </x:row>
    <x:row r="709" ht="22" customHeight="1">
      <x:c r="A709" t="str">
        <x:v>SUC-0708</x:v>
      </x:c>
      <x:c r="B709" s="36" t="n">
        <x:v>46312</x:v>
      </x:c>
      <x:c r="C709" t="str">
        <x:v>İç Anadolu</x:v>
      </x:c>
      <x:c r="D709" t="str">
        <x:v>MEB_STANDART</x:v>
      </x:c>
      <x:c r="E709" t="str">
        <x:v>Kurum içi</x:v>
      </x:c>
      <x:c r="F709" s="42" t="str">
        <x:v>SENTETİK/SİMÜLE — gerçek parti kaydı değildir</x:v>
      </x:c>
      <x:c r="G709" s="38" t="n">
        <x:v>154.965</x:v>
      </x:c>
      <x:c r="H709" s="38" t="n">
        <x:v>50.182</x:v>
      </x:c>
      <x:c r="I709" s="38" t="n">
        <x:v>9.801</x:v>
      </x:c>
      <x:c r="J709" s="38" t="n">
        <x:v>5.749</x:v>
      </x:c>
      <x:c r="K709" s="38" t="n">
        <x:v>1.93</x:v>
      </x:c>
      <x:c r="L709" s="38" t="n">
        <x:f>SUM(G709:K709)</x:f>
        <x:v>222.62699999999998</x:v>
      </x:c>
      <x:c r="M709" s="38" t="n">
        <x:v>291.74</x:v>
      </x:c>
      <x:c r="N709" s="38" t="n">
        <x:v>582.63</x:v>
      </x:c>
      <x:c r="O709" s="38" t="n">
        <x:v>428.99</x:v>
      </x:c>
      <x:c r="P709" s="38" t="n">
        <x:v>669.9</x:v>
      </x:c>
      <x:c r="Q709" s="38" t="n">
        <x:v>19.88</x:v>
      </x:c>
      <x:c r="R709" s="38" t="n">
        <x:v>43.7475</x:v>
      </x:c>
      <x:c r="S709" s="38" t="n">
        <x:v>82.97</x:v>
      </x:c>
      <x:c r="T709" s="40" t="n">
        <x:v>22.57</x:v>
      </x:c>
      <x:c r="U709" s="40" t="n">
        <x:v>1.02</x:v>
      </x:c>
      <x:c r="V709" s="38" t="n">
        <x:f>L709*(1-T709/100)*(1-U709/100)</x:f>
        <x:v>170.62180922177998</x:v>
      </x:c>
      <x:c r="W709" s="38" t="n">
        <x:f>G709*N709</x:f>
        <x:v>90287.25795</x:v>
      </x:c>
      <x:c r="X709" s="38" t="n">
        <x:f>H709*O709</x:f>
        <x:v>21527.57618</x:v>
      </x:c>
      <x:c r="Y709" s="38" t="n">
        <x:f>I709*P709</x:f>
        <x:v>6565.6899</x:v>
      </x:c>
      <x:c r="Z709" s="38" t="n">
        <x:f>J709*Q709+K709*P709</x:f>
        <x:v>1407.1971199999998</x:v>
      </x:c>
      <x:c r="AA709" s="38" t="n">
        <x:f>M709*R709</x:f>
        <x:v>12762.89565</x:v>
      </x:c>
      <x:c r="AB709" s="38" t="n">
        <x:f>SUM(W709:AA709)</x:f>
        <x:v>132550.6168</x:v>
      </x:c>
      <x:c r="AC709" s="38" t="n">
        <x:v>14.73</x:v>
      </x:c>
      <x:c r="AD709" s="38" t="n">
        <x:v>174.33</x:v>
      </x:c>
      <x:c r="AE709" s="38" t="n">
        <x:v>68.44</x:v>
      </x:c>
      <x:c r="AF709" s="38" t="n">
        <x:v>4.8148</x:v>
      </x:c>
      <x:c r="AG709" s="38" t="n">
        <x:v>5.55</x:v>
      </x:c>
      <x:c r="AH709" s="38" t="n">
        <x:f>IF(E709="Fason",L709*S709,0)</x:f>
        <x:v>0</x:v>
      </x:c>
      <x:c r="AI709" s="38" t="n">
        <x:f>IF(E709="Kurum içi",AC709*AD709+AE709*AF709+AB709*12%,0)</x:f>
        <x:v>18803.479828</x:v>
      </x:c>
      <x:c r="AJ709" s="38" t="n">
        <x:f>V709*AG709</x:f>
        <x:v>946.9510411808789</x:v>
      </x:c>
      <x:c r="AK709" s="38" t="n">
        <x:f>AB709*2%</x:f>
        <x:v>2651.012336</x:v>
      </x:c>
      <x:c r="AL709" s="38" t="n">
        <x:f>AB709+AH709+AI709+AJ709+AK709</x:f>
        <x:v>154952.0600051809</x:v>
      </x:c>
      <x:c r="AM709" s="38" t="n">
        <x:f>AL709/V709</x:f>
        <x:v>908.1609245144563</x:v>
      </x:c>
      <x:c r="AN709" s="40" t="n">
        <x:f>(W709+X709)/AL709*100</x:f>
        <x:v>72.1609213367421</x:v>
      </x:c>
      <x:c r="AO709" s="28" t="str">
        <x:v>R01-R20; ilgili satırdaki bölgesel fiyat ve maliyet varsayımları</x:v>
      </x:c>
      <x:c r="AP709" s="28" t="str">
        <x:v>Girdi miktarları, alım fiyatı değişimi, fason bedeli ve parti sonucu simüle edilmiştir; işletme kaydı değildir.</x:v>
      </x:c>
    </x:row>
    <x:row r="710" ht="22" customHeight="1">
      <x:c r="A710" t="str">
        <x:v>SUC-0709</x:v>
      </x:c>
      <x:c r="B710" s="36" t="n">
        <x:v>46279</x:v>
      </x:c>
      <x:c r="C710" t="str">
        <x:v>Ege</x:v>
      </x:c>
      <x:c r="D710" t="str">
        <x:v>MEB_STANDART</x:v>
      </x:c>
      <x:c r="E710" t="str">
        <x:v>Fason</x:v>
      </x:c>
      <x:c r="F710" s="42" t="str">
        <x:v>SENTETİK/SİMÜLE — gerçek parti kaydı değildir</x:v>
      </x:c>
      <x:c r="G710" s="38" t="n">
        <x:v>339.886</x:v>
      </x:c>
      <x:c r="H710" s="38" t="n">
        <x:v>107.583</x:v>
      </x:c>
      <x:c r="I710" s="38" t="n">
        <x:v>21.148</x:v>
      </x:c>
      <x:c r="J710" s="38" t="n">
        <x:v>12.511</x:v>
      </x:c>
      <x:c r="K710" s="38" t="n">
        <x:v>5.108</x:v>
      </x:c>
      <x:c r="L710" s="38" t="n">
        <x:f>SUM(G710:K710)</x:f>
        <x:v>486.2360000000001</x:v>
      </x:c>
      <x:c r="M710" s="38" t="n">
        <x:v>566.244</x:v>
      </x:c>
      <x:c r="N710" s="38" t="n">
        <x:v>611.09</x:v>
      </x:c>
      <x:c r="O710" s="38" t="n">
        <x:v>475.72</x:v>
      </x:c>
      <x:c r="P710" s="38" t="n">
        <x:v>400</x:v>
      </x:c>
      <x:c r="Q710" s="38" t="n">
        <x:v>19.88</x:v>
      </x:c>
      <x:c r="R710" s="38" t="n">
        <x:v>43.7475</x:v>
      </x:c>
      <x:c r="S710" s="38" t="n">
        <x:v>107.44</x:v>
      </x:c>
      <x:c r="T710" s="40" t="n">
        <x:v>25.32</x:v>
      </x:c>
      <x:c r="U710" s="40" t="n">
        <x:v>1.12</x:v>
      </x:c>
      <x:c r="V710" s="38" t="n">
        <x:f>L710*(1-T710/100)*(1-U710/100)</x:f>
        <x:v>359.0540890982401</x:v>
      </x:c>
      <x:c r="W710" s="38" t="n">
        <x:f>G710*N710</x:f>
        <x:v>207700.93574000002</x:v>
      </x:c>
      <x:c r="X710" s="38" t="n">
        <x:f>H710*O710</x:f>
        <x:v>51179.38476</x:v>
      </x:c>
      <x:c r="Y710" s="38" t="n">
        <x:f>I710*P710</x:f>
        <x:v>8459.2</x:v>
      </x:c>
      <x:c r="Z710" s="38" t="n">
        <x:f>J710*Q710+K710*P710</x:f>
        <x:v>2291.9186799999998</x:v>
      </x:c>
      <x:c r="AA710" s="38" t="n">
        <x:f>M710*R710</x:f>
        <x:v>24771.759390000003</x:v>
      </x:c>
      <x:c r="AB710" s="38" t="n">
        <x:f>SUM(W710:AA710)</x:f>
        <x:v>294403.19857000007</x:v>
      </x:c>
      <x:c r="AC710" s="38" t="n">
        <x:v>26.2</x:v>
      </x:c>
      <x:c r="AD710" s="38" t="n">
        <x:v>174.33</x:v>
      </x:c>
      <x:c r="AE710" s="38" t="n">
        <x:v>233.14</x:v>
      </x:c>
      <x:c r="AF710" s="38" t="n">
        <x:v>4.8148</x:v>
      </x:c>
      <x:c r="AG710" s="38" t="n">
        <x:v>5.8</x:v>
      </x:c>
      <x:c r="AH710" s="38" t="n">
        <x:f>IF(E710="Fason",L710*S710,0)</x:f>
        <x:v>52241.19584000001</x:v>
      </x:c>
      <x:c r="AI710" s="38" t="n">
        <x:f>IF(E710="Kurum içi",AC710*AD710+AE710*AF710+AB710*12%,0)</x:f>
        <x:v>0</x:v>
      </x:c>
      <x:c r="AJ710" s="38" t="n">
        <x:f>V710*AG710</x:f>
        <x:v>2082.5137167697926</x:v>
      </x:c>
      <x:c r="AK710" s="38" t="n">
        <x:f>AB710*2%</x:f>
        <x:v>5888.063971400002</x:v>
      </x:c>
      <x:c r="AL710" s="38" t="n">
        <x:f>AB710+AH710+AI710+AJ710+AK710</x:f>
        <x:v>354614.9720981699</x:v>
      </x:c>
      <x:c r="AM710" s="38" t="n">
        <x:f>AL710/V710</x:f>
        <x:v>987.6366343265468</x:v>
      </x:c>
      <x:c r="AN710" s="40" t="n">
        <x:f>(W710+X710)/AL710*100</x:f>
        <x:v>73.00321217918933</x:v>
      </x:c>
      <x:c r="AO710" s="28" t="str">
        <x:v>R01-R20; ilgili satırdaki bölgesel fiyat ve maliyet varsayımları</x:v>
      </x:c>
      <x:c r="AP710" s="28" t="str">
        <x:v>Girdi miktarları, alım fiyatı değişimi, fason bedeli ve parti sonucu simüle edilmiştir; işletme kaydı değildir.</x:v>
      </x:c>
    </x:row>
    <x:row r="711" ht="22" customHeight="1">
      <x:c r="A711" t="str">
        <x:v>SUC-0710</x:v>
      </x:c>
      <x:c r="B711" s="36" t="n">
        <x:v>46302</x:v>
      </x:c>
      <x:c r="C711" t="str">
        <x:v>Doğu Anadolu</x:v>
      </x:c>
      <x:c r="D711" t="str">
        <x:v>MEB_STANDART</x:v>
      </x:c>
      <x:c r="E711" t="str">
        <x:v>Fason</x:v>
      </x:c>
      <x:c r="F711" s="42" t="str">
        <x:v>SENTETİK/SİMÜLE — gerçek parti kaydı değildir</x:v>
      </x:c>
      <x:c r="G711" s="38" t="n">
        <x:v>337.281</x:v>
      </x:c>
      <x:c r="H711" s="38" t="n">
        <x:v>108.16</x:v>
      </x:c>
      <x:c r="I711" s="38" t="n">
        <x:v>22.851</x:v>
      </x:c>
      <x:c r="J711" s="38" t="n">
        <x:v>12.43</x:v>
      </x:c>
      <x:c r="K711" s="38" t="n">
        <x:v>5.315</x:v>
      </x:c>
      <x:c r="L711" s="38" t="n">
        <x:f>SUM(G711:K711)</x:f>
        <x:v>486.03700000000003</x:v>
      </x:c>
      <x:c r="M711" s="38" t="n">
        <x:v>605.641</x:v>
      </x:c>
      <x:c r="N711" s="38" t="n">
        <x:v>605.91</x:v>
      </x:c>
      <x:c r="O711" s="38" t="n">
        <x:v>412.28</x:v>
      </x:c>
      <x:c r="P711" s="38" t="n">
        <x:v>400</x:v>
      </x:c>
      <x:c r="Q711" s="38" t="n">
        <x:v>19.88</x:v>
      </x:c>
      <x:c r="R711" s="38" t="n">
        <x:v>43.7475</x:v>
      </x:c>
      <x:c r="S711" s="38" t="n">
        <x:v>93.27</x:v>
      </x:c>
      <x:c r="T711" s="40" t="n">
        <x:v>28.99</x:v>
      </x:c>
      <x:c r="U711" s="40" t="n">
        <x:v>1.05</x:v>
      </x:c>
      <x:c r="V711" s="38" t="n">
        <x:f>L711*(1-T711/100)*(1-U711/100)</x:f>
        <x:v>341.51095752615004</x:v>
      </x:c>
      <x:c r="W711" s="38" t="n">
        <x:f>G711*N711</x:f>
        <x:v>204361.93071</x:v>
      </x:c>
      <x:c r="X711" s="38" t="n">
        <x:f>H711*O711</x:f>
        <x:v>44592.20479999999</x:v>
      </x:c>
      <x:c r="Y711" s="38" t="n">
        <x:f>I711*P711</x:f>
        <x:v>9140.4</x:v>
      </x:c>
      <x:c r="Z711" s="38" t="n">
        <x:f>J711*Q711+K711*P711</x:f>
        <x:v>2373.1084</x:v>
      </x:c>
      <x:c r="AA711" s="38" t="n">
        <x:f>M711*R711</x:f>
        <x:v>26495.2796475</x:v>
      </x:c>
      <x:c r="AB711" s="38" t="n">
        <x:f>SUM(W711:AA711)</x:f>
        <x:v>286962.9235575</x:v>
      </x:c>
      <x:c r="AC711" s="38" t="n">
        <x:v>20.13</x:v>
      </x:c>
      <x:c r="AD711" s="38" t="n">
        <x:v>174.33</x:v>
      </x:c>
      <x:c r="AE711" s="38" t="n">
        <x:v>141.7</x:v>
      </x:c>
      <x:c r="AF711" s="38" t="n">
        <x:v>4.8148</x:v>
      </x:c>
      <x:c r="AG711" s="38" t="n">
        <x:v>5.73</x:v>
      </x:c>
      <x:c r="AH711" s="38" t="n">
        <x:f>IF(E711="Fason",L711*S711,0)</x:f>
        <x:v>45332.67099</x:v>
      </x:c>
      <x:c r="AI711" s="38" t="n">
        <x:f>IF(E711="Kurum içi",AC711*AD711+AE711*AF711+AB711*12%,0)</x:f>
        <x:v>0</x:v>
      </x:c>
      <x:c r="AJ711" s="38" t="n">
        <x:f>V711*AG711</x:f>
        <x:v>1956.85778662484</x:v>
      </x:c>
      <x:c r="AK711" s="38" t="n">
        <x:f>AB711*2%</x:f>
        <x:v>5739.25847115</x:v>
      </x:c>
      <x:c r="AL711" s="38" t="n">
        <x:f>AB711+AH711+AI711+AJ711+AK711</x:f>
        <x:v>339991.7108052749</x:v>
      </x:c>
      <x:c r="AM711" s="38" t="n">
        <x:f>AL711/V711</x:f>
        <x:v>995.5513968515671</x:v>
      </x:c>
      <x:c r="AN711" s="40" t="n">
        <x:f>(W711+X711)/AL711*100</x:f>
        <x:v>73.22358975174683</x:v>
      </x:c>
      <x:c r="AO711" s="28" t="str">
        <x:v>R01-R20; ilgili satırdaki bölgesel fiyat ve maliyet varsayımları</x:v>
      </x:c>
      <x:c r="AP711" s="28" t="str">
        <x:v>Girdi miktarları, alım fiyatı değişimi, fason bedeli ve parti sonucu simüle edilmiştir; işletme kaydı değildir.</x:v>
      </x:c>
    </x:row>
    <x:row r="712" ht="22" customHeight="1">
      <x:c r="A712" t="str">
        <x:v>SUC-0711</x:v>
      </x:c>
      <x:c r="B712" s="36" t="n">
        <x:v>46310</x:v>
      </x:c>
      <x:c r="C712" t="str">
        <x:v>Güneydoğu Anadolu</x:v>
      </x:c>
      <x:c r="D712" t="str">
        <x:v>ERZURUM_CI</x:v>
      </x:c>
      <x:c r="E712" t="str">
        <x:v>Fason</x:v>
      </x:c>
      <x:c r="F712" s="42" t="str">
        <x:v>SENTETİK/SİMÜLE — gerçek parti kaydı değildir</x:v>
      </x:c>
      <x:c r="G712" s="38" t="n">
        <x:v>277.834</x:v>
      </x:c>
      <x:c r="H712" s="38" t="n">
        <x:v>51.825</x:v>
      </x:c>
      <x:c r="I712" s="38" t="n">
        <x:v>15.889</x:v>
      </x:c>
      <x:c r="J712" s="38" t="n">
        <x:v>5.353</x:v>
      </x:c>
      <x:c r="K712" s="38" t="n">
        <x:v>0.786</x:v>
      </x:c>
      <x:c r="L712" s="38" t="n">
        <x:f>SUM(G712:K712)</x:f>
        <x:v>351.687</x:v>
      </x:c>
      <x:c r="M712" s="38" t="n">
        <x:v>422.117</x:v>
      </x:c>
      <x:c r="N712" s="38" t="n">
        <x:v>588.87</x:v>
      </x:c>
      <x:c r="O712" s="38" t="n">
        <x:v>454.74</x:v>
      </x:c>
      <x:c r="P712" s="38" t="n">
        <x:v>400</x:v>
      </x:c>
      <x:c r="Q712" s="38" t="n">
        <x:v>19.88</x:v>
      </x:c>
      <x:c r="R712" s="38" t="n">
        <x:v>43.7475</x:v>
      </x:c>
      <x:c r="S712" s="38" t="n">
        <x:v>94.7</x:v>
      </x:c>
      <x:c r="T712" s="40" t="n">
        <x:v>25.8</x:v>
      </x:c>
      <x:c r="U712" s="40" t="n">
        <x:v>1.11</x:v>
      </x:c>
      <x:c r="V712" s="38" t="n">
        <x:f>L712*(1-T712/100)*(1-U712/100)</x:f>
        <x:v>258.0551895306</x:v>
      </x:c>
      <x:c r="W712" s="38" t="n">
        <x:f>G712*N712</x:f>
        <x:v>163608.10758</x:v>
      </x:c>
      <x:c r="X712" s="38" t="n">
        <x:f>H712*O712</x:f>
        <x:v>23566.900500000003</x:v>
      </x:c>
      <x:c r="Y712" s="38" t="n">
        <x:f>I712*P712</x:f>
        <x:v>6355.599999999999</x:v>
      </x:c>
      <x:c r="Z712" s="38" t="n">
        <x:f>J712*Q712+K712*P712</x:f>
        <x:v>420.81764000000004</x:v>
      </x:c>
      <x:c r="AA712" s="38" t="n">
        <x:f>M712*R712</x:f>
        <x:v>18466.5634575</x:v>
      </x:c>
      <x:c r="AB712" s="38" t="n">
        <x:f>SUM(W712:AA712)</x:f>
        <x:v>212417.9891775</x:v>
      </x:c>
      <x:c r="AC712" s="38" t="n">
        <x:v>20.87</x:v>
      </x:c>
      <x:c r="AD712" s="38" t="n">
        <x:v>174.33</x:v>
      </x:c>
      <x:c r="AE712" s="38" t="n">
        <x:v>162.94</x:v>
      </x:c>
      <x:c r="AF712" s="38" t="n">
        <x:v>4.8148</x:v>
      </x:c>
      <x:c r="AG712" s="38" t="n">
        <x:v>5.74</x:v>
      </x:c>
      <x:c r="AH712" s="38" t="n">
        <x:f>IF(E712="Fason",L712*S712,0)</x:f>
        <x:v>33304.7589</x:v>
      </x:c>
      <x:c r="AI712" s="38" t="n">
        <x:f>IF(E712="Kurum içi",AC712*AD712+AE712*AF712+AB712*12%,0)</x:f>
        <x:v>0</x:v>
      </x:c>
      <x:c r="AJ712" s="38" t="n">
        <x:f>V712*AG712</x:f>
        <x:v>1481.236787905644</x:v>
      </x:c>
      <x:c r="AK712" s="38" t="n">
        <x:f>AB712*2%</x:f>
        <x:v>4248.35978355</x:v>
      </x:c>
      <x:c r="AL712" s="38" t="n">
        <x:f>AB712+AH712+AI712+AJ712+AK712</x:f>
        <x:v>251452.34464895568</x:v>
      </x:c>
      <x:c r="AM712" s="38" t="n">
        <x:f>AL712/V712</x:f>
        <x:v>974.4130513567472</x:v>
      </x:c>
      <x:c r="AN712" s="40" t="n">
        <x:f>(W712+X712)/AL712*100</x:f>
        <x:v>74.43756722225392</x:v>
      </x:c>
      <x:c r="AO712" s="28" t="str">
        <x:v>R01-R20; ilgili satırdaki bölgesel fiyat ve maliyet varsayımları</x:v>
      </x:c>
      <x:c r="AP712" s="28" t="str">
        <x:v>Girdi miktarları, alım fiyatı değişimi, fason bedeli ve parti sonucu simüle edilmiştir; işletme kaydı değildir.</x:v>
      </x:c>
    </x:row>
    <x:row r="713" ht="22" customHeight="1">
      <x:c r="A713" t="str">
        <x:v>SUC-0712</x:v>
      </x:c>
      <x:c r="B713" s="36" t="n">
        <x:v>46281</x:v>
      </x:c>
      <x:c r="C713" t="str">
        <x:v>İç Anadolu</x:v>
      </x:c>
      <x:c r="D713" t="str">
        <x:v>MEB_STANDART</x:v>
      </x:c>
      <x:c r="E713" t="str">
        <x:v>Fason</x:v>
      </x:c>
      <x:c r="F713" s="42" t="str">
        <x:v>SENTETİK/SİMÜLE — gerçek parti kaydı değildir</x:v>
      </x:c>
      <x:c r="G713" s="38" t="n">
        <x:v>294.51</x:v>
      </x:c>
      <x:c r="H713" s="38" t="n">
        <x:v>88.839</x:v>
      </x:c>
      <x:c r="I713" s="38" t="n">
        <x:v>20.078</x:v>
      </x:c>
      <x:c r="J713" s="38" t="n">
        <x:v>10.584</x:v>
      </x:c>
      <x:c r="K713" s="38" t="n">
        <x:v>4.409</x:v>
      </x:c>
      <x:c r="L713" s="38" t="n">
        <x:f>SUM(G713:K713)</x:f>
        <x:v>418.41999999999996</x:v>
      </x:c>
      <x:c r="M713" s="38" t="n">
        <x:v>542.211</x:v>
      </x:c>
      <x:c r="N713" s="38" t="n">
        <x:v>583.59</x:v>
      </x:c>
      <x:c r="O713" s="38" t="n">
        <x:v>411.68</x:v>
      </x:c>
      <x:c r="P713" s="38" t="n">
        <x:v>550</x:v>
      </x:c>
      <x:c r="Q713" s="38" t="n">
        <x:v>19.88</x:v>
      </x:c>
      <x:c r="R713" s="38" t="n">
        <x:v>43.7475</x:v>
      </x:c>
      <x:c r="S713" s="38" t="n">
        <x:v>96.47</x:v>
      </x:c>
      <x:c r="T713" s="40" t="n">
        <x:v>19.17</x:v>
      </x:c>
      <x:c r="U713" s="40" t="n">
        <x:v>1.77</x:v>
      </x:c>
      <x:c r="V713" s="38" t="n">
        <x:f>L713*(1-T713/100)*(1-U713/100)</x:f>
        <x:v>332.2225887177999</x:v>
      </x:c>
      <x:c r="W713" s="38" t="n">
        <x:f>G713*N713</x:f>
        <x:v>171873.0909</x:v>
      </x:c>
      <x:c r="X713" s="38" t="n">
        <x:f>H713*O713</x:f>
        <x:v>36573.23952</x:v>
      </x:c>
      <x:c r="Y713" s="38" t="n">
        <x:f>I713*P713</x:f>
        <x:v>11042.9</x:v>
      </x:c>
      <x:c r="Z713" s="38" t="n">
        <x:f>J713*Q713+K713*P713</x:f>
        <x:v>2635.35992</x:v>
      </x:c>
      <x:c r="AA713" s="38" t="n">
        <x:f>M713*R713</x:f>
        <x:v>23720.3757225</x:v>
      </x:c>
      <x:c r="AB713" s="38" t="n">
        <x:f>SUM(W713:AA713)</x:f>
        <x:v>245844.9660625</x:v>
      </x:c>
      <x:c r="AC713" s="38" t="n">
        <x:v>24.15</x:v>
      </x:c>
      <x:c r="AD713" s="38" t="n">
        <x:v>174.33</x:v>
      </x:c>
      <x:c r="AE713" s="38" t="n">
        <x:v>146.15</x:v>
      </x:c>
      <x:c r="AF713" s="38" t="n">
        <x:v>4.8148</x:v>
      </x:c>
      <x:c r="AG713" s="38" t="n">
        <x:v>5.52</x:v>
      </x:c>
      <x:c r="AH713" s="38" t="n">
        <x:f>IF(E713="Fason",L713*S713,0)</x:f>
        <x:v>40364.977399999996</x:v>
      </x:c>
      <x:c r="AI713" s="38" t="n">
        <x:f>IF(E713="Kurum içi",AC713*AD713+AE713*AF713+AB713*12%,0)</x:f>
        <x:v>0</x:v>
      </x:c>
      <x:c r="AJ713" s="38" t="n">
        <x:f>V713*AG713</x:f>
        <x:v>1833.8686897222553</x:v>
      </x:c>
      <x:c r="AK713" s="38" t="n">
        <x:f>AB713*2%</x:f>
        <x:v>4916.89932125</x:v>
      </x:c>
      <x:c r="AL713" s="38" t="n">
        <x:f>AB713+AH713+AI713+AJ713+AK713</x:f>
        <x:v>292960.71147347224</x:v>
      </x:c>
      <x:c r="AM713" s="38" t="n">
        <x:f>AL713/V713</x:f>
        <x:v>881.8205667596013</x:v>
      </x:c>
      <x:c r="AN713" s="40" t="n">
        <x:f>(W713+X713)/AL713*100</x:f>
        <x:v>71.15163305400252</x:v>
      </x:c>
      <x:c r="AO713" s="28" t="str">
        <x:v>R01-R20; ilgili satırdaki bölgesel fiyat ve maliyet varsayımları</x:v>
      </x:c>
      <x:c r="AP713" s="28" t="str">
        <x:v>Girdi miktarları, alım fiyatı değişimi, fason bedeli ve parti sonucu simüle edilmiştir; işletme kaydı değildir.</x:v>
      </x:c>
    </x:row>
    <x:row r="714" ht="22" customHeight="1">
      <x:c r="A714" t="str">
        <x:v>SUC-0713</x:v>
      </x:c>
      <x:c r="B714" s="36" t="n">
        <x:v>46293</x:v>
      </x:c>
      <x:c r="C714" t="str">
        <x:v>Marmara</x:v>
      </x:c>
      <x:c r="D714" t="str">
        <x:v>MEB_STANDART</x:v>
      </x:c>
      <x:c r="E714" t="str">
        <x:v>Kurum içi</x:v>
      </x:c>
      <x:c r="F714" s="42" t="str">
        <x:v>SENTETİK/SİMÜLE — gerçek parti kaydı değildir</x:v>
      </x:c>
      <x:c r="G714" s="38" t="n">
        <x:v>91.845</x:v>
      </x:c>
      <x:c r="H714" s="38" t="n">
        <x:v>30.106</x:v>
      </x:c>
      <x:c r="I714" s="38" t="n">
        <x:v>5.576</x:v>
      </x:c>
      <x:c r="J714" s="38" t="n">
        <x:v>3.228</x:v>
      </x:c>
      <x:c r="K714" s="38" t="n">
        <x:v>1.195</x:v>
      </x:c>
      <x:c r="L714" s="38" t="n">
        <x:f>SUM(G714:K714)</x:f>
        <x:v>131.95</x:v>
      </x:c>
      <x:c r="M714" s="38" t="n">
        <x:v>159.914</x:v>
      </x:c>
      <x:c r="N714" s="38" t="n">
        <x:v>612.24</x:v>
      </x:c>
      <x:c r="O714" s="38" t="n">
        <x:v>480.41</x:v>
      </x:c>
      <x:c r="P714" s="38" t="n">
        <x:v>400</x:v>
      </x:c>
      <x:c r="Q714" s="38" t="n">
        <x:v>19.88</x:v>
      </x:c>
      <x:c r="R714" s="38" t="n">
        <x:v>43.7475</x:v>
      </x:c>
      <x:c r="S714" s="38" t="n">
        <x:v>78.31</x:v>
      </x:c>
      <x:c r="T714" s="40" t="n">
        <x:v>23.41</x:v>
      </x:c>
      <x:c r="U714" s="40" t="n">
        <x:v>0.78</x:v>
      </x:c>
      <x:c r="V714" s="38" t="n">
        <x:f>L714*(1-T714/100)*(1-U714/100)</x:f>
        <x:v>100.272233061</x:v>
      </x:c>
      <x:c r="W714" s="38" t="n">
        <x:f>G714*N714</x:f>
        <x:v>56231.1828</x:v>
      </x:c>
      <x:c r="X714" s="38" t="n">
        <x:f>H714*O714</x:f>
        <x:v>14463.223460000001</x:v>
      </x:c>
      <x:c r="Y714" s="38" t="n">
        <x:f>I714*P714</x:f>
        <x:v>2230.3999999999996</x:v>
      </x:c>
      <x:c r="Z714" s="38" t="n">
        <x:f>J714*Q714+K714*P714</x:f>
        <x:v>542.17264</x:v>
      </x:c>
      <x:c r="AA714" s="38" t="n">
        <x:f>M714*R714</x:f>
        <x:v>6995.837715</x:v>
      </x:c>
      <x:c r="AB714" s="38" t="n">
        <x:f>SUM(W714:AA714)</x:f>
        <x:v>80462.816615</x:v>
      </x:c>
      <x:c r="AC714" s="38" t="n">
        <x:v>8</x:v>
      </x:c>
      <x:c r="AD714" s="38" t="n">
        <x:v>174.33</x:v>
      </x:c>
      <x:c r="AE714" s="38" t="n">
        <x:v>53.32</x:v>
      </x:c>
      <x:c r="AF714" s="38" t="n">
        <x:v>4.8148</x:v>
      </x:c>
      <x:c r="AG714" s="38" t="n">
        <x:v>5.46</x:v>
      </x:c>
      <x:c r="AH714" s="38" t="n">
        <x:f>IF(E714="Fason",L714*S714,0)</x:f>
        <x:v>0</x:v>
      </x:c>
      <x:c r="AI714" s="38" t="n">
        <x:f>IF(E714="Kurum içi",AC714*AD714+AE714*AF714+AB714*12%,0)</x:f>
        <x:v>11306.9031298</x:v>
      </x:c>
      <x:c r="AJ714" s="38" t="n">
        <x:f>V714*AG714</x:f>
        <x:v>547.48639251306</x:v>
      </x:c>
      <x:c r="AK714" s="38" t="n">
        <x:f>AB714*2%</x:f>
        <x:v>1609.2563323000002</x:v>
      </x:c>
      <x:c r="AL714" s="38" t="n">
        <x:f>AB714+AH714+AI714+AJ714+AK714</x:f>
        <x:v>93926.46246961308</x:v>
      </x:c>
      <x:c r="AM714" s="38" t="n">
        <x:f>AL714/V714</x:f>
        <x:v>936.7145779278047</x:v>
      </x:c>
      <x:c r="AN714" s="40" t="n">
        <x:f>(W714+X714)/AL714*100</x:f>
        <x:v>75.26569658989439</x:v>
      </x:c>
      <x:c r="AO714" s="28" t="str">
        <x:v>R01-R20; ilgili satırdaki bölgesel fiyat ve maliyet varsayımları</x:v>
      </x:c>
      <x:c r="AP714" s="28" t="str">
        <x:v>Girdi miktarları, alım fiyatı değişimi, fason bedeli ve parti sonucu simüle edilmiştir; işletme kaydı değildir.</x:v>
      </x:c>
    </x:row>
    <x:row r="715" ht="22" customHeight="1">
      <x:c r="A715" t="str">
        <x:v>SUC-0714</x:v>
      </x:c>
      <x:c r="B715" s="36" t="n">
        <x:v>46295</x:v>
      </x:c>
      <x:c r="C715" t="str">
        <x:v>Güneydoğu Anadolu</x:v>
      </x:c>
      <x:c r="D715" t="str">
        <x:v>ERZURUM_CI</x:v>
      </x:c>
      <x:c r="E715" t="str">
        <x:v>Fason</x:v>
      </x:c>
      <x:c r="F715" s="42" t="str">
        <x:v>SENTETİK/SİMÜLE — gerçek parti kaydı değildir</x:v>
      </x:c>
      <x:c r="G715" s="38" t="n">
        <x:v>191.951</x:v>
      </x:c>
      <x:c r="H715" s="38" t="n">
        <x:v>33.847</x:v>
      </x:c>
      <x:c r="I715" s="38" t="n">
        <x:v>11.324</x:v>
      </x:c>
      <x:c r="J715" s="38" t="n">
        <x:v>3.651</x:v>
      </x:c>
      <x:c r="K715" s="38" t="n">
        <x:v>0.507</x:v>
      </x:c>
      <x:c r="L715" s="38" t="n">
        <x:f>SUM(G715:K715)</x:f>
        <x:v>241.28000000000003</x:v>
      </x:c>
      <x:c r="M715" s="38" t="n">
        <x:v>305.72</x:v>
      </x:c>
      <x:c r="N715" s="38" t="n">
        <x:v>576.11</x:v>
      </x:c>
      <x:c r="O715" s="38" t="n">
        <x:v>431.48</x:v>
      </x:c>
      <x:c r="P715" s="38" t="n">
        <x:v>669.9</x:v>
      </x:c>
      <x:c r="Q715" s="38" t="n">
        <x:v>19.88</x:v>
      </x:c>
      <x:c r="R715" s="38" t="n">
        <x:v>43.7475</x:v>
      </x:c>
      <x:c r="S715" s="38" t="n">
        <x:v>110.05</x:v>
      </x:c>
      <x:c r="T715" s="40" t="n">
        <x:v>17.76</x:v>
      </x:c>
      <x:c r="U715" s="40" t="n">
        <x:v>1.41</x:v>
      </x:c>
      <x:c r="V715" s="38" t="n">
        <x:f>L715*(1-T715/100)*(1-U715/100)</x:f>
        <x:v>195.63082772480004</x:v>
      </x:c>
      <x:c r="W715" s="38" t="n">
        <x:f>G715*N715</x:f>
        <x:v>110584.89061</x:v>
      </x:c>
      <x:c r="X715" s="38" t="n">
        <x:f>H715*O715</x:f>
        <x:v>14604.30356</x:v>
      </x:c>
      <x:c r="Y715" s="38" t="n">
        <x:f>I715*P715</x:f>
        <x:v>7585.9475999999995</x:v>
      </x:c>
      <x:c r="Z715" s="38" t="n">
        <x:f>J715*Q715+K715*P715</x:f>
        <x:v>412.22118</x:v>
      </x:c>
      <x:c r="AA715" s="38" t="n">
        <x:f>M715*R715</x:f>
        <x:v>13374.485700000001</x:v>
      </x:c>
      <x:c r="AB715" s="38" t="n">
        <x:f>SUM(W715:AA715)</x:f>
        <x:v>146561.84864999997</x:v>
      </x:c>
      <x:c r="AC715" s="38" t="n">
        <x:v>9.17</x:v>
      </x:c>
      <x:c r="AD715" s="38" t="n">
        <x:v>174.33</x:v>
      </x:c>
      <x:c r="AE715" s="38" t="n">
        <x:v>87.98</x:v>
      </x:c>
      <x:c r="AF715" s="38" t="n">
        <x:v>4.8148</x:v>
      </x:c>
      <x:c r="AG715" s="38" t="n">
        <x:v>5.88</x:v>
      </x:c>
      <x:c r="AH715" s="38" t="n">
        <x:f>IF(E715="Fason",L715*S715,0)</x:f>
        <x:v>26552.864</x:v>
      </x:c>
      <x:c r="AI715" s="38" t="n">
        <x:f>IF(E715="Kurum içi",AC715*AD715+AE715*AF715+AB715*12%,0)</x:f>
        <x:v>0</x:v>
      </x:c>
      <x:c r="AJ715" s="38" t="n">
        <x:f>V715*AG715</x:f>
        <x:v>1150.3092670218243</x:v>
      </x:c>
      <x:c r="AK715" s="38" t="n">
        <x:f>AB715*2%</x:f>
        <x:v>2931.2369729999996</x:v>
      </x:c>
      <x:c r="AL715" s="38" t="n">
        <x:f>AB715+AH715+AI715+AJ715+AK715</x:f>
        <x:v>177196.2588900218</x:v>
      </x:c>
      <x:c r="AM715" s="38" t="n">
        <x:f>AL715/V715</x:f>
        <x:v>905.7685894949506</x:v>
      </x:c>
      <x:c r="AN715" s="40" t="n">
        <x:f>(W715+X715)/AL715*100</x:f>
        <x:v>70.650021029902</x:v>
      </x:c>
      <x:c r="AO715" s="28" t="str">
        <x:v>R01-R20; ilgili satırdaki bölgesel fiyat ve maliyet varsayımları</x:v>
      </x:c>
      <x:c r="AP715" s="28" t="str">
        <x:v>Girdi miktarları, alım fiyatı değişimi, fason bedeli ve parti sonucu simüle edilmiştir; işletme kaydı değildir.</x:v>
      </x:c>
    </x:row>
    <x:row r="716" ht="22" customHeight="1">
      <x:c r="A716" t="str">
        <x:v>SUC-0715</x:v>
      </x:c>
      <x:c r="B716" s="36" t="n">
        <x:v>46267</x:v>
      </x:c>
      <x:c r="C716" t="str">
        <x:v>Akdeniz</x:v>
      </x:c>
      <x:c r="D716" t="str">
        <x:v>MEB_STANDART</x:v>
      </x:c>
      <x:c r="E716" t="str">
        <x:v>Fason</x:v>
      </x:c>
      <x:c r="F716" s="42" t="str">
        <x:v>SENTETİK/SİMÜLE — gerçek parti kaydı değildir</x:v>
      </x:c>
      <x:c r="G716" s="38" t="n">
        <x:v>263.365</x:v>
      </x:c>
      <x:c r="H716" s="38" t="n">
        <x:v>80.7</x:v>
      </x:c>
      <x:c r="I716" s="38" t="n">
        <x:v>16.301</x:v>
      </x:c>
      <x:c r="J716" s="38" t="n">
        <x:v>8.705</x:v>
      </x:c>
      <x:c r="K716" s="38" t="n">
        <x:v>4.23</x:v>
      </x:c>
      <x:c r="L716" s="38" t="n">
        <x:f>SUM(G716:K716)</x:f>
        <x:v>373.301</x:v>
      </x:c>
      <x:c r="M716" s="38" t="n">
        <x:v>442.948</x:v>
      </x:c>
      <x:c r="N716" s="38" t="n">
        <x:v>581.89</x:v>
      </x:c>
      <x:c r="O716" s="38" t="n">
        <x:v>421.11</x:v>
      </x:c>
      <x:c r="P716" s="38" t="n">
        <x:v>400</x:v>
      </x:c>
      <x:c r="Q716" s="38" t="n">
        <x:v>19.88</x:v>
      </x:c>
      <x:c r="R716" s="38" t="n">
        <x:v>43.7475</x:v>
      </x:c>
      <x:c r="S716" s="38" t="n">
        <x:v>118.25</x:v>
      </x:c>
      <x:c r="T716" s="40" t="n">
        <x:v>20.6</x:v>
      </x:c>
      <x:c r="U716" s="40" t="n">
        <x:v>0.94</x:v>
      </x:c>
      <x:c r="V716" s="38" t="n">
        <x:f>L716*(1-T716/100)*(1-U716/100)</x:f>
        <x:v>293.61482465640006</x:v>
      </x:c>
      <x:c r="W716" s="38" t="n">
        <x:f>G716*N716</x:f>
        <x:v>153249.45985</x:v>
      </x:c>
      <x:c r="X716" s="38" t="n">
        <x:f>H716*O716</x:f>
        <x:v>33983.577000000005</x:v>
      </x:c>
      <x:c r="Y716" s="38" t="n">
        <x:f>I716*P716</x:f>
        <x:v>6520.4</x:v>
      </x:c>
      <x:c r="Z716" s="38" t="n">
        <x:f>J716*Q716+K716*P716</x:f>
        <x:v>1865.0554000000002</x:v>
      </x:c>
      <x:c r="AA716" s="38" t="n">
        <x:f>M716*R716</x:f>
        <x:v>19377.86763</x:v>
      </x:c>
      <x:c r="AB716" s="38" t="n">
        <x:f>SUM(W716:AA716)</x:f>
        <x:v>214996.35988000003</x:v>
      </x:c>
      <x:c r="AC716" s="38" t="n">
        <x:v>20.97</x:v>
      </x:c>
      <x:c r="AD716" s="38" t="n">
        <x:v>174.33</x:v>
      </x:c>
      <x:c r="AE716" s="38" t="n">
        <x:v>90.74</x:v>
      </x:c>
      <x:c r="AF716" s="38" t="n">
        <x:v>4.8148</x:v>
      </x:c>
      <x:c r="AG716" s="38" t="n">
        <x:v>5.33</x:v>
      </x:c>
      <x:c r="AH716" s="38" t="n">
        <x:f>IF(E716="Fason",L716*S716,0)</x:f>
        <x:v>44142.84325</x:v>
      </x:c>
      <x:c r="AI716" s="38" t="n">
        <x:f>IF(E716="Kurum içi",AC716*AD716+AE716*AF716+AB716*12%,0)</x:f>
        <x:v>0</x:v>
      </x:c>
      <x:c r="AJ716" s="38" t="n">
        <x:f>V716*AG716</x:f>
        <x:v>1564.9670154186124</x:v>
      </x:c>
      <x:c r="AK716" s="38" t="n">
        <x:f>AB716*2%</x:f>
        <x:v>4299.927197600001</x:v>
      </x:c>
      <x:c r="AL716" s="38" t="n">
        <x:f>AB716+AH716+AI716+AJ716+AK716</x:f>
        <x:v>265004.0973430186</x:v>
      </x:c>
      <x:c r="AM716" s="38" t="n">
        <x:f>AL716/V716</x:f>
        <x:v>902.5569388505404</x:v>
      </x:c>
      <x:c r="AN716" s="40" t="n">
        <x:f>(W716+X716)/AL716*100</x:f>
        <x:v>70.65288375811318</x:v>
      </x:c>
      <x:c r="AO716" s="28" t="str">
        <x:v>R01-R20; ilgili satırdaki bölgesel fiyat ve maliyet varsayımları</x:v>
      </x:c>
      <x:c r="AP716" s="28" t="str">
        <x:v>Girdi miktarları, alım fiyatı değişimi, fason bedeli ve parti sonucu simüle edilmiştir; işletme kaydı değildir.</x:v>
      </x:c>
    </x:row>
    <x:row r="717" ht="22" customHeight="1">
      <x:c r="A717" t="str">
        <x:v>SUC-0716</x:v>
      </x:c>
      <x:c r="B717" s="36" t="n">
        <x:v>46273</x:v>
      </x:c>
      <x:c r="C717" t="str">
        <x:v>Marmara</x:v>
      </x:c>
      <x:c r="D717" t="str">
        <x:v>MEB_STANDART</x:v>
      </x:c>
      <x:c r="E717" t="str">
        <x:v>Kurum içi</x:v>
      </x:c>
      <x:c r="F717" s="42" t="str">
        <x:v>SENTETİK/SİMÜLE — gerçek parti kaydı değildir</x:v>
      </x:c>
      <x:c r="G717" s="38" t="n">
        <x:v>240.646</x:v>
      </x:c>
      <x:c r="H717" s="38" t="n">
        <x:v>72.111</x:v>
      </x:c>
      <x:c r="I717" s="38" t="n">
        <x:v>15.504</x:v>
      </x:c>
      <x:c r="J717" s="38" t="n">
        <x:v>8.967</x:v>
      </x:c>
      <x:c r="K717" s="38" t="n">
        <x:v>3.189</x:v>
      </x:c>
      <x:c r="L717" s="38" t="n">
        <x:f>SUM(G717:K717)</x:f>
        <x:v>340.41700000000003</x:v>
      </x:c>
      <x:c r="M717" s="38" t="n">
        <x:v>427.066</x:v>
      </x:c>
      <x:c r="N717" s="38" t="n">
        <x:v>599.39</x:v>
      </x:c>
      <x:c r="O717" s="38" t="n">
        <x:v>451.57</x:v>
      </x:c>
      <x:c r="P717" s="38" t="n">
        <x:v>400</x:v>
      </x:c>
      <x:c r="Q717" s="38" t="n">
        <x:v>19.88</x:v>
      </x:c>
      <x:c r="R717" s="38" t="n">
        <x:v>43.7475</x:v>
      </x:c>
      <x:c r="S717" s="38" t="n">
        <x:v>103.07</x:v>
      </x:c>
      <x:c r="T717" s="40" t="n">
        <x:v>21.05</x:v>
      </x:c>
      <x:c r="U717" s="40" t="n">
        <x:v>1.78</x:v>
      </x:c>
      <x:c r="V717" s="38" t="n">
        <x:f>L717*(1-T717/100)*(1-U717/100)</x:f>
        <x:v>263.97530735730004</x:v>
      </x:c>
      <x:c r="W717" s="38" t="n">
        <x:f>G717*N717</x:f>
        <x:v>144240.80594</x:v>
      </x:c>
      <x:c r="X717" s="38" t="n">
        <x:f>H717*O717</x:f>
        <x:v>32563.16427</x:v>
      </x:c>
      <x:c r="Y717" s="38" t="n">
        <x:f>I717*P717</x:f>
        <x:v>6201.599999999999</x:v>
      </x:c>
      <x:c r="Z717" s="38" t="n">
        <x:f>J717*Q717+K717*P717</x:f>
        <x:v>1453.86396</x:v>
      </x:c>
      <x:c r="AA717" s="38" t="n">
        <x:f>M717*R717</x:f>
        <x:v>18683.069835</x:v>
      </x:c>
      <x:c r="AB717" s="38" t="n">
        <x:f>SUM(W717:AA717)</x:f>
        <x:v>203142.504005</x:v>
      </x:c>
      <x:c r="AC717" s="38" t="n">
        <x:v>14.79</x:v>
      </x:c>
      <x:c r="AD717" s="38" t="n">
        <x:v>174.33</x:v>
      </x:c>
      <x:c r="AE717" s="38" t="n">
        <x:v>83.77</x:v>
      </x:c>
      <x:c r="AF717" s="38" t="n">
        <x:v>4.8148</x:v>
      </x:c>
      <x:c r="AG717" s="38" t="n">
        <x:v>5.86</x:v>
      </x:c>
      <x:c r="AH717" s="38" t="n">
        <x:f>IF(E717="Fason",L717*S717,0)</x:f>
        <x:v>0</x:v>
      </x:c>
      <x:c r="AI717" s="38" t="n">
        <x:f>IF(E717="Kurum içi",AC717*AD717+AE717*AF717+AB717*12%,0)</x:f>
        <x:v>27358.7769766</x:v>
      </x:c>
      <x:c r="AJ717" s="38" t="n">
        <x:f>V717*AG717</x:f>
        <x:v>1546.8953011137783</x:v>
      </x:c>
      <x:c r="AK717" s="38" t="n">
        <x:f>AB717*2%</x:f>
        <x:v>4062.8500801</x:v>
      </x:c>
      <x:c r="AL717" s="38" t="n">
        <x:f>AB717+AH717+AI717+AJ717+AK717</x:f>
        <x:v>236111.02636281378</x:v>
      </x:c>
      <x:c r="AM717" s="38" t="n">
        <x:f>AL717/V717</x:f>
        <x:v>894.4436081031968</x:v>
      </x:c>
      <x:c r="AN717" s="40" t="n">
        <x:f>(W717+X717)/AL717*100</x:f>
        <x:v>74.88170837829439</x:v>
      </x:c>
      <x:c r="AO717" s="28" t="str">
        <x:v>R01-R20; ilgili satırdaki bölgesel fiyat ve maliyet varsayımları</x:v>
      </x:c>
      <x:c r="AP717" s="28" t="str">
        <x:v>Girdi miktarları, alım fiyatı değişimi, fason bedeli ve parti sonucu simüle edilmiştir; işletme kaydı değildir.</x:v>
      </x:c>
    </x:row>
    <x:row r="718" ht="22" customHeight="1">
      <x:c r="A718" t="str">
        <x:v>SUC-0717</x:v>
      </x:c>
      <x:c r="B718" s="36" t="n">
        <x:v>46273</x:v>
      </x:c>
      <x:c r="C718" t="str">
        <x:v>Karadeniz</x:v>
      </x:c>
      <x:c r="D718" t="str">
        <x:v>MEB_STANDART</x:v>
      </x:c>
      <x:c r="E718" t="str">
        <x:v>Fason</x:v>
      </x:c>
      <x:c r="F718" s="42" t="str">
        <x:v>SENTETİK/SİMÜLE — gerçek parti kaydı değildir</x:v>
      </x:c>
      <x:c r="G718" s="38" t="n">
        <x:v>62.555</x:v>
      </x:c>
      <x:c r="H718" s="38" t="n">
        <x:v>20.418</x:v>
      </x:c>
      <x:c r="I718" s="38" t="n">
        <x:v>3.971</x:v>
      </x:c>
      <x:c r="J718" s="38" t="n">
        <x:v>2.336</x:v>
      </x:c>
      <x:c r="K718" s="38" t="n">
        <x:v>0.915</x:v>
      </x:c>
      <x:c r="L718" s="38" t="n">
        <x:f>SUM(G718:K718)</x:f>
        <x:v>90.19500000000001</x:v>
      </x:c>
      <x:c r="M718" s="38" t="n">
        <x:v>113.649</x:v>
      </x:c>
      <x:c r="N718" s="38" t="n">
        <x:v>605.36</x:v>
      </x:c>
      <x:c r="O718" s="38" t="n">
        <x:v>458.33</x:v>
      </x:c>
      <x:c r="P718" s="38" t="n">
        <x:v>669.9</x:v>
      </x:c>
      <x:c r="Q718" s="38" t="n">
        <x:v>19.88</x:v>
      </x:c>
      <x:c r="R718" s="38" t="n">
        <x:v>43.7475</x:v>
      </x:c>
      <x:c r="S718" s="38" t="n">
        <x:v>78.67</x:v>
      </x:c>
      <x:c r="T718" s="40" t="n">
        <x:v>25.36</x:v>
      </x:c>
      <x:c r="U718" s="40" t="n">
        <x:v>0.38</x:v>
      </x:c>
      <x:c r="V718" s="38" t="n">
        <x:f>L718*(1-T718/100)*(1-U718/100)</x:f>
        <x:v>67.06572611760001</x:v>
      </x:c>
      <x:c r="W718" s="38" t="n">
        <x:f>G718*N718</x:f>
        <x:v>37868.2948</x:v>
      </x:c>
      <x:c r="X718" s="38" t="n">
        <x:f>H718*O718</x:f>
        <x:v>9358.181939999999</x:v>
      </x:c>
      <x:c r="Y718" s="38" t="n">
        <x:f>I718*P718</x:f>
        <x:v>2660.1729</x:v>
      </x:c>
      <x:c r="Z718" s="38" t="n">
        <x:f>J718*Q718+K718*P718</x:f>
        <x:v>659.3981799999999</x:v>
      </x:c>
      <x:c r="AA718" s="38" t="n">
        <x:f>M718*R718</x:f>
        <x:v>4971.8596275</x:v>
      </x:c>
      <x:c r="AB718" s="38" t="n">
        <x:f>SUM(W718:AA718)</x:f>
        <x:v>55517.907447499994</x:v>
      </x:c>
      <x:c r="AC718" s="38" t="n">
        <x:v>4.83</x:v>
      </x:c>
      <x:c r="AD718" s="38" t="n">
        <x:v>174.33</x:v>
      </x:c>
      <x:c r="AE718" s="38" t="n">
        <x:v>32.65</x:v>
      </x:c>
      <x:c r="AF718" s="38" t="n">
        <x:v>4.8148</x:v>
      </x:c>
      <x:c r="AG718" s="38" t="n">
        <x:v>5.65</x:v>
      </x:c>
      <x:c r="AH718" s="38" t="n">
        <x:f>IF(E718="Fason",L718*S718,0)</x:f>
        <x:v>7095.640650000001</x:v>
      </x:c>
      <x:c r="AI718" s="38" t="n">
        <x:f>IF(E718="Kurum içi",AC718*AD718+AE718*AF718+AB718*12%,0)</x:f>
        <x:v>0</x:v>
      </x:c>
      <x:c r="AJ718" s="38" t="n">
        <x:f>V718*AG718</x:f>
        <x:v>378.92135256444004</x:v>
      </x:c>
      <x:c r="AK718" s="38" t="n">
        <x:f>AB718*2%</x:f>
        <x:v>1110.35814895</x:v>
      </x:c>
      <x:c r="AL718" s="38" t="n">
        <x:f>AB718+AH718+AI718+AJ718+AK718</x:f>
        <x:v>64102.82759901443</x:v>
      </x:c>
      <x:c r="AM718" s="38" t="n">
        <x:f>AL718/V718</x:f>
        <x:v>955.8209730945115</x:v>
      </x:c>
      <x:c r="AN718" s="40" t="n">
        <x:f>(W718+X718)/AL718*100</x:f>
        <x:v>73.67300087824222</x:v>
      </x:c>
      <x:c r="AO718" s="28" t="str">
        <x:v>R01-R20; ilgili satırdaki bölgesel fiyat ve maliyet varsayımları</x:v>
      </x:c>
      <x:c r="AP718" s="28" t="str">
        <x:v>Girdi miktarları, alım fiyatı değişimi, fason bedeli ve parti sonucu simüle edilmiştir; işletme kaydı değildir.</x:v>
      </x:c>
    </x:row>
    <x:row r="719" ht="22" customHeight="1">
      <x:c r="A719" t="str">
        <x:v>SUC-0718</x:v>
      </x:c>
      <x:c r="B719" s="36" t="n">
        <x:v>46291</x:v>
      </x:c>
      <x:c r="C719" t="str">
        <x:v>Güneydoğu Anadolu</x:v>
      </x:c>
      <x:c r="D719" t="str">
        <x:v>ERZURUM_CI</x:v>
      </x:c>
      <x:c r="E719" t="str">
        <x:v>Kurum içi</x:v>
      </x:c>
      <x:c r="F719" s="42" t="str">
        <x:v>SENTETİK/SİMÜLE — gerçek parti kaydı değildir</x:v>
      </x:c>
      <x:c r="G719" s="38" t="n">
        <x:v>362.916</x:v>
      </x:c>
      <x:c r="H719" s="38" t="n">
        <x:v>61.867</x:v>
      </x:c>
      <x:c r="I719" s="38" t="n">
        <x:v>20.041</x:v>
      </x:c>
      <x:c r="J719" s="38" t="n">
        <x:v>6.996</x:v>
      </x:c>
      <x:c r="K719" s="38" t="n">
        <x:v>1.006</x:v>
      </x:c>
      <x:c r="L719" s="38" t="n">
        <x:f>SUM(G719:K719)</x:f>
        <x:v>452.82599999999996</x:v>
      </x:c>
      <x:c r="M719" s="38" t="n">
        <x:v>593.921</x:v>
      </x:c>
      <x:c r="N719" s="38" t="n">
        <x:v>595.35</x:v>
      </x:c>
      <x:c r="O719" s="38" t="n">
        <x:v>473.25</x:v>
      </x:c>
      <x:c r="P719" s="38" t="n">
        <x:v>400</x:v>
      </x:c>
      <x:c r="Q719" s="38" t="n">
        <x:v>19.88</x:v>
      </x:c>
      <x:c r="R719" s="38" t="n">
        <x:v>43.7475</x:v>
      </x:c>
      <x:c r="S719" s="38" t="n">
        <x:v>69.95</x:v>
      </x:c>
      <x:c r="T719" s="40" t="n">
        <x:v>18.8</x:v>
      </x:c>
      <x:c r="U719" s="40" t="n">
        <x:v>1.6</x:v>
      </x:c>
      <x:c r="V719" s="38" t="n">
        <x:f>L719*(1-T719/100)*(1-U719/100)</x:f>
        <x:v>361.811596608</x:v>
      </x:c>
      <x:c r="W719" s="38" t="n">
        <x:f>G719*N719</x:f>
        <x:v>216062.0406</x:v>
      </x:c>
      <x:c r="X719" s="38" t="n">
        <x:f>H719*O719</x:f>
        <x:v>29278.55775</x:v>
      </x:c>
      <x:c r="Y719" s="38" t="n">
        <x:f>I719*P719</x:f>
        <x:v>8016.400000000001</x:v>
      </x:c>
      <x:c r="Z719" s="38" t="n">
        <x:f>J719*Q719+K719*P719</x:f>
        <x:v>541.48048</x:v>
      </x:c>
      <x:c r="AA719" s="38" t="n">
        <x:f>M719*R719</x:f>
        <x:v>25982.558947500005</x:v>
      </x:c>
      <x:c r="AB719" s="38" t="n">
        <x:f>SUM(W719:AA719)</x:f>
        <x:v>279881.0377775</x:v>
      </x:c>
      <x:c r="AC719" s="38" t="n">
        <x:v>29.45</x:v>
      </x:c>
      <x:c r="AD719" s="38" t="n">
        <x:v>174.33</x:v>
      </x:c>
      <x:c r="AE719" s="38" t="n">
        <x:v>182.3</x:v>
      </x:c>
      <x:c r="AF719" s="38" t="n">
        <x:v>4.8148</x:v>
      </x:c>
      <x:c r="AG719" s="38" t="n">
        <x:v>5.66</x:v>
      </x:c>
      <x:c r="AH719" s="38" t="n">
        <x:f>IF(E719="Fason",L719*S719,0)</x:f>
        <x:v>0</x:v>
      </x:c>
      <x:c r="AI719" s="38" t="n">
        <x:f>IF(E719="Kurum içi",AC719*AD719+AE719*AF719+AB719*12%,0)</x:f>
        <x:v>39597.4810733</x:v>
      </x:c>
      <x:c r="AJ719" s="38" t="n">
        <x:f>V719*AG719</x:f>
        <x:v>2047.8536368012801</x:v>
      </x:c>
      <x:c r="AK719" s="38" t="n">
        <x:f>AB719*2%</x:f>
        <x:v>5597.62075555</x:v>
      </x:c>
      <x:c r="AL719" s="38" t="n">
        <x:f>AB719+AH719+AI719+AJ719+AK719</x:f>
        <x:v>327123.9932431513</x:v>
      </x:c>
      <x:c r="AM719" s="38" t="n">
        <x:f>AL719/V719</x:f>
        <x:v>904.1279945417821</x:v>
      </x:c>
      <x:c r="AN719" s="40" t="n">
        <x:f>(W719+X719)/AL719*100</x:f>
        <x:v>74.99926737799338</x:v>
      </x:c>
      <x:c r="AO719" s="28" t="str">
        <x:v>R01-R20; ilgili satırdaki bölgesel fiyat ve maliyet varsayımları</x:v>
      </x:c>
      <x:c r="AP719" s="28" t="str">
        <x:v>Girdi miktarları, alım fiyatı değişimi, fason bedeli ve parti sonucu simüle edilmiştir; işletme kaydı değildir.</x:v>
      </x:c>
    </x:row>
    <x:row r="720" ht="22" customHeight="1">
      <x:c r="A720" t="str">
        <x:v>SUC-0719</x:v>
      </x:c>
      <x:c r="B720" s="36" t="n">
        <x:v>46285</x:v>
      </x:c>
      <x:c r="C720" t="str">
        <x:v>Akdeniz</x:v>
      </x:c>
      <x:c r="D720" t="str">
        <x:v>MEB_STANDART</x:v>
      </x:c>
      <x:c r="E720" t="str">
        <x:v>Kurum içi</x:v>
      </x:c>
      <x:c r="F720" s="42" t="str">
        <x:v>SENTETİK/SİMÜLE — gerçek parti kaydı değildir</x:v>
      </x:c>
      <x:c r="G720" s="38" t="n">
        <x:v>44.408</x:v>
      </x:c>
      <x:c r="H720" s="38" t="n">
        <x:v>13.345</x:v>
      </x:c>
      <x:c r="I720" s="38" t="n">
        <x:v>2.736</x:v>
      </x:c>
      <x:c r="J720" s="38" t="n">
        <x:v>1.456</x:v>
      </x:c>
      <x:c r="K720" s="38" t="n">
        <x:v>0.693</x:v>
      </x:c>
      <x:c r="L720" s="38" t="n">
        <x:f>SUM(G720:K720)</x:f>
        <x:v>62.638</x:v>
      </x:c>
      <x:c r="M720" s="38" t="n">
        <x:v>75.803</x:v>
      </x:c>
      <x:c r="N720" s="38" t="n">
        <x:v>582.07</x:v>
      </x:c>
      <x:c r="O720" s="38" t="n">
        <x:v>440.56</x:v>
      </x:c>
      <x:c r="P720" s="38" t="n">
        <x:v>400</x:v>
      </x:c>
      <x:c r="Q720" s="38" t="n">
        <x:v>19.88</x:v>
      </x:c>
      <x:c r="R720" s="38" t="n">
        <x:v>43.7475</x:v>
      </x:c>
      <x:c r="S720" s="38" t="n">
        <x:v>113.42</x:v>
      </x:c>
      <x:c r="T720" s="40" t="n">
        <x:v>21.08</x:v>
      </x:c>
      <x:c r="U720" s="40" t="n">
        <x:v>1.34</x:v>
      </x:c>
      <x:c r="V720" s="38" t="n">
        <x:f>L720*(1-T720/100)*(1-U720/100)</x:f>
        <x:v>48.771495211360005</x:v>
      </x:c>
      <x:c r="W720" s="38" t="n">
        <x:f>G720*N720</x:f>
        <x:v>25848.564560000003</x:v>
      </x:c>
      <x:c r="X720" s="38" t="n">
        <x:f>H720*O720</x:f>
        <x:v>5879.2732000000005</x:v>
      </x:c>
      <x:c r="Y720" s="38" t="n">
        <x:f>I720*P720</x:f>
        <x:v>1094.4</x:v>
      </x:c>
      <x:c r="Z720" s="38" t="n">
        <x:f>J720*Q720+K720*P720</x:f>
        <x:v>306.14527999999996</x:v>
      </x:c>
      <x:c r="AA720" s="38" t="n">
        <x:f>M720*R720</x:f>
        <x:v>3316.1917425</x:v>
      </x:c>
      <x:c r="AB720" s="38" t="n">
        <x:f>SUM(W720:AA720)</x:f>
        <x:v>36444.5747825</x:v>
      </x:c>
      <x:c r="AC720" s="38" t="n">
        <x:v>3.61</x:v>
      </x:c>
      <x:c r="AD720" s="38" t="n">
        <x:v>174.33</x:v>
      </x:c>
      <x:c r="AE720" s="38" t="n">
        <x:v>19.34</x:v>
      </x:c>
      <x:c r="AF720" s="38" t="n">
        <x:v>4.8148</x:v>
      </x:c>
      <x:c r="AG720" s="38" t="n">
        <x:v>5.73</x:v>
      </x:c>
      <x:c r="AH720" s="38" t="n">
        <x:f>IF(E720="Fason",L720*S720,0)</x:f>
        <x:v>0</x:v>
      </x:c>
      <x:c r="AI720" s="38" t="n">
        <x:f>IF(E720="Kurum içi",AC720*AD720+AE720*AF720+AB720*12%,0)</x:f>
        <x:v>5095.7985059</x:v>
      </x:c>
      <x:c r="AJ720" s="38" t="n">
        <x:f>V720*AG720</x:f>
        <x:v>279.46066756109286</x:v>
      </x:c>
      <x:c r="AK720" s="38" t="n">
        <x:f>AB720*2%</x:f>
        <x:v>728.89149565</x:v>
      </x:c>
      <x:c r="AL720" s="38" t="n">
        <x:f>AB720+AH720+AI720+AJ720+AK720</x:f>
        <x:v>42548.72545161109</x:v>
      </x:c>
      <x:c r="AM720" s="38" t="n">
        <x:f>AL720/V720</x:f>
        <x:v>872.4096988869949</x:v>
      </x:c>
      <x:c r="AN720" s="40" t="n">
        <x:f>(W720+X720)/AL720*100</x:f>
        <x:v>74.56824481401391</x:v>
      </x:c>
      <x:c r="AO720" s="28" t="str">
        <x:v>R01-R20; ilgili satırdaki bölgesel fiyat ve maliyet varsayımları</x:v>
      </x:c>
      <x:c r="AP720" s="28" t="str">
        <x:v>Girdi miktarları, alım fiyatı değişimi, fason bedeli ve parti sonucu simüle edilmiştir; işletme kaydı değildir.</x:v>
      </x:c>
    </x:row>
    <x:row r="721" ht="22" customHeight="1">
      <x:c r="A721" t="str">
        <x:v>SUC-0720</x:v>
      </x:c>
      <x:c r="B721" s="36" t="n">
        <x:v>46298</x:v>
      </x:c>
      <x:c r="C721" t="str">
        <x:v>Karadeniz</x:v>
      </x:c>
      <x:c r="D721" t="str">
        <x:v>ERZURUM_CI</x:v>
      </x:c>
      <x:c r="E721" t="str">
        <x:v>Kurum içi</x:v>
      </x:c>
      <x:c r="F721" s="42" t="str">
        <x:v>SENTETİK/SİMÜLE — gerçek parti kaydı değildir</x:v>
      </x:c>
      <x:c r="G721" s="38" t="n">
        <x:v>324.717</x:v>
      </x:c>
      <x:c r="H721" s="38" t="n">
        <x:v>55.964</x:v>
      </x:c>
      <x:c r="I721" s="38" t="n">
        <x:v>18.802</x:v>
      </x:c>
      <x:c r="J721" s="38" t="n">
        <x:v>6.765</x:v>
      </x:c>
      <x:c r="K721" s="38" t="n">
        <x:v>0.117</x:v>
      </x:c>
      <x:c r="L721" s="38" t="n">
        <x:f>SUM(G721:K721)</x:f>
        <x:v>406.365</x:v>
      </x:c>
      <x:c r="M721" s="38" t="n">
        <x:v>486.223</x:v>
      </x:c>
      <x:c r="N721" s="38" t="n">
        <x:v>602.99</x:v>
      </x:c>
      <x:c r="O721" s="38" t="n">
        <x:v>429.83</x:v>
      </x:c>
      <x:c r="P721" s="38" t="n">
        <x:v>550</x:v>
      </x:c>
      <x:c r="Q721" s="38" t="n">
        <x:v>19.88</x:v>
      </x:c>
      <x:c r="R721" s="38" t="n">
        <x:v>43.7475</x:v>
      </x:c>
      <x:c r="S721" s="38" t="n">
        <x:v>123.49</x:v>
      </x:c>
      <x:c r="T721" s="40" t="n">
        <x:v>19.37</x:v>
      </x:c>
      <x:c r="U721" s="40" t="n">
        <x:v>0.68</x:v>
      </x:c>
      <x:c r="V721" s="38" t="n">
        <x:f>L721*(1-T721/100)*(1-U721/100)</x:f>
        <x:v>325.4240652234</x:v>
      </x:c>
      <x:c r="W721" s="38" t="n">
        <x:f>G721*N721</x:f>
        <x:v>195801.10383</x:v>
      </x:c>
      <x:c r="X721" s="38" t="n">
        <x:f>H721*O721</x:f>
        <x:v>24055.00612</x:v>
      </x:c>
      <x:c r="Y721" s="38" t="n">
        <x:f>I721*P721</x:f>
        <x:v>10341.1</x:v>
      </x:c>
      <x:c r="Z721" s="38" t="n">
        <x:f>J721*Q721+K721*P721</x:f>
        <x:v>198.83819999999997</x:v>
      </x:c>
      <x:c r="AA721" s="38" t="n">
        <x:f>M721*R721</x:f>
        <x:v>21271.040692500002</x:v>
      </x:c>
      <x:c r="AB721" s="38" t="n">
        <x:f>SUM(W721:AA721)</x:f>
        <x:v>251667.08884250003</x:v>
      </x:c>
      <x:c r="AC721" s="38" t="n">
        <x:v>24.75</x:v>
      </x:c>
      <x:c r="AD721" s="38" t="n">
        <x:v>174.33</x:v>
      </x:c>
      <x:c r="AE721" s="38" t="n">
        <x:v>161.38</x:v>
      </x:c>
      <x:c r="AF721" s="38" t="n">
        <x:v>4.8148</x:v>
      </x:c>
      <x:c r="AG721" s="38" t="n">
        <x:v>5.5</x:v>
      </x:c>
      <x:c r="AH721" s="38" t="n">
        <x:f>IF(E721="Fason",L721*S721,0)</x:f>
        <x:v>0</x:v>
      </x:c>
      <x:c r="AI721" s="38" t="n">
        <x:f>IF(E721="Kurum içi",AC721*AD721+AE721*AF721+AB721*12%,0)</x:f>
        <x:v>35291.7305851</x:v>
      </x:c>
      <x:c r="AJ721" s="38" t="n">
        <x:f>V721*AG721</x:f>
        <x:v>1789.8323587287</x:v>
      </x:c>
      <x:c r="AK721" s="38" t="n">
        <x:f>AB721*2%</x:f>
        <x:v>5033.34177685</x:v>
      </x:c>
      <x:c r="AL721" s="38" t="n">
        <x:f>AB721+AH721+AI721+AJ721+AK721</x:f>
        <x:v>293781.9935631787</x:v>
      </x:c>
      <x:c r="AM721" s="38" t="n">
        <x:f>AL721/V721</x:f>
        <x:v>902.7666511433339</x:v>
      </x:c>
      <x:c r="AN721" s="40" t="n">
        <x:f>(W721+X721)/AL721*100</x:f>
        <x:v>74.8364824145423</x:v>
      </x:c>
      <x:c r="AO721" s="28" t="str">
        <x:v>R01-R20; ilgili satırdaki bölgesel fiyat ve maliyet varsayımları</x:v>
      </x:c>
      <x:c r="AP721" s="28" t="str">
        <x:v>Girdi miktarları, alım fiyatı değişimi, fason bedeli ve parti sonucu simüle edilmiştir; işletme kaydı değildir.</x:v>
      </x:c>
    </x:row>
    <x:row r="722" ht="22" customHeight="1">
      <x:c r="A722" t="str">
        <x:v>SUC-0721</x:v>
      </x:c>
      <x:c r="B722" s="36" t="n">
        <x:v>46296</x:v>
      </x:c>
      <x:c r="C722" t="str">
        <x:v>Güneydoğu Anadolu</x:v>
      </x:c>
      <x:c r="D722" t="str">
        <x:v>MEB_STANDART</x:v>
      </x:c>
      <x:c r="E722" t="str">
        <x:v>Kurum içi</x:v>
      </x:c>
      <x:c r="F722" s="42" t="str">
        <x:v>SENTETİK/SİMÜLE — gerçek parti kaydı değildir</x:v>
      </x:c>
      <x:c r="G722" s="38" t="n">
        <x:v>159.594</x:v>
      </x:c>
      <x:c r="H722" s="38" t="n">
        <x:v>49.608</x:v>
      </x:c>
      <x:c r="I722" s="38" t="n">
        <x:v>10.338</x:v>
      </x:c>
      <x:c r="J722" s="38" t="n">
        <x:v>6.136</x:v>
      </x:c>
      <x:c r="K722" s="38" t="n">
        <x:v>2.639</x:v>
      </x:c>
      <x:c r="L722" s="38" t="n">
        <x:f>SUM(G722:K722)</x:f>
        <x:v>228.315</x:v>
      </x:c>
      <x:c r="M722" s="38" t="n">
        <x:v>269.38</x:v>
      </x:c>
      <x:c r="N722" s="38" t="n">
        <x:v>582.04</x:v>
      </x:c>
      <x:c r="O722" s="38" t="n">
        <x:v>432.52</x:v>
      </x:c>
      <x:c r="P722" s="38" t="n">
        <x:v>669.9</x:v>
      </x:c>
      <x:c r="Q722" s="38" t="n">
        <x:v>19.88</x:v>
      </x:c>
      <x:c r="R722" s="38" t="n">
        <x:v>43.7475</x:v>
      </x:c>
      <x:c r="S722" s="38" t="n">
        <x:v>117.06</x:v>
      </x:c>
      <x:c r="T722" s="40" t="n">
        <x:v>25.47</x:v>
      </x:c>
      <x:c r="U722" s="40" t="n">
        <x:v>1.63</x:v>
      </x:c>
      <x:c r="V722" s="38" t="n">
        <x:f>L722*(1-T722/100)*(1-U722/100)</x:f>
        <x:v>167.38950983715</x:v>
      </x:c>
      <x:c r="W722" s="38" t="n">
        <x:f>G722*N722</x:f>
        <x:v>92890.09176</x:v>
      </x:c>
      <x:c r="X722" s="38" t="n">
        <x:f>H722*O722</x:f>
        <x:v>21456.452159999997</x:v>
      </x:c>
      <x:c r="Y722" s="38" t="n">
        <x:f>I722*P722</x:f>
        <x:v>6925.426199999999</x:v>
      </x:c>
      <x:c r="Z722" s="38" t="n">
        <x:f>J722*Q722+K722*P722</x:f>
        <x:v>1889.8497799999998</x:v>
      </x:c>
      <x:c r="AA722" s="38" t="n">
        <x:f>M722*R722</x:f>
        <x:v>11784.70155</x:v>
      </x:c>
      <x:c r="AB722" s="38" t="n">
        <x:f>SUM(W722:AA722)</x:f>
        <x:v>134946.52145</x:v>
      </x:c>
      <x:c r="AC722" s="38" t="n">
        <x:v>10.22</x:v>
      </x:c>
      <x:c r="AD722" s="38" t="n">
        <x:v>174.33</x:v>
      </x:c>
      <x:c r="AE722" s="38" t="n">
        <x:v>108.96</x:v>
      </x:c>
      <x:c r="AF722" s="38" t="n">
        <x:v>4.8148</x:v>
      </x:c>
      <x:c r="AG722" s="38" t="n">
        <x:v>5.55</x:v>
      </x:c>
      <x:c r="AH722" s="38" t="n">
        <x:f>IF(E722="Fason",L722*S722,0)</x:f>
        <x:v>0</x:v>
      </x:c>
      <x:c r="AI722" s="38" t="n">
        <x:f>IF(E722="Kurum içi",AC722*AD722+AE722*AF722+AB722*12%,0)</x:f>
        <x:v>18499.855782</x:v>
      </x:c>
      <x:c r="AJ722" s="38" t="n">
        <x:f>V722*AG722</x:f>
        <x:v>929.0117795961825</x:v>
      </x:c>
      <x:c r="AK722" s="38" t="n">
        <x:f>AB722*2%</x:f>
        <x:v>2698.930429</x:v>
      </x:c>
      <x:c r="AL722" s="38" t="n">
        <x:f>AB722+AH722+AI722+AJ722+AK722</x:f>
        <x:v>157074.31944059618</x:v>
      </x:c>
      <x:c r="AM722" s="38" t="n">
        <x:f>AL722/V722</x:f>
        <x:v>938.3761240080739</x:v>
      </x:c>
      <x:c r="AN722" s="40" t="n">
        <x:f>(W722+X722)/AL722*100</x:f>
        <x:v>72.79773315411029</x:v>
      </x:c>
      <x:c r="AO722" s="28" t="str">
        <x:v>R01-R20; ilgili satırdaki bölgesel fiyat ve maliyet varsayımları</x:v>
      </x:c>
      <x:c r="AP722" s="28" t="str">
        <x:v>Girdi miktarları, alım fiyatı değişimi, fason bedeli ve parti sonucu simüle edilmiştir; işletme kaydı değildir.</x:v>
      </x:c>
    </x:row>
    <x:row r="723" ht="22" customHeight="1">
      <x:c r="A723" t="str">
        <x:v>SUC-0722</x:v>
      </x:c>
      <x:c r="B723" s="36" t="n">
        <x:v>46307</x:v>
      </x:c>
      <x:c r="C723" t="str">
        <x:v>Akdeniz</x:v>
      </x:c>
      <x:c r="D723" t="str">
        <x:v>ERZURUM_CI</x:v>
      </x:c>
      <x:c r="E723" t="str">
        <x:v>Kurum içi</x:v>
      </x:c>
      <x:c r="F723" s="42" t="str">
        <x:v>SENTETİK/SİMÜLE — gerçek parti kaydı değildir</x:v>
      </x:c>
      <x:c r="G723" s="38" t="n">
        <x:v>309.496</x:v>
      </x:c>
      <x:c r="H723" s="38" t="n">
        <x:v>54.692</x:v>
      </x:c>
      <x:c r="I723" s="38" t="n">
        <x:v>18.148</x:v>
      </x:c>
      <x:c r="J723" s="38" t="n">
        <x:v>6.542</x:v>
      </x:c>
      <x:c r="K723" s="38" t="n">
        <x:v>0.809</x:v>
      </x:c>
      <x:c r="L723" s="38" t="n">
        <x:f>SUM(G723:K723)</x:f>
        <x:v>389.687</x:v>
      </x:c>
      <x:c r="M723" s="38" t="n">
        <x:v>466.565</x:v>
      </x:c>
      <x:c r="N723" s="38" t="n">
        <x:v>588.54</x:v>
      </x:c>
      <x:c r="O723" s="38" t="n">
        <x:v>442.87</x:v>
      </x:c>
      <x:c r="P723" s="38" t="n">
        <x:v>400</x:v>
      </x:c>
      <x:c r="Q723" s="38" t="n">
        <x:v>19.88</x:v>
      </x:c>
      <x:c r="R723" s="38" t="n">
        <x:v>43.7475</x:v>
      </x:c>
      <x:c r="S723" s="38" t="n">
        <x:v>92.36</x:v>
      </x:c>
      <x:c r="T723" s="40" t="n">
        <x:v>19.83</x:v>
      </x:c>
      <x:c r="U723" s="40" t="n">
        <x:v>1.22</x:v>
      </x:c>
      <x:c r="V723" s="38" t="n">
        <x:f>L723*(1-T723/100)*(1-U723/100)</x:f>
        <x:v>308.60064067162006</x:v>
      </x:c>
      <x:c r="W723" s="38" t="n">
        <x:f>G723*N723</x:f>
        <x:v>182150.77584</x:v>
      </x:c>
      <x:c r="X723" s="38" t="n">
        <x:f>H723*O723</x:f>
        <x:v>24221.44604</x:v>
      </x:c>
      <x:c r="Y723" s="38" t="n">
        <x:f>I723*P723</x:f>
        <x:v>7259.2</x:v>
      </x:c>
      <x:c r="Z723" s="38" t="n">
        <x:f>J723*Q723+K723*P723</x:f>
        <x:v>453.65496</x:v>
      </x:c>
      <x:c r="AA723" s="38" t="n">
        <x:f>M723*R723</x:f>
        <x:v>20411.0523375</x:v>
      </x:c>
      <x:c r="AB723" s="38" t="n">
        <x:f>SUM(W723:AA723)</x:f>
        <x:v>234496.12917750003</x:v>
      </x:c>
      <x:c r="AC723" s="38" t="n">
        <x:v>23.87</x:v>
      </x:c>
      <x:c r="AD723" s="38" t="n">
        <x:v>174.33</x:v>
      </x:c>
      <x:c r="AE723" s="38" t="n">
        <x:v>139.54</x:v>
      </x:c>
      <x:c r="AF723" s="38" t="n">
        <x:v>4.8148</x:v>
      </x:c>
      <x:c r="AG723" s="38" t="n">
        <x:v>5.46</x:v>
      </x:c>
      <x:c r="AH723" s="38" t="n">
        <x:f>IF(E723="Fason",L723*S723,0)</x:f>
        <x:v>0</x:v>
      </x:c>
      <x:c r="AI723" s="38" t="n">
        <x:f>IF(E723="Kurum içi",AC723*AD723+AE723*AF723+AB723*12%,0)</x:f>
        <x:v>32972.6497933</x:v>
      </x:c>
      <x:c r="AJ723" s="38" t="n">
        <x:f>V723*AG723</x:f>
        <x:v>1684.9594980670454</x:v>
      </x:c>
      <x:c r="AK723" s="38" t="n">
        <x:f>AB723*2%</x:f>
        <x:v>4689.922583550001</x:v>
      </x:c>
      <x:c r="AL723" s="38" t="n">
        <x:f>AB723+AH723+AI723+AJ723+AK723</x:f>
        <x:v>273843.66105241707</x:v>
      </x:c>
      <x:c r="AM723" s="38" t="n">
        <x:f>AL723/V723</x:f>
        <x:v>887.3723024567935</x:v>
      </x:c>
      <x:c r="AN723" s="40" t="n">
        <x:f>(W723+X723)/AL723*100</x:f>
        <x:v>75.36132882787373</x:v>
      </x:c>
      <x:c r="AO723" s="28" t="str">
        <x:v>R01-R20; ilgili satırdaki bölgesel fiyat ve maliyet varsayımları</x:v>
      </x:c>
      <x:c r="AP723" s="28" t="str">
        <x:v>Girdi miktarları, alım fiyatı değişimi, fason bedeli ve parti sonucu simüle edilmiştir; işletme kaydı değildir.</x:v>
      </x:c>
    </x:row>
    <x:row r="724" ht="22" customHeight="1">
      <x:c r="A724" t="str">
        <x:v>SUC-0723</x:v>
      </x:c>
      <x:c r="B724" s="36" t="n">
        <x:v>46281</x:v>
      </x:c>
      <x:c r="C724" t="str">
        <x:v>Akdeniz</x:v>
      </x:c>
      <x:c r="D724" t="str">
        <x:v>ERZURUM_CI</x:v>
      </x:c>
      <x:c r="E724" t="str">
        <x:v>Kurum içi</x:v>
      </x:c>
      <x:c r="F724" s="42" t="str">
        <x:v>SENTETİK/SİMÜLE — gerçek parti kaydı değildir</x:v>
      </x:c>
      <x:c r="G724" s="38" t="n">
        <x:v>274.493</x:v>
      </x:c>
      <x:c r="H724" s="38" t="n">
        <x:v>47.556</x:v>
      </x:c>
      <x:c r="I724" s="38" t="n">
        <x:v>16.21</x:v>
      </x:c>
      <x:c r="J724" s="38" t="n">
        <x:v>5.8</x:v>
      </x:c>
      <x:c r="K724" s="38" t="n">
        <x:v>0.034</x:v>
      </x:c>
      <x:c r="L724" s="38" t="n">
        <x:f>SUM(G724:K724)</x:f>
        <x:v>344.09299999999996</x:v>
      </x:c>
      <x:c r="M724" s="38" t="n">
        <x:v>440.631</x:v>
      </x:c>
      <x:c r="N724" s="38" t="n">
        <x:v>595.36</x:v>
      </x:c>
      <x:c r="O724" s="38" t="n">
        <x:v>421.89</x:v>
      </x:c>
      <x:c r="P724" s="38" t="n">
        <x:v>400</x:v>
      </x:c>
      <x:c r="Q724" s="38" t="n">
        <x:v>19.88</x:v>
      </x:c>
      <x:c r="R724" s="38" t="n">
        <x:v>43.7475</x:v>
      </x:c>
      <x:c r="S724" s="38" t="n">
        <x:v>76.82</x:v>
      </x:c>
      <x:c r="T724" s="40" t="n">
        <x:v>32.75</x:v>
      </x:c>
      <x:c r="U724" s="40" t="n">
        <x:v>0.5</x:v>
      </x:c>
      <x:c r="V724" s="38" t="n">
        <x:f>L724*(1-T724/100)*(1-U724/100)</x:f>
        <x:v>230.24552978749998</x:v>
      </x:c>
      <x:c r="W724" s="38" t="n">
        <x:f>G724*N724</x:f>
        <x:v>163422.15248</x:v>
      </x:c>
      <x:c r="X724" s="38" t="n">
        <x:f>H724*O724</x:f>
        <x:v>20063.40084</x:v>
      </x:c>
      <x:c r="Y724" s="38" t="n">
        <x:f>I724*P724</x:f>
        <x:v>6484</x:v>
      </x:c>
      <x:c r="Z724" s="38" t="n">
        <x:f>J724*Q724+K724*P724</x:f>
        <x:v>128.904</x:v>
      </x:c>
      <x:c r="AA724" s="38" t="n">
        <x:f>M724*R724</x:f>
        <x:v>19276.5046725</x:v>
      </x:c>
      <x:c r="AB724" s="38" t="n">
        <x:f>SUM(W724:AA724)</x:f>
        <x:v>209374.9619925</x:v>
      </x:c>
      <x:c r="AC724" s="38" t="n">
        <x:v>13.05</x:v>
      </x:c>
      <x:c r="AD724" s="38" t="n">
        <x:v>174.33</x:v>
      </x:c>
      <x:c r="AE724" s="38" t="n">
        <x:v>89.68</x:v>
      </x:c>
      <x:c r="AF724" s="38" t="n">
        <x:v>4.8148</x:v>
      </x:c>
      <x:c r="AG724" s="38" t="n">
        <x:v>5.26</x:v>
      </x:c>
      <x:c r="AH724" s="38" t="n">
        <x:f>IF(E724="Fason",L724*S724,0)</x:f>
        <x:v>0</x:v>
      </x:c>
      <x:c r="AI724" s="38" t="n">
        <x:f>IF(E724="Kurum içi",AC724*AD724+AE724*AF724+AB724*12%,0)</x:f>
        <x:v>27831.7932031</x:v>
      </x:c>
      <x:c r="AJ724" s="38" t="n">
        <x:f>V724*AG724</x:f>
        <x:v>1211.0914866822498</x:v>
      </x:c>
      <x:c r="AK724" s="38" t="n">
        <x:f>AB724*2%</x:f>
        <x:v>4187.49923985</x:v>
      </x:c>
      <x:c r="AL724" s="38" t="n">
        <x:f>AB724+AH724+AI724+AJ724+AK724</x:f>
        <x:v>242605.34592213226</x:v>
      </x:c>
      <x:c r="AM724" s="38" t="n">
        <x:f>AL724/V724</x:f>
        <x:v>1053.681025408135</x:v>
      </x:c>
      <x:c r="AN724" s="40" t="n">
        <x:f>(W724+X724)/AL724*100</x:f>
        <x:v>75.63129024324647</x:v>
      </x:c>
      <x:c r="AO724" s="28" t="str">
        <x:v>R01-R20; ilgili satırdaki bölgesel fiyat ve maliyet varsayımları</x:v>
      </x:c>
      <x:c r="AP724" s="28" t="str">
        <x:v>Girdi miktarları, alım fiyatı değişimi, fason bedeli ve parti sonucu simüle edilmiştir; işletme kaydı değildir.</x:v>
      </x:c>
    </x:row>
    <x:row r="725" ht="22" customHeight="1">
      <x:c r="A725" t="str">
        <x:v>SUC-0724</x:v>
      </x:c>
      <x:c r="B725" s="36" t="n">
        <x:v>46301</x:v>
      </x:c>
      <x:c r="C725" t="str">
        <x:v>İç Anadolu</x:v>
      </x:c>
      <x:c r="D725" t="str">
        <x:v>MEB_STANDART</x:v>
      </x:c>
      <x:c r="E725" t="str">
        <x:v>Kurum içi</x:v>
      </x:c>
      <x:c r="F725" s="42" t="str">
        <x:v>SENTETİK/SİMÜLE — gerçek parti kaydı değildir</x:v>
      </x:c>
      <x:c r="G725" s="38" t="n">
        <x:v>210.419</x:v>
      </x:c>
      <x:c r="H725" s="38" t="n">
        <x:v>65.633</x:v>
      </x:c>
      <x:c r="I725" s="38" t="n">
        <x:v>13.028</x:v>
      </x:c>
      <x:c r="J725" s="38" t="n">
        <x:v>7.882</x:v>
      </x:c>
      <x:c r="K725" s="38" t="n">
        <x:v>2.782</x:v>
      </x:c>
      <x:c r="L725" s="38" t="n">
        <x:f>SUM(G725:K725)</x:f>
        <x:v>299.744</x:v>
      </x:c>
      <x:c r="M725" s="38" t="n">
        <x:v>379.755</x:v>
      </x:c>
      <x:c r="N725" s="38" t="n">
        <x:v>593.83</x:v>
      </x:c>
      <x:c r="O725" s="38" t="n">
        <x:v>420.11</x:v>
      </x:c>
      <x:c r="P725" s="38" t="n">
        <x:v>550</x:v>
      </x:c>
      <x:c r="Q725" s="38" t="n">
        <x:v>19.88</x:v>
      </x:c>
      <x:c r="R725" s="38" t="n">
        <x:v>43.7475</x:v>
      </x:c>
      <x:c r="S725" s="38" t="n">
        <x:v>116.85</x:v>
      </x:c>
      <x:c r="T725" s="40" t="n">
        <x:v>22.9</x:v>
      </x:c>
      <x:c r="U725" s="40" t="n">
        <x:v>1.46</x:v>
      </x:c>
      <x:c r="V725" s="38" t="n">
        <x:f>L725*(1-T725/100)*(1-U725/100)</x:f>
        <x:v>227.72852568960002</x:v>
      </x:c>
      <x:c r="W725" s="38" t="n">
        <x:f>G725*N725</x:f>
        <x:v>124953.11477000001</x:v>
      </x:c>
      <x:c r="X725" s="38" t="n">
        <x:f>H725*O725</x:f>
        <x:v>27573.07963</x:v>
      </x:c>
      <x:c r="Y725" s="38" t="n">
        <x:f>I725*P725</x:f>
        <x:v>7165.400000000001</x:v>
      </x:c>
      <x:c r="Z725" s="38" t="n">
        <x:f>J725*Q725+K725*P725</x:f>
        <x:v>1686.79416</x:v>
      </x:c>
      <x:c r="AA725" s="38" t="n">
        <x:f>M725*R725</x:f>
        <x:v>16613.3318625</x:v>
      </x:c>
      <x:c r="AB725" s="38" t="n">
        <x:f>SUM(W725:AA725)</x:f>
        <x:v>177991.7204225</x:v>
      </x:c>
      <x:c r="AC725" s="38" t="n">
        <x:v>15.25</x:v>
      </x:c>
      <x:c r="AD725" s="38" t="n">
        <x:v>174.33</x:v>
      </x:c>
      <x:c r="AE725" s="38" t="n">
        <x:v>84.5</x:v>
      </x:c>
      <x:c r="AF725" s="38" t="n">
        <x:v>4.8148</x:v>
      </x:c>
      <x:c r="AG725" s="38" t="n">
        <x:v>5.75</x:v>
      </x:c>
      <x:c r="AH725" s="38" t="n">
        <x:f>IF(E725="Fason",L725*S725,0)</x:f>
        <x:v>0</x:v>
      </x:c>
      <x:c r="AI725" s="38" t="n">
        <x:f>IF(E725="Kurum içi",AC725*AD725+AE725*AF725+AB725*12%,0)</x:f>
        <x:v>24424.389550699998</x:v>
      </x:c>
      <x:c r="AJ725" s="38" t="n">
        <x:f>V725*AG725</x:f>
        <x:v>1309.4390227152</x:v>
      </x:c>
      <x:c r="AK725" s="38" t="n">
        <x:f>AB725*2%</x:f>
        <x:v>3559.83440845</x:v>
      </x:c>
      <x:c r="AL725" s="38" t="n">
        <x:f>AB725+AH725+AI725+AJ725+AK725</x:f>
        <x:v>207285.3834043652</x:v>
      </x:c>
      <x:c r="AM725" s="38" t="n">
        <x:f>AL725/V725</x:f>
        <x:v>910.2302084320373</x:v>
      </x:c>
      <x:c r="AN725" s="40" t="n">
        <x:f>(W725+X725)/AL725*100</x:f>
        <x:v>73.58270607168531</x:v>
      </x:c>
      <x:c r="AO725" s="28" t="str">
        <x:v>R01-R20; ilgili satırdaki bölgesel fiyat ve maliyet varsayımları</x:v>
      </x:c>
      <x:c r="AP725" s="28" t="str">
        <x:v>Girdi miktarları, alım fiyatı değişimi, fason bedeli ve parti sonucu simüle edilmiştir; işletme kaydı değildir.</x:v>
      </x:c>
    </x:row>
    <x:row r="726" ht="22" customHeight="1">
      <x:c r="A726" t="str">
        <x:v>SUC-0725</x:v>
      </x:c>
      <x:c r="B726" s="36" t="n">
        <x:v>46292</x:v>
      </x:c>
      <x:c r="C726" t="str">
        <x:v>Doğu Anadolu</x:v>
      </x:c>
      <x:c r="D726" t="str">
        <x:v>MEB_STANDART</x:v>
      </x:c>
      <x:c r="E726" t="str">
        <x:v>Kurum içi</x:v>
      </x:c>
      <x:c r="F726" s="42" t="str">
        <x:v>SENTETİK/SİMÜLE — gerçek parti kaydı değildir</x:v>
      </x:c>
      <x:c r="G726" s="38" t="n">
        <x:v>237.997</x:v>
      </x:c>
      <x:c r="H726" s="38" t="n">
        <x:v>78.376</x:v>
      </x:c>
      <x:c r="I726" s="38" t="n">
        <x:v>15.068</x:v>
      </x:c>
      <x:c r="J726" s="38" t="n">
        <x:v>9.151</x:v>
      </x:c>
      <x:c r="K726" s="38" t="n">
        <x:v>3.536</x:v>
      </x:c>
      <x:c r="L726" s="38" t="n">
        <x:f>SUM(G726:K726)</x:f>
        <x:v>344.12800000000004</x:v>
      </x:c>
      <x:c r="M726" s="38" t="n">
        <x:v>436.574</x:v>
      </x:c>
      <x:c r="N726" s="38" t="n">
        <x:v>577.99</x:v>
      </x:c>
      <x:c r="O726" s="38" t="n">
        <x:v>414.46</x:v>
      </x:c>
      <x:c r="P726" s="38" t="n">
        <x:v>669.9</x:v>
      </x:c>
      <x:c r="Q726" s="38" t="n">
        <x:v>19.88</x:v>
      </x:c>
      <x:c r="R726" s="38" t="n">
        <x:v>43.7475</x:v>
      </x:c>
      <x:c r="S726" s="38" t="n">
        <x:v>71.6</x:v>
      </x:c>
      <x:c r="T726" s="40" t="n">
        <x:v>29.53</x:v>
      </x:c>
      <x:c r="U726" s="40" t="n">
        <x:v>1.11</x:v>
      </x:c>
      <x:c r="V726" s="38" t="n">
        <x:f>L726*(1-T726/100)*(1-U726/100)</x:f>
        <x:v>239.81517388224003</x:v>
      </x:c>
      <x:c r="W726" s="38" t="n">
        <x:f>G726*N726</x:f>
        <x:v>137559.88603000002</x:v>
      </x:c>
      <x:c r="X726" s="38" t="n">
        <x:f>H726*O726</x:f>
        <x:v>32483.71696</x:v>
      </x:c>
      <x:c r="Y726" s="38" t="n">
        <x:f>I726*P726</x:f>
        <x:v>10094.0532</x:v>
      </x:c>
      <x:c r="Z726" s="38" t="n">
        <x:f>J726*Q726+K726*P726</x:f>
        <x:v>2550.68828</x:v>
      </x:c>
      <x:c r="AA726" s="38" t="n">
        <x:f>M726*R726</x:f>
        <x:v>19099.021065</x:v>
      </x:c>
      <x:c r="AB726" s="38" t="n">
        <x:f>SUM(W726:AA726)</x:f>
        <x:v>201787.36553500002</x:v>
      </x:c>
      <x:c r="AC726" s="38" t="n">
        <x:v>12.89</x:v>
      </x:c>
      <x:c r="AD726" s="38" t="n">
        <x:v>174.33</x:v>
      </x:c>
      <x:c r="AE726" s="38" t="n">
        <x:v>126.97</x:v>
      </x:c>
      <x:c r="AF726" s="38" t="n">
        <x:v>4.8148</x:v>
      </x:c>
      <x:c r="AG726" s="38" t="n">
        <x:v>5.52</x:v>
      </x:c>
      <x:c r="AH726" s="38" t="n">
        <x:f>IF(E726="Fason",L726*S726,0)</x:f>
        <x:v>0</x:v>
      </x:c>
      <x:c r="AI726" s="38" t="n">
        <x:f>IF(E726="Kurum içi",AC726*AD726+AE726*AF726+AB726*12%,0)</x:f>
        <x:v>27072.932720200002</x:v>
      </x:c>
      <x:c r="AJ726" s="38" t="n">
        <x:f>V726*AG726</x:f>
        <x:v>1323.7797598299649</x:v>
      </x:c>
      <x:c r="AK726" s="38" t="n">
        <x:f>AB726*2%</x:f>
        <x:v>4035.7473107000005</x:v>
      </x:c>
      <x:c r="AL726" s="38" t="n">
        <x:f>AB726+AH726+AI726+AJ726+AK726</x:f>
        <x:v>234219.82532573</x:v>
      </x:c>
      <x:c r="AM726" s="38" t="n">
        <x:f>AL726/V726</x:f>
        <x:v>976.6680795633991</x:v>
      </x:c>
      <x:c r="AN726" s="40" t="n">
        <x:f>(W726+X726)/AL726*100</x:f>
        <x:v>72.60000418560641</x:v>
      </x:c>
      <x:c r="AO726" s="28" t="str">
        <x:v>R01-R20; ilgili satırdaki bölgesel fiyat ve maliyet varsayımları</x:v>
      </x:c>
      <x:c r="AP726" s="28" t="str">
        <x:v>Girdi miktarları, alım fiyatı değişimi, fason bedeli ve parti sonucu simüle edilmiştir; işletme kaydı değildir.</x:v>
      </x:c>
    </x:row>
    <x:row r="727" ht="22" customHeight="1">
      <x:c r="A727" t="str">
        <x:v>SUC-0726</x:v>
      </x:c>
      <x:c r="B727" s="36" t="n">
        <x:v>46272</x:v>
      </x:c>
      <x:c r="C727" t="str">
        <x:v>İç Anadolu</x:v>
      </x:c>
      <x:c r="D727" t="str">
        <x:v>MEB_STANDART</x:v>
      </x:c>
      <x:c r="E727" t="str">
        <x:v>Kurum içi</x:v>
      </x:c>
      <x:c r="F727" s="42" t="str">
        <x:v>SENTETİK/SİMÜLE — gerçek parti kaydı değildir</x:v>
      </x:c>
      <x:c r="G727" s="38" t="n">
        <x:v>314.199</x:v>
      </x:c>
      <x:c r="H727" s="38" t="n">
        <x:v>100.103</x:v>
      </x:c>
      <x:c r="I727" s="38" t="n">
        <x:v>21.403</x:v>
      </x:c>
      <x:c r="J727" s="38" t="n">
        <x:v>11.052</x:v>
      </x:c>
      <x:c r="K727" s="38" t="n">
        <x:v>3.977</x:v>
      </x:c>
      <x:c r="L727" s="38" t="n">
        <x:f>SUM(G727:K727)</x:f>
        <x:v>450.73400000000004</x:v>
      </x:c>
      <x:c r="M727" s="38" t="n">
        <x:v>565.006</x:v>
      </x:c>
      <x:c r="N727" s="38" t="n">
        <x:v>575.36</x:v>
      </x:c>
      <x:c r="O727" s="38" t="n">
        <x:v>476.19</x:v>
      </x:c>
      <x:c r="P727" s="38" t="n">
        <x:v>400</x:v>
      </x:c>
      <x:c r="Q727" s="38" t="n">
        <x:v>19.88</x:v>
      </x:c>
      <x:c r="R727" s="38" t="n">
        <x:v>43.7475</x:v>
      </x:c>
      <x:c r="S727" s="38" t="n">
        <x:v>112.7</x:v>
      </x:c>
      <x:c r="T727" s="40" t="n">
        <x:v>16.69</x:v>
      </x:c>
      <x:c r="U727" s="40" t="n">
        <x:v>1.34</x:v>
      </x:c>
      <x:c r="V727" s="38" t="n">
        <x:f>L727*(1-T727/100)*(1-U727/100)</x:f>
        <x:v>370.47470836164</x:v>
      </x:c>
      <x:c r="W727" s="38" t="n">
        <x:f>G727*N727</x:f>
        <x:v>180777.53664</x:v>
      </x:c>
      <x:c r="X727" s="38" t="n">
        <x:f>H727*O727</x:f>
        <x:v>47668.047569999995</x:v>
      </x:c>
      <x:c r="Y727" s="38" t="n">
        <x:f>I727*P727</x:f>
        <x:v>8561.199999999999</x:v>
      </x:c>
      <x:c r="Z727" s="38" t="n">
        <x:f>J727*Q727+K727*P727</x:f>
        <x:v>1810.5137599999998</x:v>
      </x:c>
      <x:c r="AA727" s="38" t="n">
        <x:f>M727*R727</x:f>
        <x:v>24717.599985</x:v>
      </x:c>
      <x:c r="AB727" s="38" t="n">
        <x:f>SUM(W727:AA727)</x:f>
        <x:v>263534.897955</x:v>
      </x:c>
      <x:c r="AC727" s="38" t="n">
        <x:v>17.74</x:v>
      </x:c>
      <x:c r="AD727" s="38" t="n">
        <x:v>174.33</x:v>
      </x:c>
      <x:c r="AE727" s="38" t="n">
        <x:v>200.57</x:v>
      </x:c>
      <x:c r="AF727" s="38" t="n">
        <x:v>4.8148</x:v>
      </x:c>
      <x:c r="AG727" s="38" t="n">
        <x:v>5.44</x:v>
      </x:c>
      <x:c r="AH727" s="38" t="n">
        <x:f>IF(E727="Fason",L727*S727,0)</x:f>
        <x:v>0</x:v>
      </x:c>
      <x:c r="AI727" s="38" t="n">
        <x:f>IF(E727="Kurum içi",AC727*AD727+AE727*AF727+AB727*12%,0)</x:f>
        <x:v>35682.5063906</x:v>
      </x:c>
      <x:c r="AJ727" s="38" t="n">
        <x:f>V727*AG727</x:f>
        <x:v>2015.3824134873219</x:v>
      </x:c>
      <x:c r="AK727" s="38" t="n">
        <x:f>AB727*2%</x:f>
        <x:v>5270.6979591</x:v>
      </x:c>
      <x:c r="AL727" s="38" t="n">
        <x:f>AB727+AH727+AI727+AJ727+AK727</x:f>
        <x:v>306503.4847181873</x:v>
      </x:c>
      <x:c r="AM727" s="38" t="n">
        <x:f>AL727/V727</x:f>
        <x:v>827.3263405041755</x:v>
      </x:c>
      <x:c r="AN727" s="40" t="n">
        <x:f>(W727+X727)/AL727*100</x:f>
        <x:v>74.53278530260198</x:v>
      </x:c>
      <x:c r="AO727" s="28" t="str">
        <x:v>R01-R20; ilgili satırdaki bölgesel fiyat ve maliyet varsayımları</x:v>
      </x:c>
      <x:c r="AP727" s="28" t="str">
        <x:v>Girdi miktarları, alım fiyatı değişimi, fason bedeli ve parti sonucu simüle edilmiştir; işletme kaydı değildir.</x:v>
      </x:c>
    </x:row>
    <x:row r="728" ht="22" customHeight="1">
      <x:c r="A728" t="str">
        <x:v>SUC-0727</x:v>
      </x:c>
      <x:c r="B728" s="36" t="n">
        <x:v>46267</x:v>
      </x:c>
      <x:c r="C728" t="str">
        <x:v>Karadeniz</x:v>
      </x:c>
      <x:c r="D728" t="str">
        <x:v>ERZURUM_CI</x:v>
      </x:c>
      <x:c r="E728" t="str">
        <x:v>Kurum içi</x:v>
      </x:c>
      <x:c r="F728" s="42" t="str">
        <x:v>SENTETİK/SİMÜLE — gerçek parti kaydı değildir</x:v>
      </x:c>
      <x:c r="G728" s="38" t="n">
        <x:v>362.147</x:v>
      </x:c>
      <x:c r="H728" s="38" t="n">
        <x:v>61.62</x:v>
      </x:c>
      <x:c r="I728" s="38" t="n">
        <x:v>21.981</x:v>
      </x:c>
      <x:c r="J728" s="38" t="n">
        <x:v>6.843</x:v>
      </x:c>
      <x:c r="K728" s="38" t="n">
        <x:v>0.128</x:v>
      </x:c>
      <x:c r="L728" s="38" t="n">
        <x:f>SUM(G728:K728)</x:f>
        <x:v>452.719</x:v>
      </x:c>
      <x:c r="M728" s="38" t="n">
        <x:v>590.695</x:v>
      </x:c>
      <x:c r="N728" s="38" t="n">
        <x:v>599.39</x:v>
      </x:c>
      <x:c r="O728" s="38" t="n">
        <x:v>454.52</x:v>
      </x:c>
      <x:c r="P728" s="38" t="n">
        <x:v>400</x:v>
      </x:c>
      <x:c r="Q728" s="38" t="n">
        <x:v>19.88</x:v>
      </x:c>
      <x:c r="R728" s="38" t="n">
        <x:v>43.7475</x:v>
      </x:c>
      <x:c r="S728" s="38" t="n">
        <x:v>79.94</x:v>
      </x:c>
      <x:c r="T728" s="40" t="n">
        <x:v>25</x:v>
      </x:c>
      <x:c r="U728" s="40" t="n">
        <x:v>1.58</x:v>
      </x:c>
      <x:c r="V728" s="38" t="n">
        <x:f>L728*(1-T728/100)*(1-U728/100)</x:f>
        <x:v>334.17452984999994</x:v>
      </x:c>
      <x:c r="W728" s="38" t="n">
        <x:f>G728*N728</x:f>
        <x:v>217067.29033</x:v>
      </x:c>
      <x:c r="X728" s="38" t="n">
        <x:f>H728*O728</x:f>
        <x:v>28007.522399999998</x:v>
      </x:c>
      <x:c r="Y728" s="38" t="n">
        <x:f>I728*P728</x:f>
        <x:v>8792.400000000001</x:v>
      </x:c>
      <x:c r="Z728" s="38" t="n">
        <x:f>J728*Q728+K728*P728</x:f>
        <x:v>187.23883999999998</x:v>
      </x:c>
      <x:c r="AA728" s="38" t="n">
        <x:f>M728*R728</x:f>
        <x:v>25841.429512500003</x:v>
      </x:c>
      <x:c r="AB728" s="38" t="n">
        <x:f>SUM(W728:AA728)</x:f>
        <x:v>279895.8810825</x:v>
      </x:c>
      <x:c r="AC728" s="38" t="n">
        <x:v>29.02</x:v>
      </x:c>
      <x:c r="AD728" s="38" t="n">
        <x:v>174.33</x:v>
      </x:c>
      <x:c r="AE728" s="38" t="n">
        <x:v>155.06</x:v>
      </x:c>
      <x:c r="AF728" s="38" t="n">
        <x:v>4.8148</x:v>
      </x:c>
      <x:c r="AG728" s="38" t="n">
        <x:v>5.21</x:v>
      </x:c>
      <x:c r="AH728" s="38" t="n">
        <x:f>IF(E728="Fason",L728*S728,0)</x:f>
        <x:v>0</x:v>
      </x:c>
      <x:c r="AI728" s="38" t="n">
        <x:f>IF(E728="Kurum içi",AC728*AD728+AE728*AF728+AB728*12%,0)</x:f>
        <x:v>39393.1452179</x:v>
      </x:c>
      <x:c r="AJ728" s="38" t="n">
        <x:f>V728*AG728</x:f>
        <x:v>1741.0493005184996</x:v>
      </x:c>
      <x:c r="AK728" s="38" t="n">
        <x:f>AB728*2%</x:f>
        <x:v>5597.91762165</x:v>
      </x:c>
      <x:c r="AL728" s="38" t="n">
        <x:f>AB728+AH728+AI728+AJ728+AK728</x:f>
        <x:v>326627.9932225685</x:v>
      </x:c>
      <x:c r="AM728" s="38" t="n">
        <x:f>AL728/V728</x:f>
        <x:v>977.417379383106</x:v>
      </x:c>
      <x:c r="AN728" s="40" t="n">
        <x:f>(W728+X728)/AL728*100</x:f>
        <x:v>75.03178472611896</x:v>
      </x:c>
      <x:c r="AO728" s="28" t="str">
        <x:v>R01-R20; ilgili satırdaki bölgesel fiyat ve maliyet varsayımları</x:v>
      </x:c>
      <x:c r="AP728" s="28" t="str">
        <x:v>Girdi miktarları, alım fiyatı değişimi, fason bedeli ve parti sonucu simüle edilmiştir; işletme kaydı değildir.</x:v>
      </x:c>
    </x:row>
    <x:row r="729" ht="22" customHeight="1">
      <x:c r="A729" t="str">
        <x:v>SUC-0728</x:v>
      </x:c>
      <x:c r="B729" s="36" t="n">
        <x:v>46314</x:v>
      </x:c>
      <x:c r="C729" t="str">
        <x:v>Doğu Anadolu</x:v>
      </x:c>
      <x:c r="D729" t="str">
        <x:v>MEB_STANDART</x:v>
      </x:c>
      <x:c r="E729" t="str">
        <x:v>Kurum içi</x:v>
      </x:c>
      <x:c r="F729" s="42" t="str">
        <x:v>SENTETİK/SİMÜLE — gerçek parti kaydı değildir</x:v>
      </x:c>
      <x:c r="G729" s="38" t="n">
        <x:v>103.767</x:v>
      </x:c>
      <x:c r="H729" s="38" t="n">
        <x:v>32.445</x:v>
      </x:c>
      <x:c r="I729" s="38" t="n">
        <x:v>6.62</x:v>
      </x:c>
      <x:c r="J729" s="38" t="n">
        <x:v>3.479</x:v>
      </x:c>
      <x:c r="K729" s="38" t="n">
        <x:v>1.715</x:v>
      </x:c>
      <x:c r="L729" s="38" t="n">
        <x:f>SUM(G729:K729)</x:f>
        <x:v>148.026</x:v>
      </x:c>
      <x:c r="M729" s="38" t="n">
        <x:v>184.076</x:v>
      </x:c>
      <x:c r="N729" s="38" t="n">
        <x:v>577.04</x:v>
      </x:c>
      <x:c r="O729" s="38" t="n">
        <x:v>420.89</x:v>
      </x:c>
      <x:c r="P729" s="38" t="n">
        <x:v>669.9</x:v>
      </x:c>
      <x:c r="Q729" s="38" t="n">
        <x:v>19.88</x:v>
      </x:c>
      <x:c r="R729" s="38" t="n">
        <x:v>43.7475</x:v>
      </x:c>
      <x:c r="S729" s="38" t="n">
        <x:v>89.32</x:v>
      </x:c>
      <x:c r="T729" s="40" t="n">
        <x:v>28.82</x:v>
      </x:c>
      <x:c r="U729" s="40" t="n">
        <x:v>0.66</x:v>
      </x:c>
      <x:c r="V729" s="38" t="n">
        <x:f>L729*(1-T729/100)*(1-U729/100)</x:f>
        <x:v>104.66949841511999</x:v>
      </x:c>
      <x:c r="W729" s="38" t="n">
        <x:f>G729*N729</x:f>
        <x:v>59877.70967999999</x:v>
      </x:c>
      <x:c r="X729" s="38" t="n">
        <x:f>H729*O729</x:f>
        <x:v>13655.77605</x:v>
      </x:c>
      <x:c r="Y729" s="38" t="n">
        <x:f>I729*P729</x:f>
        <x:v>4434.738</x:v>
      </x:c>
      <x:c r="Z729" s="38" t="n">
        <x:f>J729*Q729+K729*P729</x:f>
        <x:v>1218.0410200000001</x:v>
      </x:c>
      <x:c r="AA729" s="38" t="n">
        <x:f>M729*R729</x:f>
        <x:v>8052.86481</x:v>
      </x:c>
      <x:c r="AB729" s="38" t="n">
        <x:f>SUM(W729:AA729)</x:f>
        <x:v>87239.12955999999</x:v>
      </x:c>
      <x:c r="AC729" s="38" t="n">
        <x:v>9.44</x:v>
      </x:c>
      <x:c r="AD729" s="38" t="n">
        <x:v>174.33</x:v>
      </x:c>
      <x:c r="AE729" s="38" t="n">
        <x:v>47.55</x:v>
      </x:c>
      <x:c r="AF729" s="38" t="n">
        <x:v>4.8148</x:v>
      </x:c>
      <x:c r="AG729" s="38" t="n">
        <x:v>5.85</x:v>
      </x:c>
      <x:c r="AH729" s="38" t="n">
        <x:f>IF(E729="Fason",L729*S729,0)</x:f>
        <x:v>0</x:v>
      </x:c>
      <x:c r="AI729" s="38" t="n">
        <x:f>IF(E729="Kurum içi",AC729*AD729+AE729*AF729+AB729*12%,0)</x:f>
        <x:v>12343.314487199998</x:v>
      </x:c>
      <x:c r="AJ729" s="38" t="n">
        <x:f>V729*AG729</x:f>
        <x:v>612.3165657284519</x:v>
      </x:c>
      <x:c r="AK729" s="38" t="n">
        <x:f>AB729*2%</x:f>
        <x:v>1744.7825911999998</x:v>
      </x:c>
      <x:c r="AL729" s="38" t="n">
        <x:f>AB729+AH729+AI729+AJ729+AK729</x:f>
        <x:v>101939.54320412844</x:v>
      </x:c>
      <x:c r="AM729" s="38" t="n">
        <x:f>AL729/V729</x:f>
        <x:v>973.9183310102001</x:v>
      </x:c>
      <x:c r="AN729" s="40" t="n">
        <x:f>(W729+X729)/AL729*100</x:f>
        <x:v>72.1344077270909</x:v>
      </x:c>
      <x:c r="AO729" s="28" t="str">
        <x:v>R01-R20; ilgili satırdaki bölgesel fiyat ve maliyet varsayımları</x:v>
      </x:c>
      <x:c r="AP729" s="28" t="str">
        <x:v>Girdi miktarları, alım fiyatı değişimi, fason bedeli ve parti sonucu simüle edilmiştir; işletme kaydı değildir.</x:v>
      </x:c>
    </x:row>
    <x:row r="730" ht="22" customHeight="1">
      <x:c r="A730" t="str">
        <x:v>SUC-0729</x:v>
      </x:c>
      <x:c r="B730" s="36" t="n">
        <x:v>46269</x:v>
      </x:c>
      <x:c r="C730" t="str">
        <x:v>Akdeniz</x:v>
      </x:c>
      <x:c r="D730" t="str">
        <x:v>ERZURUM_CI</x:v>
      </x:c>
      <x:c r="E730" t="str">
        <x:v>Kurum içi</x:v>
      </x:c>
      <x:c r="F730" s="42" t="str">
        <x:v>SENTETİK/SİMÜLE — gerçek parti kaydı değildir</x:v>
      </x:c>
      <x:c r="G730" s="38" t="n">
        <x:v>336.975</x:v>
      </x:c>
      <x:c r="H730" s="38" t="n">
        <x:v>59.74</x:v>
      </x:c>
      <x:c r="I730" s="38" t="n">
        <x:v>19.476</x:v>
      </x:c>
      <x:c r="J730" s="38" t="n">
        <x:v>6.267</x:v>
      </x:c>
      <x:c r="K730" s="38" t="n">
        <x:v>0.042</x:v>
      </x:c>
      <x:c r="L730" s="38" t="n">
        <x:f>SUM(G730:K730)</x:f>
        <x:v>422.5</x:v>
      </x:c>
      <x:c r="M730" s="38" t="n">
        <x:v>532.107</x:v>
      </x:c>
      <x:c r="N730" s="38" t="n">
        <x:v>606.73</x:v>
      </x:c>
      <x:c r="O730" s="38" t="n">
        <x:v>476.59</x:v>
      </x:c>
      <x:c r="P730" s="38" t="n">
        <x:v>669.9</x:v>
      </x:c>
      <x:c r="Q730" s="38" t="n">
        <x:v>19.88</x:v>
      </x:c>
      <x:c r="R730" s="38" t="n">
        <x:v>43.7475</x:v>
      </x:c>
      <x:c r="S730" s="38" t="n">
        <x:v>93.18</x:v>
      </x:c>
      <x:c r="T730" s="40" t="n">
        <x:v>19.19</x:v>
      </x:c>
      <x:c r="U730" s="40" t="n">
        <x:v>1.01</x:v>
      </x:c>
      <x:c r="V730" s="38" t="n">
        <x:f>L730*(1-T730/100)*(1-U730/100)</x:f>
        <x:v>337.97388527500004</x:v>
      </x:c>
      <x:c r="W730" s="38" t="n">
        <x:f>G730*N730</x:f>
        <x:v>204452.84175000002</x:v>
      </x:c>
      <x:c r="X730" s="38" t="n">
        <x:f>H730*O730</x:f>
        <x:v>28471.4866</x:v>
      </x:c>
      <x:c r="Y730" s="38" t="n">
        <x:f>I730*P730</x:f>
        <x:v>13046.972399999999</x:v>
      </x:c>
      <x:c r="Z730" s="38" t="n">
        <x:f>J730*Q730+K730*P730</x:f>
        <x:v>152.72376</x:v>
      </x:c>
      <x:c r="AA730" s="38" t="n">
        <x:f>M730*R730</x:f>
        <x:v>23278.3509825</x:v>
      </x:c>
      <x:c r="AB730" s="38" t="n">
        <x:f>SUM(W730:AA730)</x:f>
        <x:v>269402.3754925</x:v>
      </x:c>
      <x:c r="AC730" s="38" t="n">
        <x:v>29.36</x:v>
      </x:c>
      <x:c r="AD730" s="38" t="n">
        <x:v>174.33</x:v>
      </x:c>
      <x:c r="AE730" s="38" t="n">
        <x:v>186.22</x:v>
      </x:c>
      <x:c r="AF730" s="38" t="n">
        <x:v>4.8148</x:v>
      </x:c>
      <x:c r="AG730" s="38" t="n">
        <x:v>5.31</x:v>
      </x:c>
      <x:c r="AH730" s="38" t="n">
        <x:f>IF(E730="Fason",L730*S730,0)</x:f>
        <x:v>0</x:v>
      </x:c>
      <x:c r="AI730" s="38" t="n">
        <x:f>IF(E730="Kurum içi",AC730*AD730+AE730*AF730+AB730*12%,0)</x:f>
        <x:v>38343.2259151</x:v>
      </x:c>
      <x:c r="AJ730" s="38" t="n">
        <x:f>V730*AG730</x:f>
        <x:v>1794.64133081025</x:v>
      </x:c>
      <x:c r="AK730" s="38" t="n">
        <x:f>AB730*2%</x:f>
        <x:v>5388.047509850001</x:v>
      </x:c>
      <x:c r="AL730" s="38" t="n">
        <x:f>AB730+AH730+AI730+AJ730+AK730</x:f>
        <x:v>314928.2902482603</x:v>
      </x:c>
      <x:c r="AM730" s="38" t="n">
        <x:f>AL730/V730</x:f>
        <x:v>931.8124978561933</x:v>
      </x:c>
      <x:c r="AN730" s="40" t="n">
        <x:f>(W730+X730)/AL730*100</x:f>
        <x:v>73.9610684598656</x:v>
      </x:c>
      <x:c r="AO730" s="28" t="str">
        <x:v>R01-R20; ilgili satırdaki bölgesel fiyat ve maliyet varsayımları</x:v>
      </x:c>
      <x:c r="AP730" s="28" t="str">
        <x:v>Girdi miktarları, alım fiyatı değişimi, fason bedeli ve parti sonucu simüle edilmiştir; işletme kaydı değildir.</x:v>
      </x:c>
    </x:row>
    <x:row r="731" ht="22" customHeight="1">
      <x:c r="A731" t="str">
        <x:v>SUC-0730</x:v>
      </x:c>
      <x:c r="B731" s="36" t="n">
        <x:v>46312</x:v>
      </x:c>
      <x:c r="C731" t="str">
        <x:v>İç Anadolu</x:v>
      </x:c>
      <x:c r="D731" t="str">
        <x:v>MEB_STANDART</x:v>
      </x:c>
      <x:c r="E731" t="str">
        <x:v>Kurum içi</x:v>
      </x:c>
      <x:c r="F731" s="42" t="str">
        <x:v>SENTETİK/SİMÜLE — gerçek parti kaydı değildir</x:v>
      </x:c>
      <x:c r="G731" s="38" t="n">
        <x:v>224.529</x:v>
      </x:c>
      <x:c r="H731" s="38" t="n">
        <x:v>72.404</x:v>
      </x:c>
      <x:c r="I731" s="38" t="n">
        <x:v>14.172</x:v>
      </x:c>
      <x:c r="J731" s="38" t="n">
        <x:v>8.475</x:v>
      </x:c>
      <x:c r="K731" s="38" t="n">
        <x:v>2.959</x:v>
      </x:c>
      <x:c r="L731" s="38" t="n">
        <x:f>SUM(G731:K731)</x:f>
        <x:v>322.53900000000004</x:v>
      </x:c>
      <x:c r="M731" s="38" t="n">
        <x:v>380.089</x:v>
      </x:c>
      <x:c r="N731" s="38" t="n">
        <x:v>584.68</x:v>
      </x:c>
      <x:c r="O731" s="38" t="n">
        <x:v>437.03</x:v>
      </x:c>
      <x:c r="P731" s="38" t="n">
        <x:v>550</x:v>
      </x:c>
      <x:c r="Q731" s="38" t="n">
        <x:v>19.88</x:v>
      </x:c>
      <x:c r="R731" s="38" t="n">
        <x:v>43.7475</x:v>
      </x:c>
      <x:c r="S731" s="38" t="n">
        <x:v>69.2</x:v>
      </x:c>
      <x:c r="T731" s="40" t="n">
        <x:v>16.85</x:v>
      </x:c>
      <x:c r="U731" s="40" t="n">
        <x:v>0.8</x:v>
      </x:c>
      <x:c r="V731" s="38" t="n">
        <x:f>L731*(1-T731/100)*(1-U731/100)</x:f>
        <x:v>266.04564907200006</x:v>
      </x:c>
      <x:c r="W731" s="38" t="n">
        <x:f>G731*N731</x:f>
        <x:v>131277.61571999997</x:v>
      </x:c>
      <x:c r="X731" s="38" t="n">
        <x:f>H731*O731</x:f>
        <x:v>31642.720119999998</x:v>
      </x:c>
      <x:c r="Y731" s="38" t="n">
        <x:f>I731*P731</x:f>
        <x:v>7794.6</x:v>
      </x:c>
      <x:c r="Z731" s="38" t="n">
        <x:f>J731*Q731+K731*P731</x:f>
        <x:v>1795.933</x:v>
      </x:c>
      <x:c r="AA731" s="38" t="n">
        <x:f>M731*R731</x:f>
        <x:v>16627.9435275</x:v>
      </x:c>
      <x:c r="AB731" s="38" t="n">
        <x:f>SUM(W731:AA731)</x:f>
        <x:v>189138.81236749995</x:v>
      </x:c>
      <x:c r="AC731" s="38" t="n">
        <x:v>13.75</x:v>
      </x:c>
      <x:c r="AD731" s="38" t="n">
        <x:v>174.33</x:v>
      </x:c>
      <x:c r="AE731" s="38" t="n">
        <x:v>133.96</x:v>
      </x:c>
      <x:c r="AF731" s="38" t="n">
        <x:v>4.8148</x:v>
      </x:c>
      <x:c r="AG731" s="38" t="n">
        <x:v>5.51</x:v>
      </x:c>
      <x:c r="AH731" s="38" t="n">
        <x:f>IF(E731="Fason",L731*S731,0)</x:f>
        <x:v>0</x:v>
      </x:c>
      <x:c r="AI731" s="38" t="n">
        <x:f>IF(E731="Kurum içi",AC731*AD731+AE731*AF731+AB731*12%,0)</x:f>
        <x:v>25738.685592099995</x:v>
      </x:c>
      <x:c r="AJ731" s="38" t="n">
        <x:f>V731*AG731</x:f>
        <x:v>1465.9115263867202</x:v>
      </x:c>
      <x:c r="AK731" s="38" t="n">
        <x:f>AB731*2%</x:f>
        <x:v>3782.7762473499993</x:v>
      </x:c>
      <x:c r="AL731" s="38" t="n">
        <x:f>AB731+AH731+AI731+AJ731+AK731</x:f>
        <x:v>220126.18573333666</x:v>
      </x:c>
      <x:c r="AM731" s="38" t="n">
        <x:f>AL731/V731</x:f>
        <x:v>827.400058979216</x:v>
      </x:c>
      <x:c r="AN731" s="40" t="n">
        <x:f>(W731+X731)/AL731*100</x:f>
        <x:v>74.01224679255719</x:v>
      </x:c>
      <x:c r="AO731" s="28" t="str">
        <x:v>R01-R20; ilgili satırdaki bölgesel fiyat ve maliyet varsayımları</x:v>
      </x:c>
      <x:c r="AP731" s="28" t="str">
        <x:v>Girdi miktarları, alım fiyatı değişimi, fason bedeli ve parti sonucu simüle edilmiştir; işletme kaydı değildir.</x:v>
      </x:c>
    </x:row>
    <x:row r="732" ht="22" customHeight="1">
      <x:c r="A732" t="str">
        <x:v>SUC-0731</x:v>
      </x:c>
      <x:c r="B732" s="36" t="n">
        <x:v>46271</x:v>
      </x:c>
      <x:c r="C732" t="str">
        <x:v>Güneydoğu Anadolu</x:v>
      </x:c>
      <x:c r="D732" t="str">
        <x:v>MEB_STANDART</x:v>
      </x:c>
      <x:c r="E732" t="str">
        <x:v>Fason</x:v>
      </x:c>
      <x:c r="F732" s="42" t="str">
        <x:v>SENTETİK/SİMÜLE — gerçek parti kaydı değildir</x:v>
      </x:c>
      <x:c r="G732" s="38" t="n">
        <x:v>191.623</x:v>
      </x:c>
      <x:c r="H732" s="38" t="n">
        <x:v>58.384</x:v>
      </x:c>
      <x:c r="I732" s="38" t="n">
        <x:v>12</x:v>
      </x:c>
      <x:c r="J732" s="38" t="n">
        <x:v>6.746</x:v>
      </x:c>
      <x:c r="K732" s="38" t="n">
        <x:v>2.374</x:v>
      </x:c>
      <x:c r="L732" s="38" t="n">
        <x:f>SUM(G732:K732)</x:f>
        <x:v>271.127</x:v>
      </x:c>
      <x:c r="M732" s="38" t="n">
        <x:v>339.669</x:v>
      </x:c>
      <x:c r="N732" s="38" t="n">
        <x:v>595.16</x:v>
      </x:c>
      <x:c r="O732" s="38" t="n">
        <x:v>475.64</x:v>
      </x:c>
      <x:c r="P732" s="38" t="n">
        <x:v>550</x:v>
      </x:c>
      <x:c r="Q732" s="38" t="n">
        <x:v>19.88</x:v>
      </x:c>
      <x:c r="R732" s="38" t="n">
        <x:v>43.7475</x:v>
      </x:c>
      <x:c r="S732" s="38" t="n">
        <x:v>93.07</x:v>
      </x:c>
      <x:c r="T732" s="40" t="n">
        <x:v>18.55</x:v>
      </x:c>
      <x:c r="U732" s="40" t="n">
        <x:v>0.86</x:v>
      </x:c>
      <x:c r="V732" s="38" t="n">
        <x:f>L732*(1-T732/100)*(1-U732/100)</x:f>
        <x:v>218.9337782031</x:v>
      </x:c>
      <x:c r="W732" s="38" t="n">
        <x:f>G732*N732</x:f>
        <x:v>114046.34468</x:v>
      </x:c>
      <x:c r="X732" s="38" t="n">
        <x:f>H732*O732</x:f>
        <x:v>27769.76576</x:v>
      </x:c>
      <x:c r="Y732" s="38" t="n">
        <x:f>I732*P732</x:f>
        <x:v>6600</x:v>
      </x:c>
      <x:c r="Z732" s="38" t="n">
        <x:f>J732*Q732+K732*P732</x:f>
        <x:v>1439.81048</x:v>
      </x:c>
      <x:c r="AA732" s="38" t="n">
        <x:f>M732*R732</x:f>
        <x:v>14859.6695775</x:v>
      </x:c>
      <x:c r="AB732" s="38" t="n">
        <x:f>SUM(W732:AA732)</x:f>
        <x:v>164715.5904975</x:v>
      </x:c>
      <x:c r="AC732" s="38" t="n">
        <x:v>17.33</x:v>
      </x:c>
      <x:c r="AD732" s="38" t="n">
        <x:v>174.33</x:v>
      </x:c>
      <x:c r="AE732" s="38" t="n">
        <x:v>67.44</x:v>
      </x:c>
      <x:c r="AF732" s="38" t="n">
        <x:v>4.8148</x:v>
      </x:c>
      <x:c r="AG732" s="38" t="n">
        <x:v>5.12</x:v>
      </x:c>
      <x:c r="AH732" s="38" t="n">
        <x:f>IF(E732="Fason",L732*S732,0)</x:f>
        <x:v>25233.78989</x:v>
      </x:c>
      <x:c r="AI732" s="38" t="n">
        <x:f>IF(E732="Kurum içi",AC732*AD732+AE732*AF732+AB732*12%,0)</x:f>
        <x:v>0</x:v>
      </x:c>
      <x:c r="AJ732" s="38" t="n">
        <x:f>V732*AG732</x:f>
        <x:v>1120.940944399872</x:v>
      </x:c>
      <x:c r="AK732" s="38" t="n">
        <x:f>AB732*2%</x:f>
        <x:v>3294.31180995</x:v>
      </x:c>
      <x:c r="AL732" s="38" t="n">
        <x:f>AB732+AH732+AI732+AJ732+AK732</x:f>
        <x:v>194364.63314184986</x:v>
      </x:c>
      <x:c r="AM732" s="38" t="n">
        <x:f>AL732/V732</x:f>
        <x:v>887.7781890811847</x:v>
      </x:c>
      <x:c r="AN732" s="40" t="n">
        <x:f>(W732+X732)/AL732*100</x:f>
        <x:v>72.96394830046098</x:v>
      </x:c>
      <x:c r="AO732" s="28" t="str">
        <x:v>R01-R20; ilgili satırdaki bölgesel fiyat ve maliyet varsayımları</x:v>
      </x:c>
      <x:c r="AP732" s="28" t="str">
        <x:v>Girdi miktarları, alım fiyatı değişimi, fason bedeli ve parti sonucu simüle edilmiştir; işletme kaydı değildir.</x:v>
      </x:c>
    </x:row>
    <x:row r="733" ht="22" customHeight="1">
      <x:c r="A733" t="str">
        <x:v>SUC-0732</x:v>
      </x:c>
      <x:c r="B733" s="36" t="n">
        <x:v>46273</x:v>
      </x:c>
      <x:c r="C733" t="str">
        <x:v>Akdeniz</x:v>
      </x:c>
      <x:c r="D733" t="str">
        <x:v>ERZURUM_CI</x:v>
      </x:c>
      <x:c r="E733" t="str">
        <x:v>Fason</x:v>
      </x:c>
      <x:c r="F733" s="42" t="str">
        <x:v>SENTETİK/SİMÜLE — gerçek parti kaydı değildir</x:v>
      </x:c>
      <x:c r="G733" s="38" t="n">
        <x:v>95.454</x:v>
      </x:c>
      <x:c r="H733" s="38" t="n">
        <x:v>17.672</x:v>
      </x:c>
      <x:c r="I733" s="38" t="n">
        <x:v>5.74</x:v>
      </x:c>
      <x:c r="J733" s="38" t="n">
        <x:v>1.873</x:v>
      </x:c>
      <x:c r="K733" s="38" t="n">
        <x:v>0.269</x:v>
      </x:c>
      <x:c r="L733" s="38" t="n">
        <x:f>SUM(G733:K733)</x:f>
        <x:v>121.008</x:v>
      </x:c>
      <x:c r="M733" s="38" t="n">
        <x:v>139.074</x:v>
      </x:c>
      <x:c r="N733" s="38" t="n">
        <x:v>594.01</x:v>
      </x:c>
      <x:c r="O733" s="38" t="n">
        <x:v>415.47</x:v>
      </x:c>
      <x:c r="P733" s="38" t="n">
        <x:v>669.9</x:v>
      </x:c>
      <x:c r="Q733" s="38" t="n">
        <x:v>19.88</x:v>
      </x:c>
      <x:c r="R733" s="38" t="n">
        <x:v>43.7475</x:v>
      </x:c>
      <x:c r="S733" s="38" t="n">
        <x:v>73.08</x:v>
      </x:c>
      <x:c r="T733" s="40" t="n">
        <x:v>22.69</x:v>
      </x:c>
      <x:c r="U733" s="40" t="n">
        <x:v>1.11</x:v>
      </x:c>
      <x:c r="V733" s="38" t="n">
        <x:f>L733*(1-T733/100)*(1-U733/100)</x:f>
        <x:v>92.51286553872</x:v>
      </x:c>
      <x:c r="W733" s="38" t="n">
        <x:f>G733*N733</x:f>
        <x:v>56700.63054</x:v>
      </x:c>
      <x:c r="X733" s="38" t="n">
        <x:f>H733*O733</x:f>
        <x:v>7342.185840000001</x:v>
      </x:c>
      <x:c r="Y733" s="38" t="n">
        <x:f>I733*P733</x:f>
        <x:v>3845.226</x:v>
      </x:c>
      <x:c r="Z733" s="38" t="n">
        <x:f>J733*Q733+K733*P733</x:f>
        <x:v>217.43834</x:v>
      </x:c>
      <x:c r="AA733" s="38" t="n">
        <x:f>M733*R733</x:f>
        <x:v>6084.139815</x:v>
      </x:c>
      <x:c r="AB733" s="38" t="n">
        <x:f>SUM(W733:AA733)</x:f>
        <x:v>74189.620535</x:v>
      </x:c>
      <x:c r="AC733" s="38" t="n">
        <x:v>5.06</x:v>
      </x:c>
      <x:c r="AD733" s="38" t="n">
        <x:v>174.33</x:v>
      </x:c>
      <x:c r="AE733" s="38" t="n">
        <x:v>32.45</x:v>
      </x:c>
      <x:c r="AF733" s="38" t="n">
        <x:v>4.8148</x:v>
      </x:c>
      <x:c r="AG733" s="38" t="n">
        <x:v>5.82</x:v>
      </x:c>
      <x:c r="AH733" s="38" t="n">
        <x:f>IF(E733="Fason",L733*S733,0)</x:f>
        <x:v>8843.26464</x:v>
      </x:c>
      <x:c r="AI733" s="38" t="n">
        <x:f>IF(E733="Kurum içi",AC733*AD733+AE733*AF733+AB733*12%,0)</x:f>
        <x:v>0</x:v>
      </x:c>
      <x:c r="AJ733" s="38" t="n">
        <x:f>V733*AG733</x:f>
        <x:v>538.4248774353505</x:v>
      </x:c>
      <x:c r="AK733" s="38" t="n">
        <x:f>AB733*2%</x:f>
        <x:v>1483.7924107</x:v>
      </x:c>
      <x:c r="AL733" s="38" t="n">
        <x:f>AB733+AH733+AI733+AJ733+AK733</x:f>
        <x:v>85055.10246313534</x:v>
      </x:c>
      <x:c r="AM733" s="38" t="n">
        <x:f>AL733/V733</x:f>
        <x:v>919.3867465659322</x:v>
      </x:c>
      <x:c r="AN733" s="40" t="n">
        <x:f>(W733+X733)/AL733*100</x:f>
        <x:v>75.29567836069269</x:v>
      </x:c>
      <x:c r="AO733" s="28" t="str">
        <x:v>R01-R20; ilgili satırdaki bölgesel fiyat ve maliyet varsayımları</x:v>
      </x:c>
      <x:c r="AP733" s="28" t="str">
        <x:v>Girdi miktarları, alım fiyatı değişimi, fason bedeli ve parti sonucu simüle edilmiştir; işletme kaydı değildir.</x:v>
      </x:c>
    </x:row>
    <x:row r="734" ht="22" customHeight="1">
      <x:c r="A734" t="str">
        <x:v>SUC-0733</x:v>
      </x:c>
      <x:c r="B734" s="36" t="n">
        <x:v>46312</x:v>
      </x:c>
      <x:c r="C734" t="str">
        <x:v>Güneydoğu Anadolu</x:v>
      </x:c>
      <x:c r="D734" t="str">
        <x:v>MEB_STANDART</x:v>
      </x:c>
      <x:c r="E734" t="str">
        <x:v>Kurum içi</x:v>
      </x:c>
      <x:c r="F734" s="42" t="str">
        <x:v>SENTETİK/SİMÜLE — gerçek parti kaydı değildir</x:v>
      </x:c>
      <x:c r="G734" s="38" t="n">
        <x:v>293.857</x:v>
      </x:c>
      <x:c r="H734" s="38" t="n">
        <x:v>94.675</x:v>
      </x:c>
      <x:c r="I734" s="38" t="n">
        <x:v>19.317</x:v>
      </x:c>
      <x:c r="J734" s="38" t="n">
        <x:v>10.396</x:v>
      </x:c>
      <x:c r="K734" s="38" t="n">
        <x:v>4.548</x:v>
      </x:c>
      <x:c r="L734" s="38" t="n">
        <x:f>SUM(G734:K734)</x:f>
        <x:v>422.79300000000006</x:v>
      </x:c>
      <x:c r="M734" s="38" t="n">
        <x:v>511.066</x:v>
      </x:c>
      <x:c r="N734" s="38" t="n">
        <x:v>576.09</x:v>
      </x:c>
      <x:c r="O734" s="38" t="n">
        <x:v>437</x:v>
      </x:c>
      <x:c r="P734" s="38" t="n">
        <x:v>669.9</x:v>
      </x:c>
      <x:c r="Q734" s="38" t="n">
        <x:v>19.88</x:v>
      </x:c>
      <x:c r="R734" s="38" t="n">
        <x:v>43.7475</x:v>
      </x:c>
      <x:c r="S734" s="38" t="n">
        <x:v>82.03</x:v>
      </x:c>
      <x:c r="T734" s="40" t="n">
        <x:v>15.67</x:v>
      </x:c>
      <x:c r="U734" s="40" t="n">
        <x:v>0.83</x:v>
      </x:c>
      <x:c r="V734" s="38" t="n">
        <x:f>L734*(1-T734/100)*(1-U734/100)</x:f>
        <x:v>353.58204380373</x:v>
      </x:c>
      <x:c r="W734" s="38" t="n">
        <x:f>G734*N734</x:f>
        <x:v>169288.07913000003</x:v>
      </x:c>
      <x:c r="X734" s="38" t="n">
        <x:f>H734*O734</x:f>
        <x:v>41372.975</x:v>
      </x:c>
      <x:c r="Y734" s="38" t="n">
        <x:f>I734*P734</x:f>
        <x:v>12940.4583</x:v>
      </x:c>
      <x:c r="Z734" s="38" t="n">
        <x:f>J734*Q734+K734*P734</x:f>
        <x:v>3253.37768</x:v>
      </x:c>
      <x:c r="AA734" s="38" t="n">
        <x:f>M734*R734</x:f>
        <x:v>22357.859835</x:v>
      </x:c>
      <x:c r="AB734" s="38" t="n">
        <x:f>SUM(W734:AA734)</x:f>
        <x:v>249212.74994500005</x:v>
      </x:c>
      <x:c r="AC734" s="38" t="n">
        <x:v>21.29</x:v>
      </x:c>
      <x:c r="AD734" s="38" t="n">
        <x:v>174.33</x:v>
      </x:c>
      <x:c r="AE734" s="38" t="n">
        <x:v>158.07</x:v>
      </x:c>
      <x:c r="AF734" s="38" t="n">
        <x:v>4.8148</x:v>
      </x:c>
      <x:c r="AG734" s="38" t="n">
        <x:v>5.47</x:v>
      </x:c>
      <x:c r="AH734" s="38" t="n">
        <x:f>IF(E734="Fason",L734*S734,0)</x:f>
        <x:v>0</x:v>
      </x:c>
      <x:c r="AI734" s="38" t="n">
        <x:f>IF(E734="Kurum içi",AC734*AD734+AE734*AF734+AB734*12%,0)</x:f>
        <x:v>34378.0911294</x:v>
      </x:c>
      <x:c r="AJ734" s="38" t="n">
        <x:f>V734*AG734</x:f>
        <x:v>1934.0937796064031</x:v>
      </x:c>
      <x:c r="AK734" s="38" t="n">
        <x:f>AB734*2%</x:f>
        <x:v>4984.254998900001</x:v>
      </x:c>
      <x:c r="AL734" s="38" t="n">
        <x:f>AB734+AH734+AI734+AJ734+AK734</x:f>
        <x:v>290509.18985290645</x:v>
      </x:c>
      <x:c r="AM734" s="38" t="n">
        <x:f>AL734/V734</x:f>
        <x:v>821.6174857967768</x:v>
      </x:c>
      <x:c r="AN734" s="40" t="n">
        <x:f>(W734+X734)/AL734*100</x:f>
        <x:v>72.51442002115805</x:v>
      </x:c>
      <x:c r="AO734" s="28" t="str">
        <x:v>R01-R20; ilgili satırdaki bölgesel fiyat ve maliyet varsayımları</x:v>
      </x:c>
      <x:c r="AP734" s="28" t="str">
        <x:v>Girdi miktarları, alım fiyatı değişimi, fason bedeli ve parti sonucu simüle edilmiştir; işletme kaydı değildir.</x:v>
      </x:c>
    </x:row>
    <x:row r="735" ht="22" customHeight="1">
      <x:c r="A735" t="str">
        <x:v>SUC-0734</x:v>
      </x:c>
      <x:c r="B735" s="36" t="n">
        <x:v>46268</x:v>
      </x:c>
      <x:c r="C735" t="str">
        <x:v>Akdeniz</x:v>
      </x:c>
      <x:c r="D735" t="str">
        <x:v>ERZURUM_CI</x:v>
      </x:c>
      <x:c r="E735" t="str">
        <x:v>Kurum içi</x:v>
      </x:c>
      <x:c r="F735" s="42" t="str">
        <x:v>SENTETİK/SİMÜLE — gerçek parti kaydı değildir</x:v>
      </x:c>
      <x:c r="G735" s="38" t="n">
        <x:v>332.333</x:v>
      </x:c>
      <x:c r="H735" s="38" t="n">
        <x:v>60.991</x:v>
      </x:c>
      <x:c r="I735" s="38" t="n">
        <x:v>18.17</x:v>
      </x:c>
      <x:c r="J735" s="38" t="n">
        <x:v>7.227</x:v>
      </x:c>
      <x:c r="K735" s="38" t="n">
        <x:v>0.058</x:v>
      </x:c>
      <x:c r="L735" s="38" t="n">
        <x:f>SUM(G735:K735)</x:f>
        <x:v>418.779</x:v>
      </x:c>
      <x:c r="M735" s="38" t="n">
        <x:v>495.79</x:v>
      </x:c>
      <x:c r="N735" s="38" t="n">
        <x:v>578.16</x:v>
      </x:c>
      <x:c r="O735" s="38" t="n">
        <x:v>410.29</x:v>
      </x:c>
      <x:c r="P735" s="38" t="n">
        <x:v>669.9</x:v>
      </x:c>
      <x:c r="Q735" s="38" t="n">
        <x:v>19.88</x:v>
      </x:c>
      <x:c r="R735" s="38" t="n">
        <x:v>43.7475</x:v>
      </x:c>
      <x:c r="S735" s="38" t="n">
        <x:v>69.76</x:v>
      </x:c>
      <x:c r="T735" s="40" t="n">
        <x:v>26.08</x:v>
      </x:c>
      <x:c r="U735" s="40" t="n">
        <x:v>1.16</x:v>
      </x:c>
      <x:c r="V735" s="38" t="n">
        <x:f>L735*(1-T735/100)*(1-U735/100)</x:f>
        <x:v>305.97052413312</x:v>
      </x:c>
      <x:c r="W735" s="38" t="n">
        <x:f>G735*N735</x:f>
        <x:v>192141.64728</x:v>
      </x:c>
      <x:c r="X735" s="38" t="n">
        <x:f>H735*O735</x:f>
        <x:v>25023.99739</x:v>
      </x:c>
      <x:c r="Y735" s="38" t="n">
        <x:f>I735*P735</x:f>
        <x:v>12172.083</x:v>
      </x:c>
      <x:c r="Z735" s="38" t="n">
        <x:f>J735*Q735+K735*P735</x:f>
        <x:v>182.52696</x:v>
      </x:c>
      <x:c r="AA735" s="38" t="n">
        <x:f>M735*R735</x:f>
        <x:v>21689.573025</x:v>
      </x:c>
      <x:c r="AB735" s="38" t="n">
        <x:f>SUM(W735:AA735)</x:f>
        <x:v>251209.827655</x:v>
      </x:c>
      <x:c r="AC735" s="38" t="n">
        <x:v>16.63</x:v>
      </x:c>
      <x:c r="AD735" s="38" t="n">
        <x:v>174.33</x:v>
      </x:c>
      <x:c r="AE735" s="38" t="n">
        <x:v>127</x:v>
      </x:c>
      <x:c r="AF735" s="38" t="n">
        <x:v>4.8148</x:v>
      </x:c>
      <x:c r="AG735" s="38" t="n">
        <x:v>5.72</x:v>
      </x:c>
      <x:c r="AH735" s="38" t="n">
        <x:f>IF(E735="Fason",L735*S735,0)</x:f>
        <x:v>0</x:v>
      </x:c>
      <x:c r="AI735" s="38" t="n">
        <x:f>IF(E735="Kurum içi",AC735*AD735+AE735*AF735+AB735*12%,0)</x:f>
        <x:v>33655.7668186</x:v>
      </x:c>
      <x:c r="AJ735" s="38" t="n">
        <x:f>V735*AG735</x:f>
        <x:v>1750.1513980414466</x:v>
      </x:c>
      <x:c r="AK735" s="38" t="n">
        <x:f>AB735*2%</x:f>
        <x:v>5024.1965531000005</x:v>
      </x:c>
      <x:c r="AL735" s="38" t="n">
        <x:f>AB735+AH735+AI735+AJ735+AK735</x:f>
        <x:v>291639.94242474146</x:v>
      </x:c>
      <x:c r="AM735" s="38" t="n">
        <x:f>AL735/V735</x:f>
        <x:v>953.163522045203</x:v>
      </x:c>
      <x:c r="AN735" s="40" t="n">
        <x:f>(W735+X735)/AL735*100</x:f>
        <x:v>74.46361525943595</x:v>
      </x:c>
      <x:c r="AO735" s="28" t="str">
        <x:v>R01-R20; ilgili satırdaki bölgesel fiyat ve maliyet varsayımları</x:v>
      </x:c>
      <x:c r="AP735" s="28" t="str">
        <x:v>Girdi miktarları, alım fiyatı değişimi, fason bedeli ve parti sonucu simüle edilmiştir; işletme kaydı değildir.</x:v>
      </x:c>
    </x:row>
    <x:row r="736" ht="22" customHeight="1">
      <x:c r="A736" t="str">
        <x:v>SUC-0735</x:v>
      </x:c>
      <x:c r="B736" s="36" t="n">
        <x:v>46293</x:v>
      </x:c>
      <x:c r="C736" t="str">
        <x:v>İç Anadolu</x:v>
      </x:c>
      <x:c r="D736" t="str">
        <x:v>MEB_STANDART</x:v>
      </x:c>
      <x:c r="E736" t="str">
        <x:v>Kurum içi</x:v>
      </x:c>
      <x:c r="F736" s="42" t="str">
        <x:v>SENTETİK/SİMÜLE — gerçek parti kaydı değildir</x:v>
      </x:c>
      <x:c r="G736" s="38" t="n">
        <x:v>157.901</x:v>
      </x:c>
      <x:c r="H736" s="38" t="n">
        <x:v>50.253</x:v>
      </x:c>
      <x:c r="I736" s="38" t="n">
        <x:v>10.104</x:v>
      </x:c>
      <x:c r="J736" s="38" t="n">
        <x:v>5.981</x:v>
      </x:c>
      <x:c r="K736" s="38" t="n">
        <x:v>2.507</x:v>
      </x:c>
      <x:c r="L736" s="38" t="n">
        <x:f>SUM(G736:K736)</x:f>
        <x:v>226.74599999999998</x:v>
      </x:c>
      <x:c r="M736" s="38" t="n">
        <x:v>289.994</x:v>
      </x:c>
      <x:c r="N736" s="38" t="n">
        <x:v>599.79</x:v>
      </x:c>
      <x:c r="O736" s="38" t="n">
        <x:v>418.71</x:v>
      </x:c>
      <x:c r="P736" s="38" t="n">
        <x:v>400</x:v>
      </x:c>
      <x:c r="Q736" s="38" t="n">
        <x:v>19.88</x:v>
      </x:c>
      <x:c r="R736" s="38" t="n">
        <x:v>43.7475</x:v>
      </x:c>
      <x:c r="S736" s="38" t="n">
        <x:v>82.34</x:v>
      </x:c>
      <x:c r="T736" s="40" t="n">
        <x:v>21.12</x:v>
      </x:c>
      <x:c r="U736" s="40" t="n">
        <x:v>1.75</x:v>
      </x:c>
      <x:c r="V736" s="38" t="n">
        <x:f>L736*(1-T736/100)*(1-U736/100)</x:f>
        <x:v>175.72724301599996</x:v>
      </x:c>
      <x:c r="W736" s="38" t="n">
        <x:f>G736*N736</x:f>
        <x:v>94707.44079</x:v>
      </x:c>
      <x:c r="X736" s="38" t="n">
        <x:f>H736*O736</x:f>
        <x:v>21041.43363</x:v>
      </x:c>
      <x:c r="Y736" s="38" t="n">
        <x:f>I736*P736</x:f>
        <x:v>4041.5999999999995</x:v>
      </x:c>
      <x:c r="Z736" s="38" t="n">
        <x:f>J736*Q736+K736*P736</x:f>
        <x:v>1121.70228</x:v>
      </x:c>
      <x:c r="AA736" s="38" t="n">
        <x:f>M736*R736</x:f>
        <x:v>12686.512515000002</x:v>
      </x:c>
      <x:c r="AB736" s="38" t="n">
        <x:f>SUM(W736:AA736)</x:f>
        <x:v>133598.689215</x:v>
      </x:c>
      <x:c r="AC736" s="38" t="n">
        <x:v>12.07</x:v>
      </x:c>
      <x:c r="AD736" s="38" t="n">
        <x:v>174.33</x:v>
      </x:c>
      <x:c r="AE736" s="38" t="n">
        <x:v>94.37</x:v>
      </x:c>
      <x:c r="AF736" s="38" t="n">
        <x:v>4.8148</x:v>
      </x:c>
      <x:c r="AG736" s="38" t="n">
        <x:v>5.34</x:v>
      </x:c>
      <x:c r="AH736" s="38" t="n">
        <x:f>IF(E736="Fason",L736*S736,0)</x:f>
        <x:v>0</x:v>
      </x:c>
      <x:c r="AI736" s="38" t="n">
        <x:f>IF(E736="Kurum içi",AC736*AD736+AE736*AF736+AB736*12%,0)</x:f>
        <x:v>18590.3784818</x:v>
      </x:c>
      <x:c r="AJ736" s="38" t="n">
        <x:f>V736*AG736</x:f>
        <x:v>938.3834777054398</x:v>
      </x:c>
      <x:c r="AK736" s="38" t="n">
        <x:f>AB736*2%</x:f>
        <x:v>2671.9737843</x:v>
      </x:c>
      <x:c r="AL736" s="38" t="n">
        <x:f>AB736+AH736+AI736+AJ736+AK736</x:f>
        <x:v>155799.42495880544</x:v>
      </x:c>
      <x:c r="AM736" s="38" t="n">
        <x:f>AL736/V736</x:f>
        <x:v>886.5980156794465</x:v>
      </x:c>
      <x:c r="AN736" s="40" t="n">
        <x:f>(W736+X736)/AL736*100</x:f>
        <x:v>74.2935183814734</x:v>
      </x:c>
      <x:c r="AO736" s="28" t="str">
        <x:v>R01-R20; ilgili satırdaki bölgesel fiyat ve maliyet varsayımları</x:v>
      </x:c>
      <x:c r="AP736" s="28" t="str">
        <x:v>Girdi miktarları, alım fiyatı değişimi, fason bedeli ve parti sonucu simüle edilmiştir; işletme kaydı değildir.</x:v>
      </x:c>
    </x:row>
    <x:row r="737" ht="22" customHeight="1">
      <x:c r="A737" t="str">
        <x:v>SUC-0736</x:v>
      </x:c>
      <x:c r="B737" s="36" t="n">
        <x:v>46276</x:v>
      </x:c>
      <x:c r="C737" t="str">
        <x:v>Ege</x:v>
      </x:c>
      <x:c r="D737" t="str">
        <x:v>MEB_STANDART</x:v>
      </x:c>
      <x:c r="E737" t="str">
        <x:v>Kurum içi</x:v>
      </x:c>
      <x:c r="F737" s="42" t="str">
        <x:v>SENTETİK/SİMÜLE — gerçek parti kaydı değildir</x:v>
      </x:c>
      <x:c r="G737" s="38" t="n">
        <x:v>133.498</x:v>
      </x:c>
      <x:c r="H737" s="38" t="n">
        <x:v>40.044</x:v>
      </x:c>
      <x:c r="I737" s="38" t="n">
        <x:v>8.576</x:v>
      </x:c>
      <x:c r="J737" s="38" t="n">
        <x:v>4.896</x:v>
      </x:c>
      <x:c r="K737" s="38" t="n">
        <x:v>2.029</x:v>
      </x:c>
      <x:c r="L737" s="38" t="n">
        <x:f>SUM(G737:K737)</x:f>
        <x:v>189.04299999999995</x:v>
      </x:c>
      <x:c r="M737" s="38" t="n">
        <x:v>233.886</x:v>
      </x:c>
      <x:c r="N737" s="38" t="n">
        <x:v>587.75</x:v>
      </x:c>
      <x:c r="O737" s="38" t="n">
        <x:v>428.77</x:v>
      </x:c>
      <x:c r="P737" s="38" t="n">
        <x:v>669.9</x:v>
      </x:c>
      <x:c r="Q737" s="38" t="n">
        <x:v>19.88</x:v>
      </x:c>
      <x:c r="R737" s="38" t="n">
        <x:v>43.7475</x:v>
      </x:c>
      <x:c r="S737" s="38" t="n">
        <x:v>92.08</x:v>
      </x:c>
      <x:c r="T737" s="40" t="n">
        <x:v>22.77</x:v>
      </x:c>
      <x:c r="U737" s="40" t="n">
        <x:v>0.93</x:v>
      </x:c>
      <x:c r="V737" s="38" t="n">
        <x:f>L737*(1-T737/100)*(1-U737/100)</x:f>
        <x:v>144.64012834722996</x:v>
      </x:c>
      <x:c r="W737" s="38" t="n">
        <x:f>G737*N737</x:f>
        <x:v>78463.44949999999</x:v>
      </x:c>
      <x:c r="X737" s="38" t="n">
        <x:f>H737*O737</x:f>
        <x:v>17169.665879999997</x:v>
      </x:c>
      <x:c r="Y737" s="38" t="n">
        <x:f>I737*P737</x:f>
        <x:v>5745.0624</x:v>
      </x:c>
      <x:c r="Z737" s="38" t="n">
        <x:f>J737*Q737+K737*P737</x:f>
        <x:v>1456.5595799999999</x:v>
      </x:c>
      <x:c r="AA737" s="38" t="n">
        <x:f>M737*R737</x:f>
        <x:v>10231.927785</x:v>
      </x:c>
      <x:c r="AB737" s="38" t="n">
        <x:f>SUM(W737:AA737)</x:f>
        <x:v>113066.66514499998</x:v>
      </x:c>
      <x:c r="AC737" s="38" t="n">
        <x:v>13.06</x:v>
      </x:c>
      <x:c r="AD737" s="38" t="n">
        <x:v>174.33</x:v>
      </x:c>
      <x:c r="AE737" s="38" t="n">
        <x:v>68.84</x:v>
      </x:c>
      <x:c r="AF737" s="38" t="n">
        <x:v>4.8148</x:v>
      </x:c>
      <x:c r="AG737" s="38" t="n">
        <x:v>5.18</x:v>
      </x:c>
      <x:c r="AH737" s="38" t="n">
        <x:f>IF(E737="Fason",L737*S737,0)</x:f>
        <x:v>0</x:v>
      </x:c>
      <x:c r="AI737" s="38" t="n">
        <x:f>IF(E737="Kurum içi",AC737*AD737+AE737*AF737+AB737*12%,0)</x:f>
        <x:v>16176.200449399998</x:v>
      </x:c>
      <x:c r="AJ737" s="38" t="n">
        <x:f>V737*AG737</x:f>
        <x:v>749.2358648386512</x:v>
      </x:c>
      <x:c r="AK737" s="38" t="n">
        <x:f>AB737*2%</x:f>
        <x:v>2261.3333028999996</x:v>
      </x:c>
      <x:c r="AL737" s="38" t="n">
        <x:f>AB737+AH737+AI737+AJ737+AK737</x:f>
        <x:v>132253.43476213864</x:v>
      </x:c>
      <x:c r="AM737" s="38" t="n">
        <x:f>AL737/V737</x:f>
        <x:v>914.3619842803566</x:v>
      </x:c>
      <x:c r="AN737" s="40" t="n">
        <x:f>(W737+X737)/AL737*100</x:f>
        <x:v>72.31049654929471</x:v>
      </x:c>
      <x:c r="AO737" s="28" t="str">
        <x:v>R01-R20; ilgili satırdaki bölgesel fiyat ve maliyet varsayımları</x:v>
      </x:c>
      <x:c r="AP737" s="28" t="str">
        <x:v>Girdi miktarları, alım fiyatı değişimi, fason bedeli ve parti sonucu simüle edilmiştir; işletme kaydı değildir.</x:v>
      </x:c>
    </x:row>
    <x:row r="738" ht="22" customHeight="1">
      <x:c r="A738" t="str">
        <x:v>SUC-0737</x:v>
      </x:c>
      <x:c r="B738" s="36" t="n">
        <x:v>46281</x:v>
      </x:c>
      <x:c r="C738" t="str">
        <x:v>Doğu Anadolu</x:v>
      </x:c>
      <x:c r="D738" t="str">
        <x:v>ERZURUM_CI</x:v>
      </x:c>
      <x:c r="E738" t="str">
        <x:v>Kurum içi</x:v>
      </x:c>
      <x:c r="F738" s="42" t="str">
        <x:v>SENTETİK/SİMÜLE — gerçek parti kaydı değildir</x:v>
      </x:c>
      <x:c r="G738" s="38" t="n">
        <x:v>290.986</x:v>
      </x:c>
      <x:c r="H738" s="38" t="n">
        <x:v>49.111</x:v>
      </x:c>
      <x:c r="I738" s="38" t="n">
        <x:v>16.612</x:v>
      </x:c>
      <x:c r="J738" s="38" t="n">
        <x:v>5.928</x:v>
      </x:c>
      <x:c r="K738" s="38" t="n">
        <x:v>0.589</x:v>
      </x:c>
      <x:c r="L738" s="38" t="n">
        <x:f>SUM(G738:K738)</x:f>
        <x:v>363.226</x:v>
      </x:c>
      <x:c r="M738" s="38" t="n">
        <x:v>442.293</x:v>
      </x:c>
      <x:c r="N738" s="38" t="n">
        <x:v>588.79</x:v>
      </x:c>
      <x:c r="O738" s="38" t="n">
        <x:v>424.19</x:v>
      </x:c>
      <x:c r="P738" s="38" t="n">
        <x:v>400</x:v>
      </x:c>
      <x:c r="Q738" s="38" t="n">
        <x:v>19.88</x:v>
      </x:c>
      <x:c r="R738" s="38" t="n">
        <x:v>43.7475</x:v>
      </x:c>
      <x:c r="S738" s="38" t="n">
        <x:v>123.14</x:v>
      </x:c>
      <x:c r="T738" s="40" t="n">
        <x:v>24.63</x:v>
      </x:c>
      <x:c r="U738" s="40" t="n">
        <x:v>1.53</x:v>
      </x:c>
      <x:c r="V738" s="38" t="n">
        <x:f>L738*(1-T738/100)*(1-U738/100)</x:f>
        <x:v>269.57485562614</x:v>
      </x:c>
      <x:c r="W738" s="38" t="n">
        <x:f>G738*N738</x:f>
        <x:v>171329.64693999998</x:v>
      </x:c>
      <x:c r="X738" s="38" t="n">
        <x:f>H738*O738</x:f>
        <x:v>20832.395089999998</x:v>
      </x:c>
      <x:c r="Y738" s="38" t="n">
        <x:f>I738*P738</x:f>
        <x:v>6644.799999999999</x:v>
      </x:c>
      <x:c r="Z738" s="38" t="n">
        <x:f>J738*Q738+K738*P738</x:f>
        <x:v>353.44863999999995</x:v>
      </x:c>
      <x:c r="AA738" s="38" t="n">
        <x:f>M738*R738</x:f>
        <x:v>19349.213017500002</x:v>
      </x:c>
      <x:c r="AB738" s="38" t="n">
        <x:f>SUM(W738:AA738)</x:f>
        <x:v>218509.50368749996</x:v>
      </x:c>
      <x:c r="AC738" s="38" t="n">
        <x:v>24.15</x:v>
      </x:c>
      <x:c r="AD738" s="38" t="n">
        <x:v>174.33</x:v>
      </x:c>
      <x:c r="AE738" s="38" t="n">
        <x:v>117.72</x:v>
      </x:c>
      <x:c r="AF738" s="38" t="n">
        <x:v>4.8148</x:v>
      </x:c>
      <x:c r="AG738" s="38" t="n">
        <x:v>5.44</x:v>
      </x:c>
      <x:c r="AH738" s="38" t="n">
        <x:f>IF(E738="Fason",L738*S738,0)</x:f>
        <x:v>0</x:v>
      </x:c>
      <x:c r="AI738" s="38" t="n">
        <x:f>IF(E738="Kurum içi",AC738*AD738+AE738*AF738+AB738*12%,0)</x:f>
        <x:v>30998.008198499996</x:v>
      </x:c>
      <x:c r="AJ738" s="38" t="n">
        <x:f>V738*AG738</x:f>
        <x:v>1466.4872146062016</x:v>
      </x:c>
      <x:c r="AK738" s="38" t="n">
        <x:f>AB738*2%</x:f>
        <x:v>4370.190073749999</x:v>
      </x:c>
      <x:c r="AL738" s="38" t="n">
        <x:f>AB738+AH738+AI738+AJ738+AK738</x:f>
        <x:v>255344.18917435617</x:v>
      </x:c>
      <x:c r="AM738" s="38" t="n">
        <x:f>AL738/V738</x:f>
        <x:v>947.2107054690604</x:v>
      </x:c>
      <x:c r="AN738" s="40" t="n">
        <x:f>(W738+X738)/AL738*100</x:f>
        <x:v>75.25608577635826</x:v>
      </x:c>
      <x:c r="AO738" s="28" t="str">
        <x:v>R01-R20; ilgili satırdaki bölgesel fiyat ve maliyet varsayımları</x:v>
      </x:c>
      <x:c r="AP738" s="28" t="str">
        <x:v>Girdi miktarları, alım fiyatı değişimi, fason bedeli ve parti sonucu simüle edilmiştir; işletme kaydı değildir.</x:v>
      </x:c>
    </x:row>
    <x:row r="739" ht="22" customHeight="1">
      <x:c r="A739" t="str">
        <x:v>SUC-0738</x:v>
      </x:c>
      <x:c r="B739" s="36" t="n">
        <x:v>46272</x:v>
      </x:c>
      <x:c r="C739" t="str">
        <x:v>İç Anadolu</x:v>
      </x:c>
      <x:c r="D739" t="str">
        <x:v>ERZURUM_CI</x:v>
      </x:c>
      <x:c r="E739" t="str">
        <x:v>Kurum içi</x:v>
      </x:c>
      <x:c r="F739" s="42" t="str">
        <x:v>SENTETİK/SİMÜLE — gerçek parti kaydı değildir</x:v>
      </x:c>
      <x:c r="G739" s="38" t="n">
        <x:v>224.602</x:v>
      </x:c>
      <x:c r="H739" s="38" t="n">
        <x:v>41.75</x:v>
      </x:c>
      <x:c r="I739" s="38" t="n">
        <x:v>13.562</x:v>
      </x:c>
      <x:c r="J739" s="38" t="n">
        <x:v>4.052</x:v>
      </x:c>
      <x:c r="K739" s="38" t="n">
        <x:v>0.542</x:v>
      </x:c>
      <x:c r="L739" s="38" t="n">
        <x:f>SUM(G739:K739)</x:f>
        <x:v>284.508</x:v>
      </x:c>
      <x:c r="M739" s="38" t="n">
        <x:v>357.619</x:v>
      </x:c>
      <x:c r="N739" s="38" t="n">
        <x:v>591.31</x:v>
      </x:c>
      <x:c r="O739" s="38" t="n">
        <x:v>442.88</x:v>
      </x:c>
      <x:c r="P739" s="38" t="n">
        <x:v>400</x:v>
      </x:c>
      <x:c r="Q739" s="38" t="n">
        <x:v>19.88</x:v>
      </x:c>
      <x:c r="R739" s="38" t="n">
        <x:v>43.7475</x:v>
      </x:c>
      <x:c r="S739" s="38" t="n">
        <x:v>65.31</x:v>
      </x:c>
      <x:c r="T739" s="40" t="n">
        <x:v>17.69</x:v>
      </x:c>
      <x:c r="U739" s="40" t="n">
        <x:v>1.08</x:v>
      </x:c>
      <x:c r="V739" s="38" t="n">
        <x:f>L739*(1-T739/100)*(1-U739/100)</x:f>
        <x:v>231.64940662415995</x:v>
      </x:c>
      <x:c r="W739" s="38" t="n">
        <x:f>G739*N739</x:f>
        <x:v>132809.40862</x:v>
      </x:c>
      <x:c r="X739" s="38" t="n">
        <x:f>H739*O739</x:f>
        <x:v>18490.24</x:v>
      </x:c>
      <x:c r="Y739" s="38" t="n">
        <x:f>I739*P739</x:f>
        <x:v>5424.8</x:v>
      </x:c>
      <x:c r="Z739" s="38" t="n">
        <x:f>J739*Q739+K739*P739</x:f>
        <x:v>297.35375999999997</x:v>
      </x:c>
      <x:c r="AA739" s="38" t="n">
        <x:f>M739*R739</x:f>
        <x:v>15644.937202500001</x:v>
      </x:c>
      <x:c r="AB739" s="38" t="n">
        <x:f>SUM(W739:AA739)</x:f>
        <x:v>172666.73958249998</x:v>
      </x:c>
      <x:c r="AC739" s="38" t="n">
        <x:v>15.87</x:v>
      </x:c>
      <x:c r="AD739" s="38" t="n">
        <x:v>174.33</x:v>
      </x:c>
      <x:c r="AE739" s="38" t="n">
        <x:v>74.96</x:v>
      </x:c>
      <x:c r="AF739" s="38" t="n">
        <x:v>4.8148</x:v>
      </x:c>
      <x:c r="AG739" s="38" t="n">
        <x:v>5.74</x:v>
      </x:c>
      <x:c r="AH739" s="38" t="n">
        <x:f>IF(E739="Fason",L739*S739,0)</x:f>
        <x:v>0</x:v>
      </x:c>
      <x:c r="AI739" s="38" t="n">
        <x:f>IF(E739="Kurum içi",AC739*AD739+AE739*AF739+AB739*12%,0)</x:f>
        <x:v>23847.543257899997</x:v>
      </x:c>
      <x:c r="AJ739" s="38" t="n">
        <x:f>V739*AG739</x:f>
        <x:v>1329.6675940226783</x:v>
      </x:c>
      <x:c r="AK739" s="38" t="n">
        <x:f>AB739*2%</x:f>
        <x:v>3453.3347916499997</x:v>
      </x:c>
      <x:c r="AL739" s="38" t="n">
        <x:f>AB739+AH739+AI739+AJ739+AK739</x:f>
        <x:v>201297.28522607265</x:v>
      </x:c>
      <x:c r="AM739" s="38" t="n">
        <x:f>AL739/V739</x:f>
        <x:v>868.973886700551</x:v>
      </x:c>
      <x:c r="AN739" s="40" t="n">
        <x:f>(W739+X739)/AL739*100</x:f>
        <x:v>75.16228967026485</x:v>
      </x:c>
      <x:c r="AO739" s="28" t="str">
        <x:v>R01-R20; ilgili satırdaki bölgesel fiyat ve maliyet varsayımları</x:v>
      </x:c>
      <x:c r="AP739" s="28" t="str">
        <x:v>Girdi miktarları, alım fiyatı değişimi, fason bedeli ve parti sonucu simüle edilmiştir; işletme kaydı değildir.</x:v>
      </x:c>
    </x:row>
    <x:row r="740" ht="22" customHeight="1">
      <x:c r="A740" t="str">
        <x:v>SUC-0739</x:v>
      </x:c>
      <x:c r="B740" s="36" t="n">
        <x:v>46295</x:v>
      </x:c>
      <x:c r="C740" t="str">
        <x:v>İç Anadolu</x:v>
      </x:c>
      <x:c r="D740" t="str">
        <x:v>MEB_STANDART</x:v>
      </x:c>
      <x:c r="E740" t="str">
        <x:v>Fason</x:v>
      </x:c>
      <x:c r="F740" s="42" t="str">
        <x:v>SENTETİK/SİMÜLE — gerçek parti kaydı değildir</x:v>
      </x:c>
      <x:c r="G740" s="38" t="n">
        <x:v>109.94</x:v>
      </x:c>
      <x:c r="H740" s="38" t="n">
        <x:v>36.375</x:v>
      </x:c>
      <x:c r="I740" s="38" t="n">
        <x:v>7.223</x:v>
      </x:c>
      <x:c r="J740" s="38" t="n">
        <x:v>4.144</x:v>
      </x:c>
      <x:c r="K740" s="38" t="n">
        <x:v>1.397</x:v>
      </x:c>
      <x:c r="L740" s="38" t="n">
        <x:f>SUM(G740:K740)</x:f>
        <x:v>159.079</x:v>
      </x:c>
      <x:c r="M740" s="38" t="n">
        <x:v>202.862</x:v>
      </x:c>
      <x:c r="N740" s="38" t="n">
        <x:v>582.35</x:v>
      </x:c>
      <x:c r="O740" s="38" t="n">
        <x:v>468.53</x:v>
      </x:c>
      <x:c r="P740" s="38" t="n">
        <x:v>669.9</x:v>
      </x:c>
      <x:c r="Q740" s="38" t="n">
        <x:v>19.88</x:v>
      </x:c>
      <x:c r="R740" s="38" t="n">
        <x:v>43.7475</x:v>
      </x:c>
      <x:c r="S740" s="38" t="n">
        <x:v>86.4</x:v>
      </x:c>
      <x:c r="T740" s="40" t="n">
        <x:v>23.47</x:v>
      </x:c>
      <x:c r="U740" s="40" t="n">
        <x:v>0.45</x:v>
      </x:c>
      <x:c r="V740" s="38" t="n">
        <x:f>L740*(1-T740/100)*(1-U740/100)</x:f>
        <x:v>121.19531448585002</x:v>
      </x:c>
      <x:c r="W740" s="38" t="n">
        <x:f>G740*N740</x:f>
        <x:v>64023.559</x:v>
      </x:c>
      <x:c r="X740" s="38" t="n">
        <x:f>H740*O740</x:f>
        <x:v>17042.778749999998</x:v>
      </x:c>
      <x:c r="Y740" s="38" t="n">
        <x:f>I740*P740</x:f>
        <x:v>4838.6876999999995</x:v>
      </x:c>
      <x:c r="Z740" s="38" t="n">
        <x:f>J740*Q740+K740*P740</x:f>
        <x:v>1018.2330199999999</x:v>
      </x:c>
      <x:c r="AA740" s="38" t="n">
        <x:f>M740*R740</x:f>
        <x:v>8874.705345</x:v>
      </x:c>
      <x:c r="AB740" s="38" t="n">
        <x:f>SUM(W740:AA740)</x:f>
        <x:v>95797.963815</x:v>
      </x:c>
      <x:c r="AC740" s="38" t="n">
        <x:v>9.7</x:v>
      </x:c>
      <x:c r="AD740" s="38" t="n">
        <x:v>174.33</x:v>
      </x:c>
      <x:c r="AE740" s="38" t="n">
        <x:v>40.94</x:v>
      </x:c>
      <x:c r="AF740" s="38" t="n">
        <x:v>4.8148</x:v>
      </x:c>
      <x:c r="AG740" s="38" t="n">
        <x:v>5.64</x:v>
      </x:c>
      <x:c r="AH740" s="38" t="n">
        <x:f>IF(E740="Fason",L740*S740,0)</x:f>
        <x:v>13744.425600000002</x:v>
      </x:c>
      <x:c r="AI740" s="38" t="n">
        <x:f>IF(E740="Kurum içi",AC740*AD740+AE740*AF740+AB740*12%,0)</x:f>
        <x:v>0</x:v>
      </x:c>
      <x:c r="AJ740" s="38" t="n">
        <x:f>V740*AG740</x:f>
        <x:v>683.541573700194</x:v>
      </x:c>
      <x:c r="AK740" s="38" t="n">
        <x:f>AB740*2%</x:f>
        <x:v>1915.9592763</x:v>
      </x:c>
      <x:c r="AL740" s="38" t="n">
        <x:f>AB740+AH740+AI740+AJ740+AK740</x:f>
        <x:v>112141.89026500018</x:v>
      </x:c>
      <x:c r="AM740" s="38" t="n">
        <x:f>AL740/V740</x:f>
        <x:v>925.2988924591895</x:v>
      </x:c>
      <x:c r="AN740" s="40" t="n">
        <x:f>(W740+X740)/AL740*100</x:f>
        <x:v>72.28907730949943</x:v>
      </x:c>
      <x:c r="AO740" s="28" t="str">
        <x:v>R01-R20; ilgili satırdaki bölgesel fiyat ve maliyet varsayımları</x:v>
      </x:c>
      <x:c r="AP740" s="28" t="str">
        <x:v>Girdi miktarları, alım fiyatı değişimi, fason bedeli ve parti sonucu simüle edilmiştir; işletme kaydı değildir.</x:v>
      </x:c>
    </x:row>
    <x:row r="741" ht="22" customHeight="1">
      <x:c r="A741" t="str">
        <x:v>SUC-0740</x:v>
      </x:c>
      <x:c r="B741" s="36" t="n">
        <x:v>46293</x:v>
      </x:c>
      <x:c r="C741" t="str">
        <x:v>İç Anadolu</x:v>
      </x:c>
      <x:c r="D741" t="str">
        <x:v>MEB_STANDART</x:v>
      </x:c>
      <x:c r="E741" t="str">
        <x:v>Fason</x:v>
      </x:c>
      <x:c r="F741" s="42" t="str">
        <x:v>SENTETİK/SİMÜLE — gerçek parti kaydı değildir</x:v>
      </x:c>
      <x:c r="G741" s="38" t="n">
        <x:v>245.636</x:v>
      </x:c>
      <x:c r="H741" s="38" t="n">
        <x:v>77.38</x:v>
      </x:c>
      <x:c r="I741" s="38" t="n">
        <x:v>15.018</x:v>
      </x:c>
      <x:c r="J741" s="38" t="n">
        <x:v>8.673</x:v>
      </x:c>
      <x:c r="K741" s="38" t="n">
        <x:v>3.826</x:v>
      </x:c>
      <x:c r="L741" s="38" t="n">
        <x:f>SUM(G741:K741)</x:f>
        <x:v>350.533</x:v>
      </x:c>
      <x:c r="M741" s="38" t="n">
        <x:v>415.41</x:v>
      </x:c>
      <x:c r="N741" s="38" t="n">
        <x:v>601.02</x:v>
      </x:c>
      <x:c r="O741" s="38" t="n">
        <x:v>443.23</x:v>
      </x:c>
      <x:c r="P741" s="38" t="n">
        <x:v>400</x:v>
      </x:c>
      <x:c r="Q741" s="38" t="n">
        <x:v>19.88</x:v>
      </x:c>
      <x:c r="R741" s="38" t="n">
        <x:v>43.7475</x:v>
      </x:c>
      <x:c r="S741" s="38" t="n">
        <x:v>112.48</x:v>
      </x:c>
      <x:c r="T741" s="40" t="n">
        <x:v>17.42</x:v>
      </x:c>
      <x:c r="U741" s="40" t="n">
        <x:v>1.47</x:v>
      </x:c>
      <x:c r="V741" s="38" t="n">
        <x:f>L741*(1-T741/100)*(1-U741/100)</x:f>
        <x:v>285.21494017442</x:v>
      </x:c>
      <x:c r="W741" s="38" t="n">
        <x:f>G741*N741</x:f>
        <x:v>147632.14872</x:v>
      </x:c>
      <x:c r="X741" s="38" t="n">
        <x:f>H741*O741</x:f>
        <x:v>34297.1374</x:v>
      </x:c>
      <x:c r="Y741" s="38" t="n">
        <x:f>I741*P741</x:f>
        <x:v>6007.200000000001</x:v>
      </x:c>
      <x:c r="Z741" s="38" t="n">
        <x:f>J741*Q741+K741*P741</x:f>
        <x:v>1702.81924</x:v>
      </x:c>
      <x:c r="AA741" s="38" t="n">
        <x:f>M741*R741</x:f>
        <x:v>18173.148975000004</x:v>
      </x:c>
      <x:c r="AB741" s="38" t="n">
        <x:f>SUM(W741:AA741)</x:f>
        <x:v>207812.45433500002</x:v>
      </x:c>
      <x:c r="AC741" s="38" t="n">
        <x:v>17.56</x:v>
      </x:c>
      <x:c r="AD741" s="38" t="n">
        <x:v>174.33</x:v>
      </x:c>
      <x:c r="AE741" s="38" t="n">
        <x:v>115.37</x:v>
      </x:c>
      <x:c r="AF741" s="38" t="n">
        <x:v>4.8148</x:v>
      </x:c>
      <x:c r="AG741" s="38" t="n">
        <x:v>5.55</x:v>
      </x:c>
      <x:c r="AH741" s="38" t="n">
        <x:f>IF(E741="Fason",L741*S741,0)</x:f>
        <x:v>39427.95184</x:v>
      </x:c>
      <x:c r="AI741" s="38" t="n">
        <x:f>IF(E741="Kurum içi",AC741*AD741+AE741*AF741+AB741*12%,0)</x:f>
        <x:v>0</x:v>
      </x:c>
      <x:c r="AJ741" s="38" t="n">
        <x:f>V741*AG741</x:f>
        <x:v>1582.942917968031</x:v>
      </x:c>
      <x:c r="AK741" s="38" t="n">
        <x:f>AB741*2%</x:f>
        <x:v>4156.249086700001</x:v>
      </x:c>
      <x:c r="AL741" s="38" t="n">
        <x:f>AB741+AH741+AI741+AJ741+AK741</x:f>
        <x:v>252979.59817966804</x:v>
      </x:c>
      <x:c r="AM741" s="38" t="n">
        <x:f>AL741/V741</x:f>
        <x:v>886.9787747618032</x:v>
      </x:c>
      <x:c r="AN741" s="40" t="n">
        <x:f>(W741+X741)/AL741*100</x:f>
        <x:v>71.91460790873437</x:v>
      </x:c>
      <x:c r="AO741" s="28" t="str">
        <x:v>R01-R20; ilgili satırdaki bölgesel fiyat ve maliyet varsayımları</x:v>
      </x:c>
      <x:c r="AP741" s="28" t="str">
        <x:v>Girdi miktarları, alım fiyatı değişimi, fason bedeli ve parti sonucu simüle edilmiştir; işletme kaydı değildir.</x:v>
      </x:c>
    </x:row>
    <x:row r="742" ht="22" customHeight="1">
      <x:c r="A742" t="str">
        <x:v>SUC-0741</x:v>
      </x:c>
      <x:c r="B742" s="36" t="n">
        <x:v>46272</x:v>
      </x:c>
      <x:c r="C742" t="str">
        <x:v>Marmara</x:v>
      </x:c>
      <x:c r="D742" t="str">
        <x:v>MEB_STANDART</x:v>
      </x:c>
      <x:c r="E742" t="str">
        <x:v>Kurum içi</x:v>
      </x:c>
      <x:c r="F742" s="42" t="str">
        <x:v>SENTETİK/SİMÜLE — gerçek parti kaydı değildir</x:v>
      </x:c>
      <x:c r="G742" s="38" t="n">
        <x:v>110.613</x:v>
      </x:c>
      <x:c r="H742" s="38" t="n">
        <x:v>34.464</x:v>
      </x:c>
      <x:c r="I742" s="38" t="n">
        <x:v>6.72</x:v>
      </x:c>
      <x:c r="J742" s="38" t="n">
        <x:v>3.748</x:v>
      </x:c>
      <x:c r="K742" s="38" t="n">
        <x:v>1.472</x:v>
      </x:c>
      <x:c r="L742" s="38" t="n">
        <x:f>SUM(G742:K742)</x:f>
        <x:v>157.017</x:v>
      </x:c>
      <x:c r="M742" s="38" t="n">
        <x:v>180.895</x:v>
      </x:c>
      <x:c r="N742" s="38" t="n">
        <x:v>611.23</x:v>
      </x:c>
      <x:c r="O742" s="38" t="n">
        <x:v>475.93</x:v>
      </x:c>
      <x:c r="P742" s="38" t="n">
        <x:v>400</x:v>
      </x:c>
      <x:c r="Q742" s="38" t="n">
        <x:v>19.88</x:v>
      </x:c>
      <x:c r="R742" s="38" t="n">
        <x:v>43.7475</x:v>
      </x:c>
      <x:c r="S742" s="38" t="n">
        <x:v>103.36</x:v>
      </x:c>
      <x:c r="T742" s="40" t="n">
        <x:v>20.73</x:v>
      </x:c>
      <x:c r="U742" s="40" t="n">
        <x:v>0.55</x:v>
      </x:c>
      <x:c r="V742" s="38" t="n">
        <x:f>L742*(1-T742/100)*(1-U742/100)</x:f>
        <x:v>123.78280533255</x:v>
      </x:c>
      <x:c r="W742" s="38" t="n">
        <x:f>G742*N742</x:f>
        <x:v>67609.98399000001</x:v>
      </x:c>
      <x:c r="X742" s="38" t="n">
        <x:f>H742*O742</x:f>
        <x:v>16402.45152</x:v>
      </x:c>
      <x:c r="Y742" s="38" t="n">
        <x:f>I742*P742</x:f>
        <x:v>2688</x:v>
      </x:c>
      <x:c r="Z742" s="38" t="n">
        <x:f>J742*Q742+K742*P742</x:f>
        <x:v>663.3102399999999</x:v>
      </x:c>
      <x:c r="AA742" s="38" t="n">
        <x:f>M742*R742</x:f>
        <x:v>7913.704012500001</x:v>
      </x:c>
      <x:c r="AB742" s="38" t="n">
        <x:f>SUM(W742:AA742)</x:f>
        <x:v>95277.44976250002</x:v>
      </x:c>
      <x:c r="AC742" s="38" t="n">
        <x:v>6.28</x:v>
      </x:c>
      <x:c r="AD742" s="38" t="n">
        <x:v>174.33</x:v>
      </x:c>
      <x:c r="AE742" s="38" t="n">
        <x:v>43.14</x:v>
      </x:c>
      <x:c r="AF742" s="38" t="n">
        <x:v>4.8148</x:v>
      </x:c>
      <x:c r="AG742" s="38" t="n">
        <x:v>5.82</x:v>
      </x:c>
      <x:c r="AH742" s="38" t="n">
        <x:f>IF(E742="Fason",L742*S742,0)</x:f>
        <x:v>0</x:v>
      </x:c>
      <x:c r="AI742" s="38" t="n">
        <x:f>IF(E742="Kurum içi",AC742*AD742+AE742*AF742+AB742*12%,0)</x:f>
        <x:v>12735.796843500004</x:v>
      </x:c>
      <x:c r="AJ742" s="38" t="n">
        <x:f>V742*AG742</x:f>
        <x:v>720.415927035441</x:v>
      </x:c>
      <x:c r="AK742" s="38" t="n">
        <x:f>AB742*2%</x:f>
        <x:v>1905.5489952500004</x:v>
      </x:c>
      <x:c r="AL742" s="38" t="n">
        <x:f>AB742+AH742+AI742+AJ742+AK742</x:f>
        <x:v>110639.21152828548</x:v>
      </x:c>
      <x:c r="AM742" s="38" t="n">
        <x:f>AL742/V742</x:f>
        <x:v>893.8172893322828</x:v>
      </x:c>
      <x:c r="AN742" s="40" t="n">
        <x:f>(W742+X742)/AL742*100</x:f>
        <x:v>75.93368964720234</x:v>
      </x:c>
      <x:c r="AO742" s="28" t="str">
        <x:v>R01-R20; ilgili satırdaki bölgesel fiyat ve maliyet varsayımları</x:v>
      </x:c>
      <x:c r="AP742" s="28" t="str">
        <x:v>Girdi miktarları, alım fiyatı değişimi, fason bedeli ve parti sonucu simüle edilmiştir; işletme kaydı değildir.</x:v>
      </x:c>
    </x:row>
    <x:row r="743" ht="22" customHeight="1">
      <x:c r="A743" t="str">
        <x:v>SUC-0742</x:v>
      </x:c>
      <x:c r="B743" s="36" t="n">
        <x:v>46282</x:v>
      </x:c>
      <x:c r="C743" t="str">
        <x:v>Marmara</x:v>
      </x:c>
      <x:c r="D743" t="str">
        <x:v>MEB_STANDART</x:v>
      </x:c>
      <x:c r="E743" t="str">
        <x:v>Kurum içi</x:v>
      </x:c>
      <x:c r="F743" s="42" t="str">
        <x:v>SENTETİK/SİMÜLE — gerçek parti kaydı değildir</x:v>
      </x:c>
      <x:c r="G743" s="38" t="n">
        <x:v>74.971</x:v>
      </x:c>
      <x:c r="H743" s="38" t="n">
        <x:v>24.519</x:v>
      </x:c>
      <x:c r="I743" s="38" t="n">
        <x:v>4.704</x:v>
      </x:c>
      <x:c r="J743" s="38" t="n">
        <x:v>2.635</x:v>
      </x:c>
      <x:c r="K743" s="38" t="n">
        <x:v>1.129</x:v>
      </x:c>
      <x:c r="L743" s="38" t="n">
        <x:f>SUM(G743:K743)</x:f>
        <x:v>107.95800000000001</x:v>
      </x:c>
      <x:c r="M743" s="38" t="n">
        <x:v>132.687</x:v>
      </x:c>
      <x:c r="N743" s="38" t="n">
        <x:v>624.19</x:v>
      </x:c>
      <x:c r="O743" s="38" t="n">
        <x:v>414.45</x:v>
      </x:c>
      <x:c r="P743" s="38" t="n">
        <x:v>400</x:v>
      </x:c>
      <x:c r="Q743" s="38" t="n">
        <x:v>19.88</x:v>
      </x:c>
      <x:c r="R743" s="38" t="n">
        <x:v>43.7475</x:v>
      </x:c>
      <x:c r="S743" s="38" t="n">
        <x:v>100.18</x:v>
      </x:c>
      <x:c r="T743" s="40" t="n">
        <x:v>24.71</x:v>
      </x:c>
      <x:c r="U743" s="40" t="n">
        <x:v>0.51</x:v>
      </x:c>
      <x:c r="V743" s="38" t="n">
        <x:f>L743*(1-T743/100)*(1-U743/100)</x:f>
        <x:v>80.86704215118002</x:v>
      </x:c>
      <x:c r="W743" s="38" t="n">
        <x:f>G743*N743</x:f>
        <x:v>46796.14849000001</x:v>
      </x:c>
      <x:c r="X743" s="38" t="n">
        <x:f>H743*O743</x:f>
        <x:v>10161.899549999998</x:v>
      </x:c>
      <x:c r="Y743" s="38" t="n">
        <x:f>I743*P743</x:f>
        <x:v>1881.6</x:v>
      </x:c>
      <x:c r="Z743" s="38" t="n">
        <x:f>J743*Q743+K743*P743</x:f>
        <x:v>503.98380000000003</x:v>
      </x:c>
      <x:c r="AA743" s="38" t="n">
        <x:f>M743*R743</x:f>
        <x:v>5804.724532500001</x:v>
      </x:c>
      <x:c r="AB743" s="38" t="n">
        <x:f>SUM(W743:AA743)</x:f>
        <x:v>65148.35637250001</x:v>
      </x:c>
      <x:c r="AC743" s="38" t="n">
        <x:v>6.05</x:v>
      </x:c>
      <x:c r="AD743" s="38" t="n">
        <x:v>174.33</x:v>
      </x:c>
      <x:c r="AE743" s="38" t="n">
        <x:v>51.74</x:v>
      </x:c>
      <x:c r="AF743" s="38" t="n">
        <x:v>4.8148</x:v>
      </x:c>
      <x:c r="AG743" s="38" t="n">
        <x:v>5.14</x:v>
      </x:c>
      <x:c r="AH743" s="38" t="n">
        <x:f>IF(E743="Fason",L743*S743,0)</x:f>
        <x:v>0</x:v>
      </x:c>
      <x:c r="AI743" s="38" t="n">
        <x:f>IF(E743="Kurum içi",AC743*AD743+AE743*AF743+AB743*12%,0)</x:f>
        <x:v>9121.617016700002</x:v>
      </x:c>
      <x:c r="AJ743" s="38" t="n">
        <x:f>V743*AG743</x:f>
        <x:v>415.6565966570653</x:v>
      </x:c>
      <x:c r="AK743" s="38" t="n">
        <x:f>AB743*2%</x:f>
        <x:v>1302.9671274500004</x:v>
      </x:c>
      <x:c r="AL743" s="38" t="n">
        <x:f>AB743+AH743+AI743+AJ743+AK743</x:f>
        <x:v>75988.59711330709</x:v>
      </x:c>
      <x:c r="AM743" s="38" t="n">
        <x:f>AL743/V743</x:f>
        <x:v>939.6732598584139</x:v>
      </x:c>
      <x:c r="AN743" s="40" t="n">
        <x:f>(W743+X743)/AL743*100</x:f>
        <x:v>74.9560463066182</x:v>
      </x:c>
      <x:c r="AO743" s="28" t="str">
        <x:v>R01-R20; ilgili satırdaki bölgesel fiyat ve maliyet varsayımları</x:v>
      </x:c>
      <x:c r="AP743" s="28" t="str">
        <x:v>Girdi miktarları, alım fiyatı değişimi, fason bedeli ve parti sonucu simüle edilmiştir; işletme kaydı değildir.</x:v>
      </x:c>
    </x:row>
    <x:row r="744" ht="22" customHeight="1">
      <x:c r="A744" t="str">
        <x:v>SUC-0743</x:v>
      </x:c>
      <x:c r="B744" s="36" t="n">
        <x:v>46299</x:v>
      </x:c>
      <x:c r="C744" t="str">
        <x:v>Karadeniz</x:v>
      </x:c>
      <x:c r="D744" t="str">
        <x:v>MEB_STANDART</x:v>
      </x:c>
      <x:c r="E744" t="str">
        <x:v>Fason</x:v>
      </x:c>
      <x:c r="F744" s="42" t="str">
        <x:v>SENTETİK/SİMÜLE — gerçek parti kaydı değildir</x:v>
      </x:c>
      <x:c r="G744" s="38" t="n">
        <x:v>151.833</x:v>
      </x:c>
      <x:c r="H744" s="38" t="n">
        <x:v>46.324</x:v>
      </x:c>
      <x:c r="I744" s="38" t="n">
        <x:v>9.472</x:v>
      </x:c>
      <x:c r="J744" s="38" t="n">
        <x:v>5.245</x:v>
      </x:c>
      <x:c r="K744" s="38" t="n">
        <x:v>2.116</x:v>
      </x:c>
      <x:c r="L744" s="38" t="n">
        <x:f>SUM(G744:K744)</x:f>
        <x:v>214.99</x:v>
      </x:c>
      <x:c r="M744" s="38" t="n">
        <x:v>273.801</x:v>
      </x:c>
      <x:c r="N744" s="38" t="n">
        <x:v>602.45</x:v>
      </x:c>
      <x:c r="O744" s="38" t="n">
        <x:v>453.37</x:v>
      </x:c>
      <x:c r="P744" s="38" t="n">
        <x:v>669.9</x:v>
      </x:c>
      <x:c r="Q744" s="38" t="n">
        <x:v>19.88</x:v>
      </x:c>
      <x:c r="R744" s="38" t="n">
        <x:v>43.7475</x:v>
      </x:c>
      <x:c r="S744" s="38" t="n">
        <x:v>111.8</x:v>
      </x:c>
      <x:c r="T744" s="40" t="n">
        <x:v>23.52</x:v>
      </x:c>
      <x:c r="U744" s="40" t="n">
        <x:v>1.05</x:v>
      </x:c>
      <x:c r="V744" s="38" t="n">
        <x:f>L744*(1-T744/100)*(1-U744/100)</x:f>
        <x:v>162.69789630400004</x:v>
      </x:c>
      <x:c r="W744" s="38" t="n">
        <x:f>G744*N744</x:f>
        <x:v>91471.79085</x:v>
      </x:c>
      <x:c r="X744" s="38" t="n">
        <x:f>H744*O744</x:f>
        <x:v>21001.91188</x:v>
      </x:c>
      <x:c r="Y744" s="38" t="n">
        <x:f>I744*P744</x:f>
        <x:v>6345.292799999999</x:v>
      </x:c>
      <x:c r="Z744" s="38" t="n">
        <x:f>J744*Q744+K744*P744</x:f>
        <x:v>1521.779</x:v>
      </x:c>
      <x:c r="AA744" s="38" t="n">
        <x:f>M744*R744</x:f>
        <x:v>11978.1092475</x:v>
      </x:c>
      <x:c r="AB744" s="38" t="n">
        <x:f>SUM(W744:AA744)</x:f>
        <x:v>132318.88377749998</x:v>
      </x:c>
      <x:c r="AC744" s="38" t="n">
        <x:v>8.67</x:v>
      </x:c>
      <x:c r="AD744" s="38" t="n">
        <x:v>174.33</x:v>
      </x:c>
      <x:c r="AE744" s="38" t="n">
        <x:v>73.13</x:v>
      </x:c>
      <x:c r="AF744" s="38" t="n">
        <x:v>4.8148</x:v>
      </x:c>
      <x:c r="AG744" s="38" t="n">
        <x:v>5.81</x:v>
      </x:c>
      <x:c r="AH744" s="38" t="n">
        <x:f>IF(E744="Fason",L744*S744,0)</x:f>
        <x:v>24035.882</x:v>
      </x:c>
      <x:c r="AI744" s="38" t="n">
        <x:f>IF(E744="Kurum içi",AC744*AD744+AE744*AF744+AB744*12%,0)</x:f>
        <x:v>0</x:v>
      </x:c>
      <x:c r="AJ744" s="38" t="n">
        <x:f>V744*AG744</x:f>
        <x:v>945.2747775262402</x:v>
      </x:c>
      <x:c r="AK744" s="38" t="n">
        <x:f>AB744*2%</x:f>
        <x:v>2646.37767555</x:v>
      </x:c>
      <x:c r="AL744" s="38" t="n">
        <x:f>AB744+AH744+AI744+AJ744+AK744</x:f>
        <x:v>159946.41823057624</x:v>
      </x:c>
      <x:c r="AM744" s="38" t="n">
        <x:f>AL744/V744</x:f>
        <x:v>983.088422555368</x:v>
      </x:c>
      <x:c r="AN744" s="40" t="n">
        <x:f>(W744+X744)/AL744*100</x:f>
        <x:v>70.31961326439938</x:v>
      </x:c>
      <x:c r="AO744" s="28" t="str">
        <x:v>R01-R20; ilgili satırdaki bölgesel fiyat ve maliyet varsayımları</x:v>
      </x:c>
      <x:c r="AP744" s="28" t="str">
        <x:v>Girdi miktarları, alım fiyatı değişimi, fason bedeli ve parti sonucu simüle edilmiştir; işletme kaydı değildir.</x:v>
      </x:c>
    </x:row>
    <x:row r="745" ht="22" customHeight="1">
      <x:c r="A745" t="str">
        <x:v>SUC-0744</x:v>
      </x:c>
      <x:c r="B745" s="36" t="n">
        <x:v>46315</x:v>
      </x:c>
      <x:c r="C745" t="str">
        <x:v>Ege</x:v>
      </x:c>
      <x:c r="D745" t="str">
        <x:v>MEB_STANDART</x:v>
      </x:c>
      <x:c r="E745" t="str">
        <x:v>Kurum içi</x:v>
      </x:c>
      <x:c r="F745" s="42" t="str">
        <x:v>SENTETİK/SİMÜLE — gerçek parti kaydı değildir</x:v>
      </x:c>
      <x:c r="G745" s="38" t="n">
        <x:v>263.184</x:v>
      </x:c>
      <x:c r="H745" s="38" t="n">
        <x:v>86.89</x:v>
      </x:c>
      <x:c r="I745" s="38" t="n">
        <x:v>16.785</x:v>
      </x:c>
      <x:c r="J745" s="38" t="n">
        <x:v>9.738</x:v>
      </x:c>
      <x:c r="K745" s="38" t="n">
        <x:v>3.302</x:v>
      </x:c>
      <x:c r="L745" s="38" t="n">
        <x:f>SUM(G745:K745)</x:f>
        <x:v>379.89900000000006</x:v>
      </x:c>
      <x:c r="M745" s="38" t="n">
        <x:v>493.522</x:v>
      </x:c>
      <x:c r="N745" s="38" t="n">
        <x:v>601.87</x:v>
      </x:c>
      <x:c r="O745" s="38" t="n">
        <x:v>434.78</x:v>
      </x:c>
      <x:c r="P745" s="38" t="n">
        <x:v>550</x:v>
      </x:c>
      <x:c r="Q745" s="38" t="n">
        <x:v>19.88</x:v>
      </x:c>
      <x:c r="R745" s="38" t="n">
        <x:v>43.7475</x:v>
      </x:c>
      <x:c r="S745" s="38" t="n">
        <x:v>97.4</x:v>
      </x:c>
      <x:c r="T745" s="40" t="n">
        <x:v>16.86</x:v>
      </x:c>
      <x:c r="U745" s="40" t="n">
        <x:v>0.65</x:v>
      </x:c>
      <x:c r="V745" s="38" t="n">
        <x:f>L745*(1-T745/100)*(1-U745/100)</x:f>
        <x:v>313.7950164141001</x:v>
      </x:c>
      <x:c r="W745" s="38" t="n">
        <x:f>G745*N745</x:f>
        <x:v>158402.55408000003</x:v>
      </x:c>
      <x:c r="X745" s="38" t="n">
        <x:f>H745*O745</x:f>
        <x:v>37778.034199999995</x:v>
      </x:c>
      <x:c r="Y745" s="38" t="n">
        <x:f>I745*P745</x:f>
        <x:v>9231.75</x:v>
      </x:c>
      <x:c r="Z745" s="38" t="n">
        <x:f>J745*Q745+K745*P745</x:f>
        <x:v>2009.69144</x:v>
      </x:c>
      <x:c r="AA745" s="38" t="n">
        <x:f>M745*R745</x:f>
        <x:v>21590.353695</x:v>
      </x:c>
      <x:c r="AB745" s="38" t="n">
        <x:f>SUM(W745:AA745)</x:f>
        <x:v>229012.38341500002</x:v>
      </x:c>
      <x:c r="AC745" s="38" t="n">
        <x:v>21.72</x:v>
      </x:c>
      <x:c r="AD745" s="38" t="n">
        <x:v>174.33</x:v>
      </x:c>
      <x:c r="AE745" s="38" t="n">
        <x:v>94.83</x:v>
      </x:c>
      <x:c r="AF745" s="38" t="n">
        <x:v>4.8148</x:v>
      </x:c>
      <x:c r="AG745" s="38" t="n">
        <x:v>5.54</x:v>
      </x:c>
      <x:c r="AH745" s="38" t="n">
        <x:f>IF(E745="Fason",L745*S745,0)</x:f>
        <x:v>0</x:v>
      </x:c>
      <x:c r="AI745" s="38" t="n">
        <x:f>IF(E745="Kurum içi",AC745*AD745+AE745*AF745+AB745*12%,0)</x:f>
        <x:v>31724.521093800002</x:v>
      </x:c>
      <x:c r="AJ745" s="38" t="n">
        <x:f>V745*AG745</x:f>
        <x:v>1738.4243909341144</x:v>
      </x:c>
      <x:c r="AK745" s="38" t="n">
        <x:f>AB745*2%</x:f>
        <x:v>4580.2476683</x:v>
      </x:c>
      <x:c r="AL745" s="38" t="n">
        <x:f>AB745+AH745+AI745+AJ745+AK745</x:f>
        <x:v>267055.5765680341</x:v>
      </x:c>
      <x:c r="AM745" s="38" t="n">
        <x:f>AL745/V745</x:f>
        <x:v>851.0510447865553</x:v>
      </x:c>
      <x:c r="AN745" s="40" t="n">
        <x:f>(W745+X745)/AL745*100</x:f>
        <x:v>73.4605847970457</x:v>
      </x:c>
      <x:c r="AO745" s="28" t="str">
        <x:v>R01-R20; ilgili satırdaki bölgesel fiyat ve maliyet varsayımları</x:v>
      </x:c>
      <x:c r="AP745" s="28" t="str">
        <x:v>Girdi miktarları, alım fiyatı değişimi, fason bedeli ve parti sonucu simüle edilmiştir; işletme kaydı değildir.</x:v>
      </x:c>
    </x:row>
    <x:row r="746" ht="22" customHeight="1">
      <x:c r="A746" t="str">
        <x:v>SUC-0745</x:v>
      </x:c>
      <x:c r="B746" s="36" t="n">
        <x:v>46273</x:v>
      </x:c>
      <x:c r="C746" t="str">
        <x:v>Karadeniz</x:v>
      </x:c>
      <x:c r="D746" t="str">
        <x:v>MEB_STANDART</x:v>
      </x:c>
      <x:c r="E746" t="str">
        <x:v>Kurum içi</x:v>
      </x:c>
      <x:c r="F746" s="42" t="str">
        <x:v>SENTETİK/SİMÜLE — gerçek parti kaydı değildir</x:v>
      </x:c>
      <x:c r="G746" s="38" t="n">
        <x:v>142.798</x:v>
      </x:c>
      <x:c r="H746" s="38" t="n">
        <x:v>47.179</x:v>
      </x:c>
      <x:c r="I746" s="38" t="n">
        <x:v>8.731</x:v>
      </x:c>
      <x:c r="J746" s="38" t="n">
        <x:v>4.786</x:v>
      </x:c>
      <x:c r="K746" s="38" t="n">
        <x:v>2.207</x:v>
      </x:c>
      <x:c r="L746" s="38" t="n">
        <x:f>SUM(G746:K746)</x:f>
        <x:v>205.701</x:v>
      </x:c>
      <x:c r="M746" s="38" t="n">
        <x:v>250.309</x:v>
      </x:c>
      <x:c r="N746" s="38" t="n">
        <x:v>587.16</x:v>
      </x:c>
      <x:c r="O746" s="38" t="n">
        <x:v>434.27</x:v>
      </x:c>
      <x:c r="P746" s="38" t="n">
        <x:v>400</x:v>
      </x:c>
      <x:c r="Q746" s="38" t="n">
        <x:v>19.88</x:v>
      </x:c>
      <x:c r="R746" s="38" t="n">
        <x:v>43.7475</x:v>
      </x:c>
      <x:c r="S746" s="38" t="n">
        <x:v>88.35</x:v>
      </x:c>
      <x:c r="T746" s="40" t="n">
        <x:v>20.79</x:v>
      </x:c>
      <x:c r="U746" s="40" t="n">
        <x:v>1.32</x:v>
      </x:c>
      <x:c r="V746" s="38" t="n">
        <x:f>L746*(1-T746/100)*(1-U746/100)</x:f>
        <x:v>160.78501004028</x:v>
      </x:c>
      <x:c r="W746" s="38" t="n">
        <x:f>G746*N746</x:f>
        <x:v>83845.27368</x:v>
      </x:c>
      <x:c r="X746" s="38" t="n">
        <x:f>H746*O746</x:f>
        <x:v>20488.42433</x:v>
      </x:c>
      <x:c r="Y746" s="38" t="n">
        <x:f>I746*P746</x:f>
        <x:v>3492.4</x:v>
      </x:c>
      <x:c r="Z746" s="38" t="n">
        <x:f>J746*Q746+K746*P746</x:f>
        <x:v>977.9456799999999</x:v>
      </x:c>
      <x:c r="AA746" s="38" t="n">
        <x:f>M746*R746</x:f>
        <x:v>10950.3929775</x:v>
      </x:c>
      <x:c r="AB746" s="38" t="n">
        <x:f>SUM(W746:AA746)</x:f>
        <x:v>119754.43666749999</x:v>
      </x:c>
      <x:c r="AC746" s="38" t="n">
        <x:v>13.17</x:v>
      </x:c>
      <x:c r="AD746" s="38" t="n">
        <x:v>174.33</x:v>
      </x:c>
      <x:c r="AE746" s="38" t="n">
        <x:v>85.67</x:v>
      </x:c>
      <x:c r="AF746" s="38" t="n">
        <x:v>4.8148</x:v>
      </x:c>
      <x:c r="AG746" s="38" t="n">
        <x:v>5.18</x:v>
      </x:c>
      <x:c r="AH746" s="38" t="n">
        <x:f>IF(E746="Fason",L746*S746,0)</x:f>
        <x:v>0</x:v>
      </x:c>
      <x:c r="AI746" s="38" t="n">
        <x:f>IF(E746="Kurum içi",AC746*AD746+AE746*AF746+AB746*12%,0)</x:f>
        <x:v>17078.9424161</x:v>
      </x:c>
      <x:c r="AJ746" s="38" t="n">
        <x:f>V746*AG746</x:f>
        <x:v>832.8663520086504</x:v>
      </x:c>
      <x:c r="AK746" s="38" t="n">
        <x:f>AB746*2%</x:f>
        <x:v>2395.08873335</x:v>
      </x:c>
      <x:c r="AL746" s="38" t="n">
        <x:f>AB746+AH746+AI746+AJ746+AK746</x:f>
        <x:v>140061.33416895865</x:v>
      </x:c>
      <x:c r="AM746" s="38" t="n">
        <x:f>AL746/V746</x:f>
        <x:v>871.109403382009</x:v>
      </x:c>
      <x:c r="AN746" s="40" t="n">
        <x:f>(W746+X746)/AL746*100</x:f>
        <x:v>74.4914352194734</x:v>
      </x:c>
      <x:c r="AO746" s="28" t="str">
        <x:v>R01-R20; ilgili satırdaki bölgesel fiyat ve maliyet varsayımları</x:v>
      </x:c>
      <x:c r="AP746" s="28" t="str">
        <x:v>Girdi miktarları, alım fiyatı değişimi, fason bedeli ve parti sonucu simüle edilmiştir; işletme kaydı değildir.</x:v>
      </x:c>
    </x:row>
    <x:row r="747" ht="22" customHeight="1">
      <x:c r="A747" t="str">
        <x:v>SUC-0746</x:v>
      </x:c>
      <x:c r="B747" s="36" t="n">
        <x:v>46310</x:v>
      </x:c>
      <x:c r="C747" t="str">
        <x:v>Ege</x:v>
      </x:c>
      <x:c r="D747" t="str">
        <x:v>MEB_STANDART</x:v>
      </x:c>
      <x:c r="E747" t="str">
        <x:v>Fason</x:v>
      </x:c>
      <x:c r="F747" s="42" t="str">
        <x:v>SENTETİK/SİMÜLE — gerçek parti kaydı değildir</x:v>
      </x:c>
      <x:c r="G747" s="38" t="n">
        <x:v>71.574</x:v>
      </x:c>
      <x:c r="H747" s="38" t="n">
        <x:v>22.711</x:v>
      </x:c>
      <x:c r="I747" s="38" t="n">
        <x:v>4.32</x:v>
      </x:c>
      <x:c r="J747" s="38" t="n">
        <x:v>2.519</x:v>
      </x:c>
      <x:c r="K747" s="38" t="n">
        <x:v>0.951</x:v>
      </x:c>
      <x:c r="L747" s="38" t="n">
        <x:f>SUM(G747:K747)</x:f>
        <x:v>102.07499999999999</x:v>
      </x:c>
      <x:c r="M747" s="38" t="n">
        <x:v>119.982</x:v>
      </x:c>
      <x:c r="N747" s="38" t="n">
        <x:v>587.37</x:v>
      </x:c>
      <x:c r="O747" s="38" t="n">
        <x:v>411.28</x:v>
      </x:c>
      <x:c r="P747" s="38" t="n">
        <x:v>669.9</x:v>
      </x:c>
      <x:c r="Q747" s="38" t="n">
        <x:v>19.88</x:v>
      </x:c>
      <x:c r="R747" s="38" t="n">
        <x:v>43.7475</x:v>
      </x:c>
      <x:c r="S747" s="38" t="n">
        <x:v>88.97</x:v>
      </x:c>
      <x:c r="T747" s="40" t="n">
        <x:v>27.08</x:v>
      </x:c>
      <x:c r="U747" s="40" t="n">
        <x:v>1.78</x:v>
      </x:c>
      <x:c r="V747" s="38" t="n">
        <x:f>L747*(1-T747/100)*(1-U747/100)</x:f>
        <x:v>73.108180998</x:v>
      </x:c>
      <x:c r="W747" s="38" t="n">
        <x:f>G747*N747</x:f>
        <x:v>42040.420379999996</x:v>
      </x:c>
      <x:c r="X747" s="38" t="n">
        <x:f>H747*O747</x:f>
        <x:v>9340.580079999998</x:v>
      </x:c>
      <x:c r="Y747" s="38" t="n">
        <x:f>I747*P747</x:f>
        <x:v>2893.9680000000003</x:v>
      </x:c>
      <x:c r="Z747" s="38" t="n">
        <x:f>J747*Q747+K747*P747</x:f>
        <x:v>687.15262</x:v>
      </x:c>
      <x:c r="AA747" s="38" t="n">
        <x:f>M747*R747</x:f>
        <x:v>5248.912545</x:v>
      </x:c>
      <x:c r="AB747" s="38" t="n">
        <x:f>SUM(W747:AA747)</x:f>
        <x:v>60211.033625</x:v>
      </x:c>
      <x:c r="AC747" s="38" t="n">
        <x:v>6.61</x:v>
      </x:c>
      <x:c r="AD747" s="38" t="n">
        <x:v>174.33</x:v>
      </x:c>
      <x:c r="AE747" s="38" t="n">
        <x:v>30.51</x:v>
      </x:c>
      <x:c r="AF747" s="38" t="n">
        <x:v>4.8148</x:v>
      </x:c>
      <x:c r="AG747" s="38" t="n">
        <x:v>5.78</x:v>
      </x:c>
      <x:c r="AH747" s="38" t="n">
        <x:f>IF(E747="Fason",L747*S747,0)</x:f>
        <x:v>9081.612749999998</x:v>
      </x:c>
      <x:c r="AI747" s="38" t="n">
        <x:f>IF(E747="Kurum içi",AC747*AD747+AE747*AF747+AB747*12%,0)</x:f>
        <x:v>0</x:v>
      </x:c>
      <x:c r="AJ747" s="38" t="n">
        <x:f>V747*AG747</x:f>
        <x:v>422.56528616843997</x:v>
      </x:c>
      <x:c r="AK747" s="38" t="n">
        <x:f>AB747*2%</x:f>
        <x:v>1204.2206724999999</x:v>
      </x:c>
      <x:c r="AL747" s="38" t="n">
        <x:f>AB747+AH747+AI747+AJ747+AK747</x:f>
        <x:v>70919.43233366843</x:v>
      </x:c>
      <x:c r="AM747" s="38" t="n">
        <x:f>AL747/V747</x:f>
        <x:v>970.0615083776815</x:v>
      </x:c>
      <x:c r="AN747" s="40" t="n">
        <x:f>(W747+X747)/AL747*100</x:f>
        <x:v>72.44981913879093</x:v>
      </x:c>
      <x:c r="AO747" s="28" t="str">
        <x:v>R01-R20; ilgili satırdaki bölgesel fiyat ve maliyet varsayımları</x:v>
      </x:c>
      <x:c r="AP747" s="28" t="str">
        <x:v>Girdi miktarları, alım fiyatı değişimi, fason bedeli ve parti sonucu simüle edilmiştir; işletme kaydı değildir.</x:v>
      </x:c>
    </x:row>
    <x:row r="748" ht="22" customHeight="1">
      <x:c r="A748" t="str">
        <x:v>SUC-0747</x:v>
      </x:c>
      <x:c r="B748" s="36" t="n">
        <x:v>46277</x:v>
      </x:c>
      <x:c r="C748" t="str">
        <x:v>Güneydoğu Anadolu</x:v>
      </x:c>
      <x:c r="D748" t="str">
        <x:v>MEB_STANDART</x:v>
      </x:c>
      <x:c r="E748" t="str">
        <x:v>Fason</x:v>
      </x:c>
      <x:c r="F748" s="42" t="str">
        <x:v>SENTETİK/SİMÜLE — gerçek parti kaydı değildir</x:v>
      </x:c>
      <x:c r="G748" s="38" t="n">
        <x:v>320.655</x:v>
      </x:c>
      <x:c r="H748" s="38" t="n">
        <x:v>96.663</x:v>
      </x:c>
      <x:c r="I748" s="38" t="n">
        <x:v>20.862</x:v>
      </x:c>
      <x:c r="J748" s="38" t="n">
        <x:v>10.646</x:v>
      </x:c>
      <x:c r="K748" s="38" t="n">
        <x:v>4.259</x:v>
      </x:c>
      <x:c r="L748" s="38" t="n">
        <x:f>SUM(G748:K748)</x:f>
        <x:v>453.08500000000004</x:v>
      </x:c>
      <x:c r="M748" s="38" t="n">
        <x:v>559.156</x:v>
      </x:c>
      <x:c r="N748" s="38" t="n">
        <x:v>585.54</x:v>
      </x:c>
      <x:c r="O748" s="38" t="n">
        <x:v>417.54</x:v>
      </x:c>
      <x:c r="P748" s="38" t="n">
        <x:v>550</x:v>
      </x:c>
      <x:c r="Q748" s="38" t="n">
        <x:v>19.88</x:v>
      </x:c>
      <x:c r="R748" s="38" t="n">
        <x:v>43.7475</x:v>
      </x:c>
      <x:c r="S748" s="38" t="n">
        <x:v>118.02</x:v>
      </x:c>
      <x:c r="T748" s="40" t="n">
        <x:v>17</x:v>
      </x:c>
      <x:c r="U748" s="40" t="n">
        <x:v>1.8</x:v>
      </x:c>
      <x:c r="V748" s="38" t="n">
        <x:f>L748*(1-T748/100)*(1-U748/100)</x:f>
        <x:v>369.29146010000005</x:v>
      </x:c>
      <x:c r="W748" s="38" t="n">
        <x:f>G748*N748</x:f>
        <x:v>187756.32869999998</x:v>
      </x:c>
      <x:c r="X748" s="38" t="n">
        <x:f>H748*O748</x:f>
        <x:v>40360.66902</x:v>
      </x:c>
      <x:c r="Y748" s="38" t="n">
        <x:f>I748*P748</x:f>
        <x:v>11474.099999999999</x:v>
      </x:c>
      <x:c r="Z748" s="38" t="n">
        <x:f>J748*Q748+K748*P748</x:f>
        <x:v>2554.0924800000003</x:v>
      </x:c>
      <x:c r="AA748" s="38" t="n">
        <x:f>M748*R748</x:f>
        <x:v>24461.67711</x:v>
      </x:c>
      <x:c r="AB748" s="38" t="n">
        <x:f>SUM(W748:AA748)</x:f>
        <x:v>266606.86731</x:v>
      </x:c>
      <x:c r="AC748" s="38" t="n">
        <x:v>25.41</x:v>
      </x:c>
      <x:c r="AD748" s="38" t="n">
        <x:v>174.33</x:v>
      </x:c>
      <x:c r="AE748" s="38" t="n">
        <x:v>113.04</x:v>
      </x:c>
      <x:c r="AF748" s="38" t="n">
        <x:v>4.8148</x:v>
      </x:c>
      <x:c r="AG748" s="38" t="n">
        <x:v>5.25</x:v>
      </x:c>
      <x:c r="AH748" s="38" t="n">
        <x:f>IF(E748="Fason",L748*S748,0)</x:f>
        <x:v>53473.091700000004</x:v>
      </x:c>
      <x:c r="AI748" s="38" t="n">
        <x:f>IF(E748="Kurum içi",AC748*AD748+AE748*AF748+AB748*12%,0)</x:f>
        <x:v>0</x:v>
      </x:c>
      <x:c r="AJ748" s="38" t="n">
        <x:f>V748*AG748</x:f>
        <x:v>1938.7801655250003</x:v>
      </x:c>
      <x:c r="AK748" s="38" t="n">
        <x:f>AB748*2%</x:f>
        <x:v>5332.1373462</x:v>
      </x:c>
      <x:c r="AL748" s="38" t="n">
        <x:f>AB748+AH748+AI748+AJ748+AK748</x:f>
        <x:v>327350.876521725</x:v>
      </x:c>
      <x:c r="AM748" s="38" t="n">
        <x:f>AL748/V748</x:f>
        <x:v>886.4295871696626</x:v>
      </x:c>
      <x:c r="AN748" s="40" t="n">
        <x:f>(W748+X748)/AL748*100</x:f>
        <x:v>69.68577574737631</x:v>
      </x:c>
      <x:c r="AO748" s="28" t="str">
        <x:v>R01-R20; ilgili satırdaki bölgesel fiyat ve maliyet varsayımları</x:v>
      </x:c>
      <x:c r="AP748" s="28" t="str">
        <x:v>Girdi miktarları, alım fiyatı değişimi, fason bedeli ve parti sonucu simüle edilmiştir; işletme kaydı değildir.</x:v>
      </x:c>
    </x:row>
    <x:row r="749" ht="22" customHeight="1">
      <x:c r="A749" t="str">
        <x:v>SUC-0748</x:v>
      </x:c>
      <x:c r="B749" s="36" t="n">
        <x:v>46306</x:v>
      </x:c>
      <x:c r="C749" t="str">
        <x:v>İç Anadolu</x:v>
      </x:c>
      <x:c r="D749" t="str">
        <x:v>MEB_STANDART</x:v>
      </x:c>
      <x:c r="E749" t="str">
        <x:v>Kurum içi</x:v>
      </x:c>
      <x:c r="F749" s="42" t="str">
        <x:v>SENTETİK/SİMÜLE — gerçek parti kaydı değildir</x:v>
      </x:c>
      <x:c r="G749" s="38" t="n">
        <x:v>323.494</x:v>
      </x:c>
      <x:c r="H749" s="38" t="n">
        <x:v>97.789</x:v>
      </x:c>
      <x:c r="I749" s="38" t="n">
        <x:v>21.505</x:v>
      </x:c>
      <x:c r="J749" s="38" t="n">
        <x:v>12.392</x:v>
      </x:c>
      <x:c r="K749" s="38" t="n">
        <x:v>4.463</x:v>
      </x:c>
      <x:c r="L749" s="38" t="n">
        <x:f>SUM(G749:K749)</x:f>
        <x:v>459.64300000000003</x:v>
      </x:c>
      <x:c r="M749" s="38" t="n">
        <x:v>622.603</x:v>
      </x:c>
      <x:c r="N749" s="38" t="n">
        <x:v>579.99</x:v>
      </x:c>
      <x:c r="O749" s="38" t="n">
        <x:v>409.54</x:v>
      </x:c>
      <x:c r="P749" s="38" t="n">
        <x:v>550</x:v>
      </x:c>
      <x:c r="Q749" s="38" t="n">
        <x:v>19.88</x:v>
      </x:c>
      <x:c r="R749" s="38" t="n">
        <x:v>43.7475</x:v>
      </x:c>
      <x:c r="S749" s="38" t="n">
        <x:v>108.45</x:v>
      </x:c>
      <x:c r="T749" s="40" t="n">
        <x:v>15.94</x:v>
      </x:c>
      <x:c r="U749" s="40" t="n">
        <x:v>1.64</x:v>
      </x:c>
      <x:c r="V749" s="38" t="n">
        <x:f>L749*(1-T749/100)*(1-U749/100)</x:f>
        <x:v>380.03934094488005</x:v>
      </x:c>
      <x:c r="W749" s="38" t="n">
        <x:f>G749*N749</x:f>
        <x:v>187623.28506000002</x:v>
      </x:c>
      <x:c r="X749" s="38" t="n">
        <x:f>H749*O749</x:f>
        <x:v>40048.50706</x:v>
      </x:c>
      <x:c r="Y749" s="38" t="n">
        <x:f>I749*P749</x:f>
        <x:v>11827.75</x:v>
      </x:c>
      <x:c r="Z749" s="38" t="n">
        <x:f>J749*Q749+K749*P749</x:f>
        <x:v>2701.0029600000003</x:v>
      </x:c>
      <x:c r="AA749" s="38" t="n">
        <x:f>M749*R749</x:f>
        <x:v>27237.3247425</x:v>
      </x:c>
      <x:c r="AB749" s="38" t="n">
        <x:f>SUM(W749:AA749)</x:f>
        <x:v>269437.86982250004</x:v>
      </x:c>
      <x:c r="AC749" s="38" t="n">
        <x:v>31.98</x:v>
      </x:c>
      <x:c r="AD749" s="38" t="n">
        <x:v>174.33</x:v>
      </x:c>
      <x:c r="AE749" s="38" t="n">
        <x:v>220.48</x:v>
      </x:c>
      <x:c r="AF749" s="38" t="n">
        <x:v>4.8148</x:v>
      </x:c>
      <x:c r="AG749" s="38" t="n">
        <x:v>5.69</x:v>
      </x:c>
      <x:c r="AH749" s="38" t="n">
        <x:f>IF(E749="Fason",L749*S749,0)</x:f>
        <x:v>0</x:v>
      </x:c>
      <x:c r="AI749" s="38" t="n">
        <x:f>IF(E749="Kurum içi",AC749*AD749+AE749*AF749+AB749*12%,0)</x:f>
        <x:v>38969.18488270001</x:v>
      </x:c>
      <x:c r="AJ749" s="38" t="n">
        <x:f>V749*AG749</x:f>
        <x:v>2162.423849976368</x:v>
      </x:c>
      <x:c r="AK749" s="38" t="n">
        <x:f>AB749*2%</x:f>
        <x:v>5388.757396450001</x:v>
      </x:c>
      <x:c r="AL749" s="38" t="n">
        <x:f>AB749+AH749+AI749+AJ749+AK749</x:f>
        <x:v>315958.2359516264</x:v>
      </x:c>
      <x:c r="AM749" s="38" t="n">
        <x:f>AL749/V749</x:f>
        <x:v>831.3829698948251</x:v>
      </x:c>
      <x:c r="AN749" s="40" t="n">
        <x:f>(W749+X749)/AL749*100</x:f>
        <x:v>72.05755894739735</x:v>
      </x:c>
      <x:c r="AO749" s="28" t="str">
        <x:v>R01-R20; ilgili satırdaki bölgesel fiyat ve maliyet varsayımları</x:v>
      </x:c>
      <x:c r="AP749" s="28" t="str">
        <x:v>Girdi miktarları, alım fiyatı değişimi, fason bedeli ve parti sonucu simüle edilmiştir; işletme kaydı değildir.</x:v>
      </x:c>
    </x:row>
    <x:row r="750" ht="22" customHeight="1">
      <x:c r="A750" t="str">
        <x:v>SUC-0749</x:v>
      </x:c>
      <x:c r="B750" s="36" t="n">
        <x:v>46284</x:v>
      </x:c>
      <x:c r="C750" t="str">
        <x:v>Doğu Anadolu</x:v>
      </x:c>
      <x:c r="D750" t="str">
        <x:v>ERZURUM_CI</x:v>
      </x:c>
      <x:c r="E750" t="str">
        <x:v>Fason</x:v>
      </x:c>
      <x:c r="F750" s="42" t="str">
        <x:v>SENTETİK/SİMÜLE — gerçek parti kaydı değildir</x:v>
      </x:c>
      <x:c r="G750" s="38" t="n">
        <x:v>317.896</x:v>
      </x:c>
      <x:c r="H750" s="38" t="n">
        <x:v>54.918</x:v>
      </x:c>
      <x:c r="I750" s="38" t="n">
        <x:v>18.309</x:v>
      </x:c>
      <x:c r="J750" s="38" t="n">
        <x:v>5.778</x:v>
      </x:c>
      <x:c r="K750" s="38" t="n">
        <x:v>0.04</x:v>
      </x:c>
      <x:c r="L750" s="38" t="n">
        <x:f>SUM(G750:K750)</x:f>
        <x:v>396.9410000000001</x:v>
      </x:c>
      <x:c r="M750" s="38" t="n">
        <x:v>462.58</x:v>
      </x:c>
      <x:c r="N750" s="38" t="n">
        <x:v>591.02</x:v>
      </x:c>
      <x:c r="O750" s="38" t="n">
        <x:v>456.53</x:v>
      </x:c>
      <x:c r="P750" s="38" t="n">
        <x:v>669.9</x:v>
      </x:c>
      <x:c r="Q750" s="38" t="n">
        <x:v>19.88</x:v>
      </x:c>
      <x:c r="R750" s="38" t="n">
        <x:v>43.7475</x:v>
      </x:c>
      <x:c r="S750" s="38" t="n">
        <x:v>75.81</x:v>
      </x:c>
      <x:c r="T750" s="40" t="n">
        <x:v>19.06</x:v>
      </x:c>
      <x:c r="U750" s="40" t="n">
        <x:v>1.24</x:v>
      </x:c>
      <x:c r="V750" s="38" t="n">
        <x:f>L750*(1-T750/100)*(1-U750/100)</x:f>
        <x:v>317.3001232370401</x:v>
      </x:c>
      <x:c r="W750" s="38" t="n">
        <x:f>G750*N750</x:f>
        <x:v>187882.89392</x:v>
      </x:c>
      <x:c r="X750" s="38" t="n">
        <x:f>H750*O750</x:f>
        <x:v>25071.714539999997</x:v>
      </x:c>
      <x:c r="Y750" s="38" t="n">
        <x:f>I750*P750</x:f>
        <x:v>12265.1991</x:v>
      </x:c>
      <x:c r="Z750" s="38" t="n">
        <x:f>J750*Q750+K750*P750</x:f>
        <x:v>141.66263999999998</x:v>
      </x:c>
      <x:c r="AA750" s="38" t="n">
        <x:f>M750*R750</x:f>
        <x:v>20236.71855</x:v>
      </x:c>
      <x:c r="AB750" s="38" t="n">
        <x:f>SUM(W750:AA750)</x:f>
        <x:v>245598.18874999997</x:v>
      </x:c>
      <x:c r="AC750" s="38" t="n">
        <x:v>20.11</x:v>
      </x:c>
      <x:c r="AD750" s="38" t="n">
        <x:v>174.33</x:v>
      </x:c>
      <x:c r="AE750" s="38" t="n">
        <x:v>129.32</x:v>
      </x:c>
      <x:c r="AF750" s="38" t="n">
        <x:v>4.8148</x:v>
      </x:c>
      <x:c r="AG750" s="38" t="n">
        <x:v>5.26</x:v>
      </x:c>
      <x:c r="AH750" s="38" t="n">
        <x:f>IF(E750="Fason",L750*S750,0)</x:f>
        <x:v>30092.097210000007</x:v>
      </x:c>
      <x:c r="AI750" s="38" t="n">
        <x:f>IF(E750="Kurum içi",AC750*AD750+AE750*AF750+AB750*12%,0)</x:f>
        <x:v>0</x:v>
      </x:c>
      <x:c r="AJ750" s="38" t="n">
        <x:f>V750*AG750</x:f>
        <x:v>1668.998648226831</x:v>
      </x:c>
      <x:c r="AK750" s="38" t="n">
        <x:f>AB750*2%</x:f>
        <x:v>4911.963774999999</x:v>
      </x:c>
      <x:c r="AL750" s="38" t="n">
        <x:f>AB750+AH750+AI750+AJ750+AK750</x:f>
        <x:v>282271.24838322686</x:v>
      </x:c>
      <x:c r="AM750" s="38" t="n">
        <x:f>AL750/V750</x:f>
        <x:v>889.6033367511653</x:v>
      </x:c>
      <x:c r="AN750" s="40" t="n">
        <x:f>(W750+X750)/AL750*100</x:f>
        <x:v>75.44325172320816</x:v>
      </x:c>
      <x:c r="AO750" s="28" t="str">
        <x:v>R01-R20; ilgili satırdaki bölgesel fiyat ve maliyet varsayımları</x:v>
      </x:c>
      <x:c r="AP750" s="28" t="str">
        <x:v>Girdi miktarları, alım fiyatı değişimi, fason bedeli ve parti sonucu simüle edilmiştir; işletme kaydı değildir.</x:v>
      </x:c>
    </x:row>
    <x:row r="751" ht="22" customHeight="1">
      <x:c r="A751" t="str">
        <x:v>SUC-0750</x:v>
      </x:c>
      <x:c r="B751" s="36" t="n">
        <x:v>46317</x:v>
      </x:c>
      <x:c r="C751" t="str">
        <x:v>Karadeniz</x:v>
      </x:c>
      <x:c r="D751" t="str">
        <x:v>MEB_STANDART</x:v>
      </x:c>
      <x:c r="E751" t="str">
        <x:v>Kurum içi</x:v>
      </x:c>
      <x:c r="F751" s="42" t="str">
        <x:v>SENTETİK/SİMÜLE — gerçek parti kaydı değildir</x:v>
      </x:c>
      <x:c r="G751" s="38" t="n">
        <x:v>239.676</x:v>
      </x:c>
      <x:c r="H751" s="38" t="n">
        <x:v>71.434</x:v>
      </x:c>
      <x:c r="I751" s="38" t="n">
        <x:v>14.376</x:v>
      </x:c>
      <x:c r="J751" s="38" t="n">
        <x:v>8.219</x:v>
      </x:c>
      <x:c r="K751" s="38" t="n">
        <x:v>3.374</x:v>
      </x:c>
      <x:c r="L751" s="38" t="n">
        <x:f>SUM(G751:K751)</x:f>
        <x:v>337.079</x:v>
      </x:c>
      <x:c r="M751" s="38" t="n">
        <x:v>447.246</x:v>
      </x:c>
      <x:c r="N751" s="38" t="n">
        <x:v>605.56</x:v>
      </x:c>
      <x:c r="O751" s="38" t="n">
        <x:v>464.33</x:v>
      </x:c>
      <x:c r="P751" s="38" t="n">
        <x:v>400</x:v>
      </x:c>
      <x:c r="Q751" s="38" t="n">
        <x:v>19.88</x:v>
      </x:c>
      <x:c r="R751" s="38" t="n">
        <x:v>43.7475</x:v>
      </x:c>
      <x:c r="S751" s="38" t="n">
        <x:v>120.07</x:v>
      </x:c>
      <x:c r="T751" s="40" t="n">
        <x:v>17.82</x:v>
      </x:c>
      <x:c r="U751" s="40" t="n">
        <x:v>1.35</x:v>
      </x:c>
      <x:c r="V751" s="38" t="n">
        <x:f>L751*(1-T751/100)*(1-U751/100)</x:f>
        <x:v>273.2718666503</x:v>
      </x:c>
      <x:c r="W751" s="38" t="n">
        <x:f>G751*N751</x:f>
        <x:v>145138.19856</x:v>
      </x:c>
      <x:c r="X751" s="38" t="n">
        <x:f>H751*O751</x:f>
        <x:v>33168.949219999995</x:v>
      </x:c>
      <x:c r="Y751" s="38" t="n">
        <x:f>I751*P751</x:f>
        <x:v>5750.4</x:v>
      </x:c>
      <x:c r="Z751" s="38" t="n">
        <x:f>J751*Q751+K751*P751</x:f>
        <x:v>1512.9937200000002</x:v>
      </x:c>
      <x:c r="AA751" s="38" t="n">
        <x:f>M751*R751</x:f>
        <x:v>19565.894385</x:v>
      </x:c>
      <x:c r="AB751" s="38" t="n">
        <x:f>SUM(W751:AA751)</x:f>
        <x:v>205136.43588499998</x:v>
      </x:c>
      <x:c r="AC751" s="38" t="n">
        <x:v>13.61</x:v>
      </x:c>
      <x:c r="AD751" s="38" t="n">
        <x:v>174.33</x:v>
      </x:c>
      <x:c r="AE751" s="38" t="n">
        <x:v>153.17</x:v>
      </x:c>
      <x:c r="AF751" s="38" t="n">
        <x:v>4.8148</x:v>
      </x:c>
      <x:c r="AG751" s="38" t="n">
        <x:v>5.38</x:v>
      </x:c>
      <x:c r="AH751" s="38" t="n">
        <x:f>IF(E751="Fason",L751*S751,0)</x:f>
        <x:v>0</x:v>
      </x:c>
      <x:c r="AI751" s="38" t="n">
        <x:f>IF(E751="Kurum içi",AC751*AD751+AE751*AF751+AB751*12%,0)</x:f>
        <x:v>27726.4865222</x:v>
      </x:c>
      <x:c r="AJ751" s="38" t="n">
        <x:f>V751*AG751</x:f>
        <x:v>1470.2026425786141</x:v>
      </x:c>
      <x:c r="AK751" s="38" t="n">
        <x:f>AB751*2%</x:f>
        <x:v>4102.7287177</x:v>
      </x:c>
      <x:c r="AL751" s="38" t="n">
        <x:f>AB751+AH751+AI751+AJ751+AK751</x:f>
        <x:v>238435.85376747858</x:v>
      </x:c>
      <x:c r="AM751" s="38" t="n">
        <x:f>AL751/V751</x:f>
        <x:v>872.5225054820579</x:v>
      </x:c>
      <x:c r="AN751" s="40" t="n">
        <x:f>(W751+X751)/AL751*100</x:f>
        <x:v>74.78201996998497</x:v>
      </x:c>
      <x:c r="AO751" s="28" t="str">
        <x:v>R01-R20; ilgili satırdaki bölgesel fiyat ve maliyet varsayımları</x:v>
      </x:c>
      <x:c r="AP751" s="28" t="str">
        <x:v>Girdi miktarları, alım fiyatı değişimi, fason bedeli ve parti sonucu simüle edilmiştir; işletme kaydı değildir.</x:v>
      </x:c>
    </x:row>
    <x:row r="752" ht="22" customHeight="1">
      <x:c r="A752" t="str">
        <x:v>SUC-0751</x:v>
      </x:c>
      <x:c r="B752" s="36" t="n">
        <x:v>46287</x:v>
      </x:c>
      <x:c r="C752" t="str">
        <x:v>Güneydoğu Anadolu</x:v>
      </x:c>
      <x:c r="D752" t="str">
        <x:v>MEB_STANDART</x:v>
      </x:c>
      <x:c r="E752" t="str">
        <x:v>Kurum içi</x:v>
      </x:c>
      <x:c r="F752" s="42" t="str">
        <x:v>SENTETİK/SİMÜLE — gerçek parti kaydı değildir</x:v>
      </x:c>
      <x:c r="G752" s="38" t="n">
        <x:v>58.608</x:v>
      </x:c>
      <x:c r="H752" s="38" t="n">
        <x:v>17.741</x:v>
      </x:c>
      <x:c r="I752" s="38" t="n">
        <x:v>3.515</x:v>
      </x:c>
      <x:c r="J752" s="38" t="n">
        <x:v>2.094</x:v>
      </x:c>
      <x:c r="K752" s="38" t="n">
        <x:v>0.896</x:v>
      </x:c>
      <x:c r="L752" s="38" t="n">
        <x:f>SUM(G752:K752)</x:f>
        <x:v>82.85399999999998</x:v>
      </x:c>
      <x:c r="M752" s="38" t="n">
        <x:v>109.966</x:v>
      </x:c>
      <x:c r="N752" s="38" t="n">
        <x:v>579.33</x:v>
      </x:c>
      <x:c r="O752" s="38" t="n">
        <x:v>458.09</x:v>
      </x:c>
      <x:c r="P752" s="38" t="n">
        <x:v>400</x:v>
      </x:c>
      <x:c r="Q752" s="38" t="n">
        <x:v>19.88</x:v>
      </x:c>
      <x:c r="R752" s="38" t="n">
        <x:v>43.7475</x:v>
      </x:c>
      <x:c r="S752" s="38" t="n">
        <x:v>78.84</x:v>
      </x:c>
      <x:c r="T752" s="40" t="n">
        <x:v>22.64</x:v>
      </x:c>
      <x:c r="U752" s="40" t="n">
        <x:v>1.07</x:v>
      </x:c>
      <x:c r="V752" s="38" t="n">
        <x:f>L752*(1-T752/100)*(1-U752/100)</x:f>
        <x:v>63.410028757919974</x:v>
      </x:c>
      <x:c r="W752" s="38" t="n">
        <x:f>G752*N752</x:f>
        <x:v>33953.37264</x:v>
      </x:c>
      <x:c r="X752" s="38" t="n">
        <x:f>H752*O752</x:f>
        <x:v>8126.974689999999</x:v>
      </x:c>
      <x:c r="Y752" s="38" t="n">
        <x:f>I752*P752</x:f>
        <x:v>1406</x:v>
      </x:c>
      <x:c r="Z752" s="38" t="n">
        <x:f>J752*Q752+K752*P752</x:f>
        <x:v>400.02872</x:v>
      </x:c>
      <x:c r="AA752" s="38" t="n">
        <x:f>M752*R752</x:f>
        <x:v>4810.737585</x:v>
      </x:c>
      <x:c r="AB752" s="38" t="n">
        <x:f>SUM(W752:AA752)</x:f>
        <x:v>48697.11363500001</x:v>
      </x:c>
      <x:c r="AC752" s="38" t="n">
        <x:v>3.94</x:v>
      </x:c>
      <x:c r="AD752" s="38" t="n">
        <x:v>174.33</x:v>
      </x:c>
      <x:c r="AE752" s="38" t="n">
        <x:v>34.72</x:v>
      </x:c>
      <x:c r="AF752" s="38" t="n">
        <x:v>4.8148</x:v>
      </x:c>
      <x:c r="AG752" s="38" t="n">
        <x:v>5.86</x:v>
      </x:c>
      <x:c r="AH752" s="38" t="n">
        <x:f>IF(E752="Fason",L752*S752,0)</x:f>
        <x:v>0</x:v>
      </x:c>
      <x:c r="AI752" s="38" t="n">
        <x:f>IF(E752="Kurum içi",AC752*AD752+AE752*AF752+AB752*12%,0)</x:f>
        <x:v>6697.6836922</x:v>
      </x:c>
      <x:c r="AJ752" s="38" t="n">
        <x:f>V752*AG752</x:f>
        <x:v>371.5827685214111</x:v>
      </x:c>
      <x:c r="AK752" s="38" t="n">
        <x:f>AB752*2%</x:f>
        <x:v>973.9422727000002</x:v>
      </x:c>
      <x:c r="AL752" s="38" t="n">
        <x:f>AB752+AH752+AI752+AJ752+AK752</x:f>
        <x:v>56740.32236842142</x:v>
      </x:c>
      <x:c r="AM752" s="38" t="n">
        <x:f>AL752/V752</x:f>
        <x:v>894.8162219739492</x:v>
      </x:c>
      <x:c r="AN752" s="40" t="n">
        <x:f>(W752+X752)/AL752*100</x:f>
        <x:v>74.16303886461463</x:v>
      </x:c>
      <x:c r="AO752" s="28" t="str">
        <x:v>R01-R20; ilgili satırdaki bölgesel fiyat ve maliyet varsayımları</x:v>
      </x:c>
      <x:c r="AP752" s="28" t="str">
        <x:v>Girdi miktarları, alım fiyatı değişimi, fason bedeli ve parti sonucu simüle edilmiştir; işletme kaydı değildir.</x:v>
      </x:c>
    </x:row>
    <x:row r="753" ht="22" customHeight="1">
      <x:c r="A753" t="str">
        <x:v>SUC-0752</x:v>
      </x:c>
      <x:c r="B753" s="36" t="n">
        <x:v>46306</x:v>
      </x:c>
      <x:c r="C753" t="str">
        <x:v>Doğu Anadolu</x:v>
      </x:c>
      <x:c r="D753" t="str">
        <x:v>MEB_STANDART</x:v>
      </x:c>
      <x:c r="E753" t="str">
        <x:v>Kurum içi</x:v>
      </x:c>
      <x:c r="F753" s="42" t="str">
        <x:v>SENTETİK/SİMÜLE — gerçek parti kaydı değildir</x:v>
      </x:c>
      <x:c r="G753" s="38" t="n">
        <x:v>101.362</x:v>
      </x:c>
      <x:c r="H753" s="38" t="n">
        <x:v>31.762</x:v>
      </x:c>
      <x:c r="I753" s="38" t="n">
        <x:v>6.741</x:v>
      </x:c>
      <x:c r="J753" s="38" t="n">
        <x:v>3.447</x:v>
      </x:c>
      <x:c r="K753" s="38" t="n">
        <x:v>1.356</x:v>
      </x:c>
      <x:c r="L753" s="38" t="n">
        <x:f>SUM(G753:K753)</x:f>
        <x:v>144.668</x:v>
      </x:c>
      <x:c r="M753" s="38" t="n">
        <x:v>171.599</x:v>
      </x:c>
      <x:c r="N753" s="38" t="n">
        <x:v>585.51</x:v>
      </x:c>
      <x:c r="O753" s="38" t="n">
        <x:v>468.07</x:v>
      </x:c>
      <x:c r="P753" s="38" t="n">
        <x:v>400</x:v>
      </x:c>
      <x:c r="Q753" s="38" t="n">
        <x:v>19.88</x:v>
      </x:c>
      <x:c r="R753" s="38" t="n">
        <x:v>43.7475</x:v>
      </x:c>
      <x:c r="S753" s="38" t="n">
        <x:v>66.81</x:v>
      </x:c>
      <x:c r="T753" s="40" t="n">
        <x:v>23.68</x:v>
      </x:c>
      <x:c r="U753" s="40" t="n">
        <x:v>1.2</x:v>
      </x:c>
      <x:c r="V753" s="38" t="n">
        <x:f>L753*(1-T753/100)*(1-U753/100)</x:f>
        <x:v>109.0856901888</x:v>
      </x:c>
      <x:c r="W753" s="38" t="n">
        <x:f>G753*N753</x:f>
        <x:v>59348.46462</x:v>
      </x:c>
      <x:c r="X753" s="38" t="n">
        <x:f>H753*O753</x:f>
        <x:v>14866.83934</x:v>
      </x:c>
      <x:c r="Y753" s="38" t="n">
        <x:f>I753*P753</x:f>
        <x:v>2696.3999999999996</x:v>
      </x:c>
      <x:c r="Z753" s="38" t="n">
        <x:f>J753*Q753+K753*P753</x:f>
        <x:v>610.92636</x:v>
      </x:c>
      <x:c r="AA753" s="38" t="n">
        <x:f>M753*R753</x:f>
        <x:v>7507.0272525</x:v>
      </x:c>
      <x:c r="AB753" s="38" t="n">
        <x:f>SUM(W753:AA753)</x:f>
        <x:v>85029.6575725</x:v>
      </x:c>
      <x:c r="AC753" s="38" t="n">
        <x:v>8.41</x:v>
      </x:c>
      <x:c r="AD753" s="38" t="n">
        <x:v>174.33</x:v>
      </x:c>
      <x:c r="AE753" s="38" t="n">
        <x:v>61.64</x:v>
      </x:c>
      <x:c r="AF753" s="38" t="n">
        <x:v>4.8148</x:v>
      </x:c>
      <x:c r="AG753" s="38" t="n">
        <x:v>5.5</x:v>
      </x:c>
      <x:c r="AH753" s="38" t="n">
        <x:f>IF(E753="Fason",L753*S753,0)</x:f>
        <x:v>0</x:v>
      </x:c>
      <x:c r="AI753" s="38" t="n">
        <x:f>IF(E753="Kurum içi",AC753*AD753+AE753*AF753+AB753*12%,0)</x:f>
        <x:v>11966.4584807</x:v>
      </x:c>
      <x:c r="AJ753" s="38" t="n">
        <x:f>V753*AG753</x:f>
        <x:v>599.9712960384</x:v>
      </x:c>
      <x:c r="AK753" s="38" t="n">
        <x:f>AB753*2%</x:f>
        <x:v>1700.59315145</x:v>
      </x:c>
      <x:c r="AL753" s="38" t="n">
        <x:f>AB753+AH753+AI753+AJ753+AK753</x:f>
        <x:v>99296.68050068841</x:v>
      </x:c>
      <x:c r="AM753" s="38" t="n">
        <x:f>AL753/V753</x:f>
        <x:v>910.2631181856276</x:v>
      </x:c>
      <x:c r="AN753" s="40" t="n">
        <x:f>(W753+X753)/AL753*100</x:f>
        <x:v>74.74097178856395</x:v>
      </x:c>
      <x:c r="AO753" s="28" t="str">
        <x:v>R01-R20; ilgili satırdaki bölgesel fiyat ve maliyet varsayımları</x:v>
      </x:c>
      <x:c r="AP753" s="28" t="str">
        <x:v>Girdi miktarları, alım fiyatı değişimi, fason bedeli ve parti sonucu simüle edilmiştir; işletme kaydı değildir.</x:v>
      </x:c>
    </x:row>
    <x:row r="754" ht="22" customHeight="1">
      <x:c r="A754" t="str">
        <x:v>SUC-0753</x:v>
      </x:c>
      <x:c r="B754" s="36" t="n">
        <x:v>46285</x:v>
      </x:c>
      <x:c r="C754" t="str">
        <x:v>Ege</x:v>
      </x:c>
      <x:c r="D754" t="str">
        <x:v>MEB_STANDART</x:v>
      </x:c>
      <x:c r="E754" t="str">
        <x:v>Kurum içi</x:v>
      </x:c>
      <x:c r="F754" s="42" t="str">
        <x:v>SENTETİK/SİMÜLE — gerçek parti kaydı değildir</x:v>
      </x:c>
      <x:c r="G754" s="38" t="n">
        <x:v>234.169</x:v>
      </x:c>
      <x:c r="H754" s="38" t="n">
        <x:v>74.131</x:v>
      </x:c>
      <x:c r="I754" s="38" t="n">
        <x:v>14.593</x:v>
      </x:c>
      <x:c r="J754" s="38" t="n">
        <x:v>8.538</x:v>
      </x:c>
      <x:c r="K754" s="38" t="n">
        <x:v>3.388</x:v>
      </x:c>
      <x:c r="L754" s="38" t="n">
        <x:f>SUM(G754:K754)</x:f>
        <x:v>334.819</x:v>
      </x:c>
      <x:c r="M754" s="38" t="n">
        <x:v>426.495</x:v>
      </x:c>
      <x:c r="N754" s="38" t="n">
        <x:v>610.94</x:v>
      </x:c>
      <x:c r="O754" s="38" t="n">
        <x:v>435.2</x:v>
      </x:c>
      <x:c r="P754" s="38" t="n">
        <x:v>550</x:v>
      </x:c>
      <x:c r="Q754" s="38" t="n">
        <x:v>19.88</x:v>
      </x:c>
      <x:c r="R754" s="38" t="n">
        <x:v>43.7475</x:v>
      </x:c>
      <x:c r="S754" s="38" t="n">
        <x:v>100.43</x:v>
      </x:c>
      <x:c r="T754" s="40" t="n">
        <x:v>33.38</x:v>
      </x:c>
      <x:c r="U754" s="40" t="n">
        <x:v>1.03</x:v>
      </x:c>
      <x:c r="V754" s="38" t="n">
        <x:f>L754*(1-T754/100)*(1-U754/100)</x:f>
        <x:v>220.75893669666</x:v>
      </x:c>
      <x:c r="W754" s="38" t="n">
        <x:f>G754*N754</x:f>
        <x:v>143063.20886</x:v>
      </x:c>
      <x:c r="X754" s="38" t="n">
        <x:f>H754*O754</x:f>
        <x:v>32261.8112</x:v>
      </x:c>
      <x:c r="Y754" s="38" t="n">
        <x:f>I754*P754</x:f>
        <x:v>8026.15</x:v>
      </x:c>
      <x:c r="Z754" s="38" t="n">
        <x:f>J754*Q754+K754*P754</x:f>
        <x:v>2033.1354399999998</x:v>
      </x:c>
      <x:c r="AA754" s="38" t="n">
        <x:f>M754*R754</x:f>
        <x:v>18658.0900125</x:v>
      </x:c>
      <x:c r="AB754" s="38" t="n">
        <x:f>SUM(W754:AA754)</x:f>
        <x:v>204042.39551250002</x:v>
      </x:c>
      <x:c r="AC754" s="38" t="n">
        <x:v>16.3</x:v>
      </x:c>
      <x:c r="AD754" s="38" t="n">
        <x:v>174.33</x:v>
      </x:c>
      <x:c r="AE754" s="38" t="n">
        <x:v>154.82</x:v>
      </x:c>
      <x:c r="AF754" s="38" t="n">
        <x:v>4.8148</x:v>
      </x:c>
      <x:c r="AG754" s="38" t="n">
        <x:v>5.1</x:v>
      </x:c>
      <x:c r="AH754" s="38" t="n">
        <x:f>IF(E754="Fason",L754*S754,0)</x:f>
        <x:v>0</x:v>
      </x:c>
      <x:c r="AI754" s="38" t="n">
        <x:f>IF(E754="Kurum içi",AC754*AD754+AE754*AF754+AB754*12%,0)</x:f>
        <x:v>28072.093797500005</x:v>
      </x:c>
      <x:c r="AJ754" s="38" t="n">
        <x:f>V754*AG754</x:f>
        <x:v>1125.8705771529658</x:v>
      </x:c>
      <x:c r="AK754" s="38" t="n">
        <x:f>AB754*2%</x:f>
        <x:v>4080.8479102500005</x:v>
      </x:c>
      <x:c r="AL754" s="38" t="n">
        <x:f>AB754+AH754+AI754+AJ754+AK754</x:f>
        <x:v>237321.207797403</x:v>
      </x:c>
      <x:c r="AM754" s="38" t="n">
        <x:f>AL754/V754</x:f>
        <x:v>1075.0242384230219</x:v>
      </x:c>
      <x:c r="AN754" s="40" t="n">
        <x:f>(W754+X754)/AL754*100</x:f>
        <x:v>73.87667612482063</x:v>
      </x:c>
      <x:c r="AO754" s="28" t="str">
        <x:v>R01-R20; ilgili satırdaki bölgesel fiyat ve maliyet varsayımları</x:v>
      </x:c>
      <x:c r="AP754" s="28" t="str">
        <x:v>Girdi miktarları, alım fiyatı değişimi, fason bedeli ve parti sonucu simüle edilmiştir; işletme kaydı değildir.</x:v>
      </x:c>
    </x:row>
    <x:row r="755" ht="22" customHeight="1">
      <x:c r="A755" t="str">
        <x:v>SUC-0754</x:v>
      </x:c>
      <x:c r="B755" s="36" t="n">
        <x:v>46292</x:v>
      </x:c>
      <x:c r="C755" t="str">
        <x:v>Ege</x:v>
      </x:c>
      <x:c r="D755" t="str">
        <x:v>MEB_STANDART</x:v>
      </x:c>
      <x:c r="E755" t="str">
        <x:v>Kurum içi</x:v>
      </x:c>
      <x:c r="F755" s="42" t="str">
        <x:v>SENTETİK/SİMÜLE — gerçek parti kaydı değildir</x:v>
      </x:c>
      <x:c r="G755" s="38" t="n">
        <x:v>85.331</x:v>
      </x:c>
      <x:c r="H755" s="38" t="n">
        <x:v>26.54</x:v>
      </x:c>
      <x:c r="I755" s="38" t="n">
        <x:v>5.823</x:v>
      </x:c>
      <x:c r="J755" s="38" t="n">
        <x:v>2.849</x:v>
      </x:c>
      <x:c r="K755" s="38" t="n">
        <x:v>1.109</x:v>
      </x:c>
      <x:c r="L755" s="38" t="n">
        <x:f>SUM(G755:K755)</x:f>
        <x:v>121.65200000000002</x:v>
      </x:c>
      <x:c r="M755" s="38" t="n">
        <x:v>156.978</x:v>
      </x:c>
      <x:c r="N755" s="38" t="n">
        <x:v>616.02</x:v>
      </x:c>
      <x:c r="O755" s="38" t="n">
        <x:v>465.11</x:v>
      </x:c>
      <x:c r="P755" s="38" t="n">
        <x:v>550</x:v>
      </x:c>
      <x:c r="Q755" s="38" t="n">
        <x:v>19.88</x:v>
      </x:c>
      <x:c r="R755" s="38" t="n">
        <x:v>43.7475</x:v>
      </x:c>
      <x:c r="S755" s="38" t="n">
        <x:v>88.9</x:v>
      </x:c>
      <x:c r="T755" s="40" t="n">
        <x:v>26.1</x:v>
      </x:c>
      <x:c r="U755" s="40" t="n">
        <x:v>1.67</x:v>
      </x:c>
      <x:c r="V755" s="38" t="n">
        <x:f>L755*(1-T755/100)*(1-U755/100)</x:f>
        <x:v>88.3994841724</x:v>
      </x:c>
      <x:c r="W755" s="38" t="n">
        <x:f>G755*N755</x:f>
        <x:v>52565.60262</x:v>
      </x:c>
      <x:c r="X755" s="38" t="n">
        <x:f>H755*O755</x:f>
        <x:v>12344.0194</x:v>
      </x:c>
      <x:c r="Y755" s="38" t="n">
        <x:f>I755*P755</x:f>
        <x:v>3202.65</x:v>
      </x:c>
      <x:c r="Z755" s="38" t="n">
        <x:f>J755*Q755+K755*P755</x:f>
        <x:v>666.58812</x:v>
      </x:c>
      <x:c r="AA755" s="38" t="n">
        <x:f>M755*R755</x:f>
        <x:v>6867.395055000001</x:v>
      </x:c>
      <x:c r="AB755" s="38" t="n">
        <x:f>SUM(W755:AA755)</x:f>
        <x:v>75646.25519499999</x:v>
      </x:c>
      <x:c r="AC755" s="38" t="n">
        <x:v>5.15</x:v>
      </x:c>
      <x:c r="AD755" s="38" t="n">
        <x:v>174.33</x:v>
      </x:c>
      <x:c r="AE755" s="38" t="n">
        <x:v>45.89</x:v>
      </x:c>
      <x:c r="AF755" s="38" t="n">
        <x:v>4.8148</x:v>
      </x:c>
      <x:c r="AG755" s="38" t="n">
        <x:v>5.56</x:v>
      </x:c>
      <x:c r="AH755" s="38" t="n">
        <x:f>IF(E755="Fason",L755*S755,0)</x:f>
        <x:v>0</x:v>
      </x:c>
      <x:c r="AI755" s="38" t="n">
        <x:f>IF(E755="Kurum içi",AC755*AD755+AE755*AF755+AB755*12%,0)</x:f>
        <x:v>10196.301295399999</x:v>
      </x:c>
      <x:c r="AJ755" s="38" t="n">
        <x:f>V755*AG755</x:f>
        <x:v>491.50113199854394</x:v>
      </x:c>
      <x:c r="AK755" s="38" t="n">
        <x:f>AB755*2%</x:f>
        <x:v>1512.9251038999998</x:v>
      </x:c>
      <x:c r="AL755" s="38" t="n">
        <x:f>AB755+AH755+AI755+AJ755+AK755</x:f>
        <x:v>87846.98272629853</x:v>
      </x:c>
      <x:c r="AM755" s="38" t="n">
        <x:f>AL755/V755</x:f>
        <x:v>993.7499471713664</x:v>
      </x:c>
      <x:c r="AN755" s="40" t="n">
        <x:f>(W755+X755)/AL755*100</x:f>
        <x:v>73.88941544211758</x:v>
      </x:c>
      <x:c r="AO755" s="28" t="str">
        <x:v>R01-R20; ilgili satırdaki bölgesel fiyat ve maliyet varsayımları</x:v>
      </x:c>
      <x:c r="AP755" s="28" t="str">
        <x:v>Girdi miktarları, alım fiyatı değişimi, fason bedeli ve parti sonucu simüle edilmiştir; işletme kaydı değildir.</x:v>
      </x:c>
    </x:row>
    <x:row r="756" ht="22" customHeight="1">
      <x:c r="A756" t="str">
        <x:v>SUC-0755</x:v>
      </x:c>
      <x:c r="B756" s="36" t="n">
        <x:v>46293</x:v>
      </x:c>
      <x:c r="C756" t="str">
        <x:v>Güneydoğu Anadolu</x:v>
      </x:c>
      <x:c r="D756" t="str">
        <x:v>ERZURUM_CI</x:v>
      </x:c>
      <x:c r="E756" t="str">
        <x:v>Fason</x:v>
      </x:c>
      <x:c r="F756" s="42" t="str">
        <x:v>SENTETİK/SİMÜLE — gerçek parti kaydı değildir</x:v>
      </x:c>
      <x:c r="G756" s="38" t="n">
        <x:v>131.195</x:v>
      </x:c>
      <x:c r="H756" s="38" t="n">
        <x:v>24.625</x:v>
      </x:c>
      <x:c r="I756" s="38" t="n">
        <x:v>7.615</x:v>
      </x:c>
      <x:c r="J756" s="38" t="n">
        <x:v>2.545</x:v>
      </x:c>
      <x:c r="K756" s="38" t="n">
        <x:v>0.315</x:v>
      </x:c>
      <x:c r="L756" s="38" t="n">
        <x:f>SUM(G756:K756)</x:f>
        <x:v>166.295</x:v>
      </x:c>
      <x:c r="M756" s="38" t="n">
        <x:v>223.072</x:v>
      </x:c>
      <x:c r="N756" s="38" t="n">
        <x:v>581.45</x:v>
      </x:c>
      <x:c r="O756" s="38" t="n">
        <x:v>465.69</x:v>
      </x:c>
      <x:c r="P756" s="38" t="n">
        <x:v>669.9</x:v>
      </x:c>
      <x:c r="Q756" s="38" t="n">
        <x:v>19.88</x:v>
      </x:c>
      <x:c r="R756" s="38" t="n">
        <x:v>43.7475</x:v>
      </x:c>
      <x:c r="S756" s="38" t="n">
        <x:v>120.17</x:v>
      </x:c>
      <x:c r="T756" s="40" t="n">
        <x:v>19.07</x:v>
      </x:c>
      <x:c r="U756" s="40" t="n">
        <x:v>0.4</x:v>
      </x:c>
      <x:c r="V756" s="38" t="n">
        <x:f>L756*(1-T756/100)*(1-U756/100)</x:f>
        <x:v>134.04421332599998</x:v>
      </x:c>
      <x:c r="W756" s="38" t="n">
        <x:f>G756*N756</x:f>
        <x:v>76283.33275</x:v>
      </x:c>
      <x:c r="X756" s="38" t="n">
        <x:f>H756*O756</x:f>
        <x:v>11467.61625</x:v>
      </x:c>
      <x:c r="Y756" s="38" t="n">
        <x:f>I756*P756</x:f>
        <x:v>5101.2885</x:v>
      </x:c>
      <x:c r="Z756" s="38" t="n">
        <x:f>J756*Q756+K756*P756</x:f>
        <x:v>261.6131</x:v>
      </x:c>
      <x:c r="AA756" s="38" t="n">
        <x:f>M756*R756</x:f>
        <x:v>9758.84232</x:v>
      </x:c>
      <x:c r="AB756" s="38" t="n">
        <x:f>SUM(W756:AA756)</x:f>
        <x:v>102872.69291999999</x:v>
      </x:c>
      <x:c r="AC756" s="38" t="n">
        <x:v>9.89</x:v>
      </x:c>
      <x:c r="AD756" s="38" t="n">
        <x:v>174.33</x:v>
      </x:c>
      <x:c r="AE756" s="38" t="n">
        <x:v>60.48</x:v>
      </x:c>
      <x:c r="AF756" s="38" t="n">
        <x:v>4.8148</x:v>
      </x:c>
      <x:c r="AG756" s="38" t="n">
        <x:v>5.15</x:v>
      </x:c>
      <x:c r="AH756" s="38" t="n">
        <x:f>IF(E756="Fason",L756*S756,0)</x:f>
        <x:v>19983.670149999998</x:v>
      </x:c>
      <x:c r="AI756" s="38" t="n">
        <x:f>IF(E756="Kurum içi",AC756*AD756+AE756*AF756+AB756*12%,0)</x:f>
        <x:v>0</x:v>
      </x:c>
      <x:c r="AJ756" s="38" t="n">
        <x:f>V756*AG756</x:f>
        <x:v>690.3276986289</x:v>
      </x:c>
      <x:c r="AK756" s="38" t="n">
        <x:f>AB756*2%</x:f>
        <x:v>2057.4538583999997</x:v>
      </x:c>
      <x:c r="AL756" s="38" t="n">
        <x:f>AB756+AH756+AI756+AJ756+AK756</x:f>
        <x:v>125604.14462702889</x:v>
      </x:c>
      <x:c r="AM756" s="38" t="n">
        <x:f>AL756/V756</x:f>
        <x:v>937.0351879461998</x:v>
      </x:c>
      <x:c r="AN756" s="40" t="n">
        <x:f>(W756+X756)/AL756*100</x:f>
        <x:v>69.86309986869396</x:v>
      </x:c>
      <x:c r="AO756" s="28" t="str">
        <x:v>R01-R20; ilgili satırdaki bölgesel fiyat ve maliyet varsayımları</x:v>
      </x:c>
      <x:c r="AP756" s="28" t="str">
        <x:v>Girdi miktarları, alım fiyatı değişimi, fason bedeli ve parti sonucu simüle edilmiştir; işletme kaydı değildir.</x:v>
      </x:c>
    </x:row>
    <x:row r="757" ht="22" customHeight="1">
      <x:c r="A757" t="str">
        <x:v>SUC-0756</x:v>
      </x:c>
      <x:c r="B757" s="36" t="n">
        <x:v>46270</x:v>
      </x:c>
      <x:c r="C757" t="str">
        <x:v>Doğu Anadolu</x:v>
      </x:c>
      <x:c r="D757" t="str">
        <x:v>ERZURUM_CI</x:v>
      </x:c>
      <x:c r="E757" t="str">
        <x:v>Fason</x:v>
      </x:c>
      <x:c r="F757" s="42" t="str">
        <x:v>SENTETİK/SİMÜLE — gerçek parti kaydı değildir</x:v>
      </x:c>
      <x:c r="G757" s="38" t="n">
        <x:v>245.814</x:v>
      </x:c>
      <x:c r="H757" s="38" t="n">
        <x:v>40.368</x:v>
      </x:c>
      <x:c r="I757" s="38" t="n">
        <x:v>13.605</x:v>
      </x:c>
      <x:c r="J757" s="38" t="n">
        <x:v>5.327</x:v>
      </x:c>
      <x:c r="K757" s="38" t="n">
        <x:v>0.03</x:v>
      </x:c>
      <x:c r="L757" s="38" t="n">
        <x:f>SUM(G757:K757)</x:f>
        <x:v>305.144</x:v>
      </x:c>
      <x:c r="M757" s="38" t="n">
        <x:v>362.717</x:v>
      </x:c>
      <x:c r="N757" s="38" t="n">
        <x:v>605.58</x:v>
      </x:c>
      <x:c r="O757" s="38" t="n">
        <x:v>469.89</x:v>
      </x:c>
      <x:c r="P757" s="38" t="n">
        <x:v>400</x:v>
      </x:c>
      <x:c r="Q757" s="38" t="n">
        <x:v>19.88</x:v>
      </x:c>
      <x:c r="R757" s="38" t="n">
        <x:v>43.7475</x:v>
      </x:c>
      <x:c r="S757" s="38" t="n">
        <x:v>87.32</x:v>
      </x:c>
      <x:c r="T757" s="40" t="n">
        <x:v>20.28</x:v>
      </x:c>
      <x:c r="U757" s="40" t="n">
        <x:v>0.31</x:v>
      </x:c>
      <x:c r="V757" s="38" t="n">
        <x:f>L757*(1-T757/100)*(1-U757/100)</x:f>
        <x:v>242.50668832992002</x:v>
      </x:c>
      <x:c r="W757" s="38" t="n">
        <x:f>G757*N757</x:f>
        <x:v>148860.04212</x:v>
      </x:c>
      <x:c r="X757" s="38" t="n">
        <x:f>H757*O757</x:f>
        <x:v>18968.51952</x:v>
      </x:c>
      <x:c r="Y757" s="38" t="n">
        <x:f>I757*P757</x:f>
        <x:v>5442</x:v>
      </x:c>
      <x:c r="Z757" s="38" t="n">
        <x:f>J757*Q757+K757*P757</x:f>
        <x:v>117.90075999999999</x:v>
      </x:c>
      <x:c r="AA757" s="38" t="n">
        <x:f>M757*R757</x:f>
        <x:v>15867.9619575</x:v>
      </x:c>
      <x:c r="AB757" s="38" t="n">
        <x:f>SUM(W757:AA757)</x:f>
        <x:v>189256.4243575</x:v>
      </x:c>
      <x:c r="AC757" s="38" t="n">
        <x:v>15.91</x:v>
      </x:c>
      <x:c r="AD757" s="38" t="n">
        <x:v>174.33</x:v>
      </x:c>
      <x:c r="AE757" s="38" t="n">
        <x:v>117.38</x:v>
      </x:c>
      <x:c r="AF757" s="38" t="n">
        <x:v>4.8148</x:v>
      </x:c>
      <x:c r="AG757" s="38" t="n">
        <x:v>5.66</x:v>
      </x:c>
      <x:c r="AH757" s="38" t="n">
        <x:f>IF(E757="Fason",L757*S757,0)</x:f>
        <x:v>26645.174079999997</x:v>
      </x:c>
      <x:c r="AI757" s="38" t="n">
        <x:f>IF(E757="Kurum içi",AC757*AD757+AE757*AF757+AB757*12%,0)</x:f>
        <x:v>0</x:v>
      </x:c>
      <x:c r="AJ757" s="38" t="n">
        <x:f>V757*AG757</x:f>
        <x:v>1372.5878559473474</x:v>
      </x:c>
      <x:c r="AK757" s="38" t="n">
        <x:f>AB757*2%</x:f>
        <x:v>3785.1284871499997</x:v>
      </x:c>
      <x:c r="AL757" s="38" t="n">
        <x:f>AB757+AH757+AI757+AJ757+AK757</x:f>
        <x:v>221059.31478059734</x:v>
      </x:c>
      <x:c r="AM757" s="38" t="n">
        <x:f>AL757/V757</x:f>
        <x:v>911.5596617271667</x:v>
      </x:c>
      <x:c r="AN757" s="40" t="n">
        <x:f>(W757+X757)/AL757*100</x:f>
        <x:v>75.92014921722291</x:v>
      </x:c>
      <x:c r="AO757" s="28" t="str">
        <x:v>R01-R20; ilgili satırdaki bölgesel fiyat ve maliyet varsayımları</x:v>
      </x:c>
      <x:c r="AP757" s="28" t="str">
        <x:v>Girdi miktarları, alım fiyatı değişimi, fason bedeli ve parti sonucu simüle edilmiştir; işletme kaydı değildir.</x:v>
      </x:c>
    </x:row>
    <x:row r="758" ht="22" customHeight="1">
      <x:c r="A758" t="str">
        <x:v>SUC-0757</x:v>
      </x:c>
      <x:c r="B758" s="36" t="n">
        <x:v>46304</x:v>
      </x:c>
      <x:c r="C758" t="str">
        <x:v>Marmara</x:v>
      </x:c>
      <x:c r="D758" t="str">
        <x:v>ERZURUM_CI</x:v>
      </x:c>
      <x:c r="E758" t="str">
        <x:v>Kurum içi</x:v>
      </x:c>
      <x:c r="F758" s="42" t="str">
        <x:v>SENTETİK/SİMÜLE — gerçek parti kaydı değildir</x:v>
      </x:c>
      <x:c r="G758" s="38" t="n">
        <x:v>248.242</x:v>
      </x:c>
      <x:c r="H758" s="38" t="n">
        <x:v>45.42</x:v>
      </x:c>
      <x:c r="I758" s="38" t="n">
        <x:v>14.469</x:v>
      </x:c>
      <x:c r="J758" s="38" t="n">
        <x:v>4.812</x:v>
      </x:c>
      <x:c r="K758" s="38" t="n">
        <x:v>0.031</x:v>
      </x:c>
      <x:c r="L758" s="38" t="n">
        <x:f>SUM(G758:K758)</x:f>
        <x:v>312.974</x:v>
      </x:c>
      <x:c r="M758" s="38" t="n">
        <x:v>379.025</x:v>
      </x:c>
      <x:c r="N758" s="38" t="n">
        <x:v>618.78</x:v>
      </x:c>
      <x:c r="O758" s="38" t="n">
        <x:v>456.66</x:v>
      </x:c>
      <x:c r="P758" s="38" t="n">
        <x:v>550</x:v>
      </x:c>
      <x:c r="Q758" s="38" t="n">
        <x:v>19.88</x:v>
      </x:c>
      <x:c r="R758" s="38" t="n">
        <x:v>43.7475</x:v>
      </x:c>
      <x:c r="S758" s="38" t="n">
        <x:v>80.94</x:v>
      </x:c>
      <x:c r="T758" s="40" t="n">
        <x:v>18.56</x:v>
      </x:c>
      <x:c r="U758" s="40" t="n">
        <x:v>0.42</x:v>
      </x:c>
      <x:c r="V758" s="38" t="n">
        <x:f>L758*(1-T758/100)*(1-U758/100)</x:f>
        <x:v>253.81550429248</x:v>
      </x:c>
      <x:c r="W758" s="38" t="n">
        <x:f>G758*N758</x:f>
        <x:v>153607.18475999997</x:v>
      </x:c>
      <x:c r="X758" s="38" t="n">
        <x:f>H758*O758</x:f>
        <x:v>20741.4972</x:v>
      </x:c>
      <x:c r="Y758" s="38" t="n">
        <x:f>I758*P758</x:f>
        <x:v>7957.95</x:v>
      </x:c>
      <x:c r="Z758" s="38" t="n">
        <x:f>J758*Q758+K758*P758</x:f>
        <x:v>112.71256</x:v>
      </x:c>
      <x:c r="AA758" s="38" t="n">
        <x:f>M758*R758</x:f>
        <x:v>16581.3961875</x:v>
      </x:c>
      <x:c r="AB758" s="38" t="n">
        <x:f>SUM(W758:AA758)</x:f>
        <x:v>199000.74070750002</x:v>
      </x:c>
      <x:c r="AC758" s="38" t="n">
        <x:v>15.17</x:v>
      </x:c>
      <x:c r="AD758" s="38" t="n">
        <x:v>174.33</x:v>
      </x:c>
      <x:c r="AE758" s="38" t="n">
        <x:v>147.82</x:v>
      </x:c>
      <x:c r="AF758" s="38" t="n">
        <x:v>4.8148</x:v>
      </x:c>
      <x:c r="AG758" s="38" t="n">
        <x:v>5.29</x:v>
      </x:c>
      <x:c r="AH758" s="38" t="n">
        <x:f>IF(E758="Fason",L758*S758,0)</x:f>
        <x:v>0</x:v>
      </x:c>
      <x:c r="AI758" s="38" t="n">
        <x:f>IF(E758="Kurum içi",AC758*AD758+AE758*AF758+AB758*12%,0)</x:f>
        <x:v>27236.3987209</x:v>
      </x:c>
      <x:c r="AJ758" s="38" t="n">
        <x:f>V758*AG758</x:f>
        <x:v>1342.6840177072193</x:v>
      </x:c>
      <x:c r="AK758" s="38" t="n">
        <x:f>AB758*2%</x:f>
        <x:v>3980.0148141500003</x:v>
      </x:c>
      <x:c r="AL758" s="38" t="n">
        <x:f>AB758+AH758+AI758+AJ758+AK758</x:f>
        <x:v>231559.83826025724</x:v>
      </x:c>
      <x:c r="AM758" s="38" t="n">
        <x:f>AL758/V758</x:f>
        <x:v>912.3155770398611</x:v>
      </x:c>
      <x:c r="AN758" s="40" t="n">
        <x:f>(W758+X758)/AL758*100</x:f>
        <x:v>75.29314378085034</x:v>
      </x:c>
      <x:c r="AO758" s="28" t="str">
        <x:v>R01-R20; ilgili satırdaki bölgesel fiyat ve maliyet varsayımları</x:v>
      </x:c>
      <x:c r="AP758" s="28" t="str">
        <x:v>Girdi miktarları, alım fiyatı değişimi, fason bedeli ve parti sonucu simüle edilmiştir; işletme kaydı değildir.</x:v>
      </x:c>
    </x:row>
    <x:row r="759" ht="22" customHeight="1">
      <x:c r="A759" t="str">
        <x:v>SUC-0758</x:v>
      </x:c>
      <x:c r="B759" s="36" t="n">
        <x:v>46307</x:v>
      </x:c>
      <x:c r="C759" t="str">
        <x:v>Marmara</x:v>
      </x:c>
      <x:c r="D759" t="str">
        <x:v>MEB_STANDART</x:v>
      </x:c>
      <x:c r="E759" t="str">
        <x:v>Kurum içi</x:v>
      </x:c>
      <x:c r="F759" s="42" t="str">
        <x:v>SENTETİK/SİMÜLE — gerçek parti kaydı değildir</x:v>
      </x:c>
      <x:c r="G759" s="38" t="n">
        <x:v>260.171</x:v>
      </x:c>
      <x:c r="H759" s="38" t="n">
        <x:v>86.276</x:v>
      </x:c>
      <x:c r="I759" s="38" t="n">
        <x:v>16.457</x:v>
      </x:c>
      <x:c r="J759" s="38" t="n">
        <x:v>8.721</x:v>
      </x:c>
      <x:c r="K759" s="38" t="n">
        <x:v>3.328</x:v>
      </x:c>
      <x:c r="L759" s="38" t="n">
        <x:f>SUM(G759:K759)</x:f>
        <x:v>374.953</x:v>
      </x:c>
      <x:c r="M759" s="38" t="n">
        <x:v>468.823</x:v>
      </x:c>
      <x:c r="N759" s="38" t="n">
        <x:v>621.75</x:v>
      </x:c>
      <x:c r="O759" s="38" t="n">
        <x:v>413.8</x:v>
      </x:c>
      <x:c r="P759" s="38" t="n">
        <x:v>550</x:v>
      </x:c>
      <x:c r="Q759" s="38" t="n">
        <x:v>19.88</x:v>
      </x:c>
      <x:c r="R759" s="38" t="n">
        <x:v>43.7475</x:v>
      </x:c>
      <x:c r="S759" s="38" t="n">
        <x:v>83.06</x:v>
      </x:c>
      <x:c r="T759" s="40" t="n">
        <x:v>26.18</x:v>
      </x:c>
      <x:c r="U759" s="40" t="n">
        <x:v>0.39</x:v>
      </x:c>
      <x:c r="V759" s="38" t="n">
        <x:f>L759*(1-T759/100)*(1-U759/100)</x:f>
        <x:v>275.71082241205994</x:v>
      </x:c>
      <x:c r="W759" s="38" t="n">
        <x:f>G759*N759</x:f>
        <x:v>161761.31925</x:v>
      </x:c>
      <x:c r="X759" s="38" t="n">
        <x:f>H759*O759</x:f>
        <x:v>35701.008799999996</x:v>
      </x:c>
      <x:c r="Y759" s="38" t="n">
        <x:f>I759*P759</x:f>
        <x:v>9051.35</x:v>
      </x:c>
      <x:c r="Z759" s="38" t="n">
        <x:f>J759*Q759+K759*P759</x:f>
        <x:v>2003.7734799999998</x:v>
      </x:c>
      <x:c r="AA759" s="38" t="n">
        <x:f>M759*R759</x:f>
        <x:v>20509.8341925</x:v>
      </x:c>
      <x:c r="AB759" s="38" t="n">
        <x:f>SUM(W759:AA759)</x:f>
        <x:v>229027.2857225</x:v>
      </x:c>
      <x:c r="AC759" s="38" t="n">
        <x:v>21.03</x:v>
      </x:c>
      <x:c r="AD759" s="38" t="n">
        <x:v>174.33</x:v>
      </x:c>
      <x:c r="AE759" s="38" t="n">
        <x:v>99.39</x:v>
      </x:c>
      <x:c r="AF759" s="38" t="n">
        <x:v>4.8148</x:v>
      </x:c>
      <x:c r="AG759" s="38" t="n">
        <x:v>5.89</x:v>
      </x:c>
      <x:c r="AH759" s="38" t="n">
        <x:f>IF(E759="Fason",L759*S759,0)</x:f>
        <x:v>0</x:v>
      </x:c>
      <x:c r="AI759" s="38" t="n">
        <x:f>IF(E759="Kurum içi",AC759*AD759+AE759*AF759+AB759*12%,0)</x:f>
        <x:v>31627.9771587</x:v>
      </x:c>
      <x:c r="AJ759" s="38" t="n">
        <x:f>V759*AG759</x:f>
        <x:v>1623.936744007033</x:v>
      </x:c>
      <x:c r="AK759" s="38" t="n">
        <x:f>AB759*2%</x:f>
        <x:v>4580.545714450001</x:v>
      </x:c>
      <x:c r="AL759" s="38" t="n">
        <x:f>AB759+AH759+AI759+AJ759+AK759</x:f>
        <x:v>266859.74533965706</x:v>
      </x:c>
      <x:c r="AM759" s="38" t="n">
        <x:f>AL759/V759</x:f>
        <x:v>967.8972446748041</x:v>
      </x:c>
      <x:c r="AN759" s="40" t="n">
        <x:f>(W759+X759)/AL759*100</x:f>
        <x:v>73.9947974538728</x:v>
      </x:c>
      <x:c r="AO759" s="28" t="str">
        <x:v>R01-R20; ilgili satırdaki bölgesel fiyat ve maliyet varsayımları</x:v>
      </x:c>
      <x:c r="AP759" s="28" t="str">
        <x:v>Girdi miktarları, alım fiyatı değişimi, fason bedeli ve parti sonucu simüle edilmiştir; işletme kaydı değildir.</x:v>
      </x:c>
    </x:row>
    <x:row r="760" ht="22" customHeight="1">
      <x:c r="A760" t="str">
        <x:v>SUC-0759</x:v>
      </x:c>
      <x:c r="B760" s="36" t="n">
        <x:v>46270</x:v>
      </x:c>
      <x:c r="C760" t="str">
        <x:v>Akdeniz</x:v>
      </x:c>
      <x:c r="D760" t="str">
        <x:v>MEB_STANDART</x:v>
      </x:c>
      <x:c r="E760" t="str">
        <x:v>Kurum içi</x:v>
      </x:c>
      <x:c r="F760" s="42" t="str">
        <x:v>SENTETİK/SİMÜLE — gerçek parti kaydı değildir</x:v>
      </x:c>
      <x:c r="G760" s="38" t="n">
        <x:v>51.73</x:v>
      </x:c>
      <x:c r="H760" s="38" t="n">
        <x:v>15.789</x:v>
      </x:c>
      <x:c r="I760" s="38" t="n">
        <x:v>3.11</x:v>
      </x:c>
      <x:c r="J760" s="38" t="n">
        <x:v>1.877</x:v>
      </x:c>
      <x:c r="K760" s="38" t="n">
        <x:v>0.848</x:v>
      </x:c>
      <x:c r="L760" s="38" t="n">
        <x:f>SUM(G760:K760)</x:f>
        <x:v>73.35399999999998</x:v>
      </x:c>
      <x:c r="M760" s="38" t="n">
        <x:v>96.916</x:v>
      </x:c>
      <x:c r="N760" s="38" t="n">
        <x:v>579.77</x:v>
      </x:c>
      <x:c r="O760" s="38" t="n">
        <x:v>471.54</x:v>
      </x:c>
      <x:c r="P760" s="38" t="n">
        <x:v>669.9</x:v>
      </x:c>
      <x:c r="Q760" s="38" t="n">
        <x:v>19.88</x:v>
      </x:c>
      <x:c r="R760" s="38" t="n">
        <x:v>43.7475</x:v>
      </x:c>
      <x:c r="S760" s="38" t="n">
        <x:v>66.1</x:v>
      </x:c>
      <x:c r="T760" s="40" t="n">
        <x:v>20.05</x:v>
      </x:c>
      <x:c r="U760" s="40" t="n">
        <x:v>0.5</x:v>
      </x:c>
      <x:c r="V760" s="38" t="n">
        <x:f>L760*(1-T760/100)*(1-U760/100)</x:f>
        <x:v>58.35329038499999</x:v>
      </x:c>
      <x:c r="W760" s="38" t="n">
        <x:f>G760*N760</x:f>
        <x:v>29991.502099999998</x:v>
      </x:c>
      <x:c r="X760" s="38" t="n">
        <x:f>H760*O760</x:f>
        <x:v>7445.14506</x:v>
      </x:c>
      <x:c r="Y760" s="38" t="n">
        <x:f>I760*P760</x:f>
        <x:v>2083.3889999999997</x:v>
      </x:c>
      <x:c r="Z760" s="38" t="n">
        <x:f>J760*Q760+K760*P760</x:f>
        <x:v>605.38996</x:v>
      </x:c>
      <x:c r="AA760" s="38" t="n">
        <x:f>M760*R760</x:f>
        <x:v>4239.83271</x:v>
      </x:c>
      <x:c r="AB760" s="38" t="n">
        <x:f>SUM(W760:AA760)</x:f>
        <x:v>44365.258830000006</x:v>
      </x:c>
      <x:c r="AC760" s="38" t="n">
        <x:v>2.59</x:v>
      </x:c>
      <x:c r="AD760" s="38" t="n">
        <x:v>174.33</x:v>
      </x:c>
      <x:c r="AE760" s="38" t="n">
        <x:v>25.12</x:v>
      </x:c>
      <x:c r="AF760" s="38" t="n">
        <x:v>4.8148</x:v>
      </x:c>
      <x:c r="AG760" s="38" t="n">
        <x:v>5.12</x:v>
      </x:c>
      <x:c r="AH760" s="38" t="n">
        <x:f>IF(E760="Fason",L760*S760,0)</x:f>
        <x:v>0</x:v>
      </x:c>
      <x:c r="AI760" s="38" t="n">
        <x:f>IF(E760="Kurum içi",AC760*AD760+AE760*AF760+AB760*12%,0)</x:f>
        <x:v>5896.2935356</x:v>
      </x:c>
      <x:c r="AJ760" s="38" t="n">
        <x:f>V760*AG760</x:f>
        <x:v>298.76884677119995</x:v>
      </x:c>
      <x:c r="AK760" s="38" t="n">
        <x:f>AB760*2%</x:f>
        <x:v>887.3051766000001</x:v>
      </x:c>
      <x:c r="AL760" s="38" t="n">
        <x:f>AB760+AH760+AI760+AJ760+AK760</x:f>
        <x:v>51447.626388971206</x:v>
      </x:c>
      <x:c r="AM760" s="38" t="n">
        <x:f>AL760/V760</x:f>
        <x:v>881.657676020204</x:v>
      </x:c>
      <x:c r="AN760" s="40" t="n">
        <x:f>(W760+X760)/AL760*100</x:f>
        <x:v>72.76651963874716</x:v>
      </x:c>
      <x:c r="AO760" s="28" t="str">
        <x:v>R01-R20; ilgili satırdaki bölgesel fiyat ve maliyet varsayımları</x:v>
      </x:c>
      <x:c r="AP760" s="28" t="str">
        <x:v>Girdi miktarları, alım fiyatı değişimi, fason bedeli ve parti sonucu simüle edilmiştir; işletme kaydı değildir.</x:v>
      </x:c>
    </x:row>
    <x:row r="761" ht="22" customHeight="1">
      <x:c r="A761" t="str">
        <x:v>SUC-0760</x:v>
      </x:c>
      <x:c r="B761" s="36" t="n">
        <x:v>46300</x:v>
      </x:c>
      <x:c r="C761" t="str">
        <x:v>Güneydoğu Anadolu</x:v>
      </x:c>
      <x:c r="D761" t="str">
        <x:v>MEB_STANDART</x:v>
      </x:c>
      <x:c r="E761" t="str">
        <x:v>Fason</x:v>
      </x:c>
      <x:c r="F761" s="42" t="str">
        <x:v>SENTETİK/SİMÜLE — gerçek parti kaydı değildir</x:v>
      </x:c>
      <x:c r="G761" s="38" t="n">
        <x:v>346.515</x:v>
      </x:c>
      <x:c r="H761" s="38" t="n">
        <x:v>106.482</x:v>
      </x:c>
      <x:c r="I761" s="38" t="n">
        <x:v>21.008</x:v>
      </x:c>
      <x:c r="J761" s="38" t="n">
        <x:v>11.784</x:v>
      </x:c>
      <x:c r="K761" s="38" t="n">
        <x:v>5.002</x:v>
      </x:c>
      <x:c r="L761" s="38" t="n">
        <x:f>SUM(G761:K761)</x:f>
        <x:v>490.79099999999994</x:v>
      </x:c>
      <x:c r="M761" s="38" t="n">
        <x:v>622.475</x:v>
      </x:c>
      <x:c r="N761" s="38" t="n">
        <x:v>567.55</x:v>
      </x:c>
      <x:c r="O761" s="38" t="n">
        <x:v>454.5</x:v>
      </x:c>
      <x:c r="P761" s="38" t="n">
        <x:v>550</x:v>
      </x:c>
      <x:c r="Q761" s="38" t="n">
        <x:v>19.88</x:v>
      </x:c>
      <x:c r="R761" s="38" t="n">
        <x:v>43.7475</x:v>
      </x:c>
      <x:c r="S761" s="38" t="n">
        <x:v>109.02</x:v>
      </x:c>
      <x:c r="T761" s="40" t="n">
        <x:v>24.72</x:v>
      </x:c>
      <x:c r="U761" s="40" t="n">
        <x:v>0.97</x:v>
      </x:c>
      <x:c r="V761" s="38" t="n">
        <x:f>L761*(1-T761/100)*(1-U761/100)</x:f>
        <x:v>365.88363039143997</x:v>
      </x:c>
      <x:c r="W761" s="38" t="n">
        <x:f>G761*N761</x:f>
        <x:v>196664.58824999997</x:v>
      </x:c>
      <x:c r="X761" s="38" t="n">
        <x:f>H761*O761</x:f>
        <x:v>48396.069</x:v>
      </x:c>
      <x:c r="Y761" s="38" t="n">
        <x:f>I761*P761</x:f>
        <x:v>11554.4</x:v>
      </x:c>
      <x:c r="Z761" s="38" t="n">
        <x:f>J761*Q761+K761*P761</x:f>
        <x:v>2985.3659199999997</x:v>
      </x:c>
      <x:c r="AA761" s="38" t="n">
        <x:f>M761*R761</x:f>
        <x:v>27231.7250625</x:v>
      </x:c>
      <x:c r="AB761" s="38" t="n">
        <x:f>SUM(W761:AA761)</x:f>
        <x:v>286832.1482325</x:v>
      </x:c>
      <x:c r="AC761" s="38" t="n">
        <x:v>18.76</x:v>
      </x:c>
      <x:c r="AD761" s="38" t="n">
        <x:v>174.33</x:v>
      </x:c>
      <x:c r="AE761" s="38" t="n">
        <x:v>137.56</x:v>
      </x:c>
      <x:c r="AF761" s="38" t="n">
        <x:v>4.8148</x:v>
      </x:c>
      <x:c r="AG761" s="38" t="n">
        <x:v>5.65</x:v>
      </x:c>
      <x:c r="AH761" s="38" t="n">
        <x:f>IF(E761="Fason",L761*S761,0)</x:f>
        <x:v>53506.03481999999</x:v>
      </x:c>
      <x:c r="AI761" s="38" t="n">
        <x:f>IF(E761="Kurum içi",AC761*AD761+AE761*AF761+AB761*12%,0)</x:f>
        <x:v>0</x:v>
      </x:c>
      <x:c r="AJ761" s="38" t="n">
        <x:f>V761*AG761</x:f>
        <x:v>2067.242511711636</x:v>
      </x:c>
      <x:c r="AK761" s="38" t="n">
        <x:f>AB761*2%</x:f>
        <x:v>5736.64296465</x:v>
      </x:c>
      <x:c r="AL761" s="38" t="n">
        <x:f>AB761+AH761+AI761+AJ761+AK761</x:f>
        <x:v>348142.0685288616</x:v>
      </x:c>
      <x:c r="AM761" s="38" t="n">
        <x:f>AL761/V761</x:f>
        <x:v>951.5103699949692</x:v>
      </x:c>
      <x:c r="AN761" s="40" t="n">
        <x:f>(W761+X761)/AL761*100</x:f>
        <x:v>70.39099247199539</x:v>
      </x:c>
      <x:c r="AO761" s="28" t="str">
        <x:v>R01-R20; ilgili satırdaki bölgesel fiyat ve maliyet varsayımları</x:v>
      </x:c>
      <x:c r="AP761" s="28" t="str">
        <x:v>Girdi miktarları, alım fiyatı değişimi, fason bedeli ve parti sonucu simüle edilmiştir; işletme kaydı değildir.</x:v>
      </x:c>
    </x:row>
    <x:row r="762" ht="22" customHeight="1">
      <x:c r="A762" t="str">
        <x:v>SUC-0761</x:v>
      </x:c>
      <x:c r="B762" s="36" t="n">
        <x:v>46315</x:v>
      </x:c>
      <x:c r="C762" t="str">
        <x:v>İç Anadolu</x:v>
      </x:c>
      <x:c r="D762" t="str">
        <x:v>ERZURUM_CI</x:v>
      </x:c>
      <x:c r="E762" t="str">
        <x:v>Fason</x:v>
      </x:c>
      <x:c r="F762" s="42" t="str">
        <x:v>SENTETİK/SİMÜLE — gerçek parti kaydı değildir</x:v>
      </x:c>
      <x:c r="G762" s="38" t="n">
        <x:v>279.864</x:v>
      </x:c>
      <x:c r="H762" s="38" t="n">
        <x:v>47.842</x:v>
      </x:c>
      <x:c r="I762" s="38" t="n">
        <x:v>16.985</x:v>
      </x:c>
      <x:c r="J762" s="38" t="n">
        <x:v>5.84</x:v>
      </x:c>
      <x:c r="K762" s="38" t="n">
        <x:v>0.666</x:v>
      </x:c>
      <x:c r="L762" s="38" t="n">
        <x:f>SUM(G762:K762)</x:f>
        <x:v>351.19699999999995</x:v>
      </x:c>
      <x:c r="M762" s="38" t="n">
        <x:v>431.302</x:v>
      </x:c>
      <x:c r="N762" s="38" t="n">
        <x:v>591.86</x:v>
      </x:c>
      <x:c r="O762" s="38" t="n">
        <x:v>430.71</x:v>
      </x:c>
      <x:c r="P762" s="38" t="n">
        <x:v>400</x:v>
      </x:c>
      <x:c r="Q762" s="38" t="n">
        <x:v>19.88</x:v>
      </x:c>
      <x:c r="R762" s="38" t="n">
        <x:v>43.7475</x:v>
      </x:c>
      <x:c r="S762" s="38" t="n">
        <x:v>73.89</x:v>
      </x:c>
      <x:c r="T762" s="40" t="n">
        <x:v>20.77</x:v>
      </x:c>
      <x:c r="U762" s="40" t="n">
        <x:v>1.1</x:v>
      </x:c>
      <x:c r="V762" s="38" t="n">
        <x:f>L762*(1-T762/100)*(1-U762/100)</x:f>
        <x:v>275.19259588589995</x:v>
      </x:c>
      <x:c r="W762" s="38" t="n">
        <x:f>G762*N762</x:f>
        <x:v>165640.30703999999</x:v>
      </x:c>
      <x:c r="X762" s="38" t="n">
        <x:f>H762*O762</x:f>
        <x:v>20606.02782</x:v>
      </x:c>
      <x:c r="Y762" s="38" t="n">
        <x:f>I762*P762</x:f>
        <x:v>6794</x:v>
      </x:c>
      <x:c r="Z762" s="38" t="n">
        <x:f>J762*Q762+K762*P762</x:f>
        <x:v>382.49920000000003</x:v>
      </x:c>
      <x:c r="AA762" s="38" t="n">
        <x:f>M762*R762</x:f>
        <x:v>18868.384245</x:v>
      </x:c>
      <x:c r="AB762" s="38" t="n">
        <x:f>SUM(W762:AA762)</x:f>
        <x:v>212291.21830499996</x:v>
      </x:c>
      <x:c r="AC762" s="38" t="n">
        <x:v>20.91</x:v>
      </x:c>
      <x:c r="AD762" s="38" t="n">
        <x:v>174.33</x:v>
      </x:c>
      <x:c r="AE762" s="38" t="n">
        <x:v>166.09</x:v>
      </x:c>
      <x:c r="AF762" s="38" t="n">
        <x:v>4.8148</x:v>
      </x:c>
      <x:c r="AG762" s="38" t="n">
        <x:v>5.61</x:v>
      </x:c>
      <x:c r="AH762" s="38" t="n">
        <x:f>IF(E762="Fason",L762*S762,0)</x:f>
        <x:v>25949.946329999995</x:v>
      </x:c>
      <x:c r="AI762" s="38" t="n">
        <x:f>IF(E762="Kurum içi",AC762*AD762+AE762*AF762+AB762*12%,0)</x:f>
        <x:v>0</x:v>
      </x:c>
      <x:c r="AJ762" s="38" t="n">
        <x:f>V762*AG762</x:f>
        <x:v>1543.8304629198988</x:v>
      </x:c>
      <x:c r="AK762" s="38" t="n">
        <x:f>AB762*2%</x:f>
        <x:v>4245.8243661</x:v>
      </x:c>
      <x:c r="AL762" s="38" t="n">
        <x:f>AB762+AH762+AI762+AJ762+AK762</x:f>
        <x:v>244030.81946401985</x:v>
      </x:c>
      <x:c r="AM762" s="38" t="n">
        <x:f>AL762/V762</x:f>
        <x:v>886.7637542297819</x:v>
      </x:c>
      <x:c r="AN762" s="40" t="n">
        <x:f>(W762+X762)/AL762*100</x:f>
        <x:v>76.32082507818662</x:v>
      </x:c>
      <x:c r="AO762" s="28" t="str">
        <x:v>R01-R20; ilgili satırdaki bölgesel fiyat ve maliyet varsayımları</x:v>
      </x:c>
      <x:c r="AP762" s="28" t="str">
        <x:v>Girdi miktarları, alım fiyatı değişimi, fason bedeli ve parti sonucu simüle edilmiştir; işletme kaydı değildir.</x:v>
      </x:c>
    </x:row>
    <x:row r="763" ht="22" customHeight="1">
      <x:c r="A763" t="str">
        <x:v>SUC-0762</x:v>
      </x:c>
      <x:c r="B763" s="36" t="n">
        <x:v>46314</x:v>
      </x:c>
      <x:c r="C763" t="str">
        <x:v>Akdeniz</x:v>
      </x:c>
      <x:c r="D763" t="str">
        <x:v>MEB_STANDART</x:v>
      </x:c>
      <x:c r="E763" t="str">
        <x:v>Fason</x:v>
      </x:c>
      <x:c r="F763" s="42" t="str">
        <x:v>SENTETİK/SİMÜLE — gerçek parti kaydı değildir</x:v>
      </x:c>
      <x:c r="G763" s="38" t="n">
        <x:v>251.276</x:v>
      </x:c>
      <x:c r="H763" s="38" t="n">
        <x:v>75.848</x:v>
      </x:c>
      <x:c r="I763" s="38" t="n">
        <x:v>15.454</x:v>
      </x:c>
      <x:c r="J763" s="38" t="n">
        <x:v>9.076</x:v>
      </x:c>
      <x:c r="K763" s="38" t="n">
        <x:v>3.574</x:v>
      </x:c>
      <x:c r="L763" s="38" t="n">
        <x:f>SUM(G763:K763)</x:f>
        <x:v>355.22800000000007</x:v>
      </x:c>
      <x:c r="M763" s="38" t="n">
        <x:v>443.188</x:v>
      </x:c>
      <x:c r="N763" s="38" t="n">
        <x:v>577.37</x:v>
      </x:c>
      <x:c r="O763" s="38" t="n">
        <x:v>478.83</x:v>
      </x:c>
      <x:c r="P763" s="38" t="n">
        <x:v>669.9</x:v>
      </x:c>
      <x:c r="Q763" s="38" t="n">
        <x:v>19.88</x:v>
      </x:c>
      <x:c r="R763" s="38" t="n">
        <x:v>43.7475</x:v>
      </x:c>
      <x:c r="S763" s="38" t="n">
        <x:v>122.14</x:v>
      </x:c>
      <x:c r="T763" s="40" t="n">
        <x:v>15.96</x:v>
      </x:c>
      <x:c r="U763" s="40" t="n">
        <x:v>1.58</x:v>
      </x:c>
      <x:c r="V763" s="38" t="n">
        <x:f>L763*(1-T763/100)*(1-U763/100)</x:f>
        <x:v>293.81678014304003</x:v>
      </x:c>
      <x:c r="W763" s="38" t="n">
        <x:f>G763*N763</x:f>
        <x:v>145079.22412</x:v>
      </x:c>
      <x:c r="X763" s="38" t="n">
        <x:f>H763*O763</x:f>
        <x:v>36318.29784</x:v>
      </x:c>
      <x:c r="Y763" s="38" t="n">
        <x:f>I763*P763</x:f>
        <x:v>10352.6346</x:v>
      </x:c>
      <x:c r="Z763" s="38" t="n">
        <x:f>J763*Q763+K763*P763</x:f>
        <x:v>2574.6534799999995</x:v>
      </x:c>
      <x:c r="AA763" s="38" t="n">
        <x:f>M763*R763</x:f>
        <x:v>19388.36703</x:v>
      </x:c>
      <x:c r="AB763" s="38" t="n">
        <x:f>SUM(W763:AA763)</x:f>
        <x:v>213713.17706999998</x:v>
      </x:c>
      <x:c r="AC763" s="38" t="n">
        <x:v>21.47</x:v>
      </x:c>
      <x:c r="AD763" s="38" t="n">
        <x:v>174.33</x:v>
      </x:c>
      <x:c r="AE763" s="38" t="n">
        <x:v>143.73</x:v>
      </x:c>
      <x:c r="AF763" s="38" t="n">
        <x:v>4.8148</x:v>
      </x:c>
      <x:c r="AG763" s="38" t="n">
        <x:v>5.71</x:v>
      </x:c>
      <x:c r="AH763" s="38" t="n">
        <x:f>IF(E763="Fason",L763*S763,0)</x:f>
        <x:v>43387.54792000001</x:v>
      </x:c>
      <x:c r="AI763" s="38" t="n">
        <x:f>IF(E763="Kurum içi",AC763*AD763+AE763*AF763+AB763*12%,0)</x:f>
        <x:v>0</x:v>
      </x:c>
      <x:c r="AJ763" s="38" t="n">
        <x:f>V763*AG763</x:f>
        <x:v>1677.6938146167586</x:v>
      </x:c>
      <x:c r="AK763" s="38" t="n">
        <x:f>AB763*2%</x:f>
        <x:v>4274.2635414</x:v>
      </x:c>
      <x:c r="AL763" s="38" t="n">
        <x:f>AB763+AH763+AI763+AJ763+AK763</x:f>
        <x:v>263052.68234601675</x:v>
      </x:c>
      <x:c r="AM763" s="38" t="n">
        <x:f>AL763/V763</x:f>
        <x:v>895.294959729508</x:v>
      </x:c>
      <x:c r="AN763" s="40" t="n">
        <x:f>(W763+X763)/AL763*100</x:f>
        <x:v>68.9586284930528</x:v>
      </x:c>
      <x:c r="AO763" s="28" t="str">
        <x:v>R01-R20; ilgili satırdaki bölgesel fiyat ve maliyet varsayımları</x:v>
      </x:c>
      <x:c r="AP763" s="28" t="str">
        <x:v>Girdi miktarları, alım fiyatı değişimi, fason bedeli ve parti sonucu simüle edilmiştir; işletme kaydı değildir.</x:v>
      </x:c>
    </x:row>
    <x:row r="764" ht="22" customHeight="1">
      <x:c r="A764" t="str">
        <x:v>SUC-0763</x:v>
      </x:c>
      <x:c r="B764" s="36" t="n">
        <x:v>46317</x:v>
      </x:c>
      <x:c r="C764" t="str">
        <x:v>İç Anadolu</x:v>
      </x:c>
      <x:c r="D764" t="str">
        <x:v>ERZURUM_CI</x:v>
      </x:c>
      <x:c r="E764" t="str">
        <x:v>Fason</x:v>
      </x:c>
      <x:c r="F764" s="42" t="str">
        <x:v>SENTETİK/SİMÜLE — gerçek parti kaydı değildir</x:v>
      </x:c>
      <x:c r="G764" s="38" t="n">
        <x:v>311.712</x:v>
      </x:c>
      <x:c r="H764" s="38" t="n">
        <x:v>58.139</x:v>
      </x:c>
      <x:c r="I764" s="38" t="n">
        <x:v>19.491</x:v>
      </x:c>
      <x:c r="J764" s="38" t="n">
        <x:v>6.596</x:v>
      </x:c>
      <x:c r="K764" s="38" t="n">
        <x:v>0.684</x:v>
      </x:c>
      <x:c r="L764" s="38" t="n">
        <x:f>SUM(G764:K764)</x:f>
        <x:v>396.622</x:v>
      </x:c>
      <x:c r="M764" s="38" t="n">
        <x:v>522.488</x:v>
      </x:c>
      <x:c r="N764" s="38" t="n">
        <x:v>571.98</x:v>
      </x:c>
      <x:c r="O764" s="38" t="n">
        <x:v>478.89</x:v>
      </x:c>
      <x:c r="P764" s="38" t="n">
        <x:v>400</x:v>
      </x:c>
      <x:c r="Q764" s="38" t="n">
        <x:v>19.88</x:v>
      </x:c>
      <x:c r="R764" s="38" t="n">
        <x:v>43.7475</x:v>
      </x:c>
      <x:c r="S764" s="38" t="n">
        <x:v>123.71</x:v>
      </x:c>
      <x:c r="T764" s="40" t="n">
        <x:v>24.52</x:v>
      </x:c>
      <x:c r="U764" s="40" t="n">
        <x:v>1.39</x:v>
      </x:c>
      <x:c r="V764" s="38" t="n">
        <x:f>L764*(1-T764/100)*(1-U764/100)</x:f>
        <x:v>295.20903863016</x:v>
      </x:c>
      <x:c r="W764" s="38" t="n">
        <x:f>G764*N764</x:f>
        <x:v>178293.02976</x:v>
      </x:c>
      <x:c r="X764" s="38" t="n">
        <x:f>H764*O764</x:f>
        <x:v>27842.18571</x:v>
      </x:c>
      <x:c r="Y764" s="38" t="n">
        <x:f>I764*P764</x:f>
        <x:v>7796.4</x:v>
      </x:c>
      <x:c r="Z764" s="38" t="n">
        <x:f>J764*Q764+K764*P764</x:f>
        <x:v>404.72848</x:v>
      </x:c>
      <x:c r="AA764" s="38" t="n">
        <x:f>M764*R764</x:f>
        <x:v>22857.543780000004</x:v>
      </x:c>
      <x:c r="AB764" s="38" t="n">
        <x:f>SUM(W764:AA764)</x:f>
        <x:v>237193.88773</x:v>
      </x:c>
      <x:c r="AC764" s="38" t="n">
        <x:v>23.19</x:v>
      </x:c>
      <x:c r="AD764" s="38" t="n">
        <x:v>174.33</x:v>
      </x:c>
      <x:c r="AE764" s="38" t="n">
        <x:v>145.28</x:v>
      </x:c>
      <x:c r="AF764" s="38" t="n">
        <x:v>4.8148</x:v>
      </x:c>
      <x:c r="AG764" s="38" t="n">
        <x:v>5.85</x:v>
      </x:c>
      <x:c r="AH764" s="38" t="n">
        <x:f>IF(E764="Fason",L764*S764,0)</x:f>
        <x:v>49066.10762</x:v>
      </x:c>
      <x:c r="AI764" s="38" t="n">
        <x:f>IF(E764="Kurum içi",AC764*AD764+AE764*AF764+AB764*12%,0)</x:f>
        <x:v>0</x:v>
      </x:c>
      <x:c r="AJ764" s="38" t="n">
        <x:f>V764*AG764</x:f>
        <x:v>1726.972875986436</x:v>
      </x:c>
      <x:c r="AK764" s="38" t="n">
        <x:f>AB764*2%</x:f>
        <x:v>4743.8777546</x:v>
      </x:c>
      <x:c r="AL764" s="38" t="n">
        <x:f>AB764+AH764+AI764+AJ764+AK764</x:f>
        <x:v>292730.8459805864</x:v>
      </x:c>
      <x:c r="AM764" s="38" t="n">
        <x:f>AL764/V764</x:f>
        <x:v>991.6052954846065</x:v>
      </x:c>
      <x:c r="AN764" s="40" t="n">
        <x:f>(W764+X764)/AL764*100</x:f>
        <x:v>70.41800285155827</x:v>
      </x:c>
      <x:c r="AO764" s="28" t="str">
        <x:v>R01-R20; ilgili satırdaki bölgesel fiyat ve maliyet varsayımları</x:v>
      </x:c>
      <x:c r="AP764" s="28" t="str">
        <x:v>Girdi miktarları, alım fiyatı değişimi, fason bedeli ve parti sonucu simüle edilmiştir; işletme kaydı değildir.</x:v>
      </x:c>
    </x:row>
    <x:row r="765" ht="22" customHeight="1">
      <x:c r="A765" t="str">
        <x:v>SUC-0764</x:v>
      </x:c>
      <x:c r="B765" s="36" t="n">
        <x:v>46296</x:v>
      </x:c>
      <x:c r="C765" t="str">
        <x:v>İç Anadolu</x:v>
      </x:c>
      <x:c r="D765" t="str">
        <x:v>ERZURUM_CI</x:v>
      </x:c>
      <x:c r="E765" t="str">
        <x:v>Fason</x:v>
      </x:c>
      <x:c r="F765" s="42" t="str">
        <x:v>SENTETİK/SİMÜLE — gerçek parti kaydı değildir</x:v>
      </x:c>
      <x:c r="G765" s="38" t="n">
        <x:v>219.991</x:v>
      </x:c>
      <x:c r="H765" s="38" t="n">
        <x:v>38.458</x:v>
      </x:c>
      <x:c r="I765" s="38" t="n">
        <x:v>12.114</x:v>
      </x:c>
      <x:c r="J765" s="38" t="n">
        <x:v>4.349</x:v>
      </x:c>
      <x:c r="K765" s="38" t="n">
        <x:v>0.039</x:v>
      </x:c>
      <x:c r="L765" s="38" t="n">
        <x:f>SUM(G765:K765)</x:f>
        <x:v>274.95099999999996</x:v>
      </x:c>
      <x:c r="M765" s="38" t="n">
        <x:v>321.617</x:v>
      </x:c>
      <x:c r="N765" s="38" t="n">
        <x:v>580.8</x:v>
      </x:c>
      <x:c r="O765" s="38" t="n">
        <x:v>467.41</x:v>
      </x:c>
      <x:c r="P765" s="38" t="n">
        <x:v>550</x:v>
      </x:c>
      <x:c r="Q765" s="38" t="n">
        <x:v>19.88</x:v>
      </x:c>
      <x:c r="R765" s="38" t="n">
        <x:v>43.7475</x:v>
      </x:c>
      <x:c r="S765" s="38" t="n">
        <x:v>98.38</x:v>
      </x:c>
      <x:c r="T765" s="40" t="n">
        <x:v>30.66</x:v>
      </x:c>
      <x:c r="U765" s="40" t="n">
        <x:v>1.77</x:v>
      </x:c>
      <x:c r="V765" s="38" t="n">
        <x:f>L765*(1-T765/100)*(1-U765/100)</x:f>
        <x:v>187.27650028581996</x:v>
      </x:c>
      <x:c r="W765" s="38" t="n">
        <x:f>G765*N765</x:f>
        <x:v>127770.77279999999</x:v>
      </x:c>
      <x:c r="X765" s="38" t="n">
        <x:f>H765*O765</x:f>
        <x:v>17975.65378</x:v>
      </x:c>
      <x:c r="Y765" s="38" t="n">
        <x:f>I765*P765</x:f>
        <x:v>6662.700000000001</x:v>
      </x:c>
      <x:c r="Z765" s="38" t="n">
        <x:f>J765*Q765+K765*P765</x:f>
        <x:v>107.90812</x:v>
      </x:c>
      <x:c r="AA765" s="38" t="n">
        <x:f>M765*R765</x:f>
        <x:v>14069.939707500002</x:v>
      </x:c>
      <x:c r="AB765" s="38" t="n">
        <x:f>SUM(W765:AA765)</x:f>
        <x:v>166586.9744075</x:v>
      </x:c>
      <x:c r="AC765" s="38" t="n">
        <x:v>18.54</x:v>
      </x:c>
      <x:c r="AD765" s="38" t="n">
        <x:v>174.33</x:v>
      </x:c>
      <x:c r="AE765" s="38" t="n">
        <x:v>69.25</x:v>
      </x:c>
      <x:c r="AF765" s="38" t="n">
        <x:v>4.8148</x:v>
      </x:c>
      <x:c r="AG765" s="38" t="n">
        <x:v>5.64</x:v>
      </x:c>
      <x:c r="AH765" s="38" t="n">
        <x:f>IF(E765="Fason",L765*S765,0)</x:f>
        <x:v>27049.679379999994</x:v>
      </x:c>
      <x:c r="AI765" s="38" t="n">
        <x:f>IF(E765="Kurum içi",AC765*AD765+AE765*AF765+AB765*12%,0)</x:f>
        <x:v>0</x:v>
      </x:c>
      <x:c r="AJ765" s="38" t="n">
        <x:f>V765*AG765</x:f>
        <x:v>1056.2394616120246</x:v>
      </x:c>
      <x:c r="AK765" s="38" t="n">
        <x:f>AB765*2%</x:f>
        <x:v>3331.7394881500004</x:v>
      </x:c>
      <x:c r="AL765" s="38" t="n">
        <x:f>AB765+AH765+AI765+AJ765+AK765</x:f>
        <x:v>198024.632737262</x:v>
      </x:c>
      <x:c r="AM765" s="38" t="n">
        <x:f>AL765/V765</x:f>
        <x:v>1057.391783993391</x:v>
      </x:c>
      <x:c r="AN765" s="40" t="n">
        <x:f>(W765+X765)/AL765*100</x:f>
        <x:v>73.60014992345702</x:v>
      </x:c>
      <x:c r="AO765" s="28" t="str">
        <x:v>R01-R20; ilgili satırdaki bölgesel fiyat ve maliyet varsayımları</x:v>
      </x:c>
      <x:c r="AP765" s="28" t="str">
        <x:v>Girdi miktarları, alım fiyatı değişimi, fason bedeli ve parti sonucu simüle edilmiştir; işletme kaydı değildir.</x:v>
      </x:c>
    </x:row>
    <x:row r="766" ht="22" customHeight="1">
      <x:c r="A766" t="str">
        <x:v>SUC-0765</x:v>
      </x:c>
      <x:c r="B766" s="36" t="n">
        <x:v>46302</x:v>
      </x:c>
      <x:c r="C766" t="str">
        <x:v>Marmara</x:v>
      </x:c>
      <x:c r="D766" t="str">
        <x:v>ERZURUM_CI</x:v>
      </x:c>
      <x:c r="E766" t="str">
        <x:v>Kurum içi</x:v>
      </x:c>
      <x:c r="F766" s="42" t="str">
        <x:v>SENTETİK/SİMÜLE — gerçek parti kaydı değildir</x:v>
      </x:c>
      <x:c r="G766" s="38" t="n">
        <x:v>115.627</x:v>
      </x:c>
      <x:c r="H766" s="38" t="n">
        <x:v>20.137</x:v>
      </x:c>
      <x:c r="I766" s="38" t="n">
        <x:v>6.554</x:v>
      </x:c>
      <x:c r="J766" s="38" t="n">
        <x:v>2.278</x:v>
      </x:c>
      <x:c r="K766" s="38" t="n">
        <x:v>0.083</x:v>
      </x:c>
      <x:c r="L766" s="38" t="n">
        <x:f>SUM(G766:K766)</x:f>
        <x:v>144.679</x:v>
      </x:c>
      <x:c r="M766" s="38" t="n">
        <x:v>173.94</x:v>
      </x:c>
      <x:c r="N766" s="38" t="n">
        <x:v>595.58</x:v>
      </x:c>
      <x:c r="O766" s="38" t="n">
        <x:v>451.09</x:v>
      </x:c>
      <x:c r="P766" s="38" t="n">
        <x:v>400</x:v>
      </x:c>
      <x:c r="Q766" s="38" t="n">
        <x:v>19.88</x:v>
      </x:c>
      <x:c r="R766" s="38" t="n">
        <x:v>43.7475</x:v>
      </x:c>
      <x:c r="S766" s="38" t="n">
        <x:v>93.61</x:v>
      </x:c>
      <x:c r="T766" s="40" t="n">
        <x:v>27.31</x:v>
      </x:c>
      <x:c r="U766" s="40" t="n">
        <x:v>1.01</x:v>
      </x:c>
      <x:c r="V766" s="38" t="n">
        <x:f>L766*(1-T766/100)*(1-U766/100)</x:f>
        <x:v>104.10497673249</x:v>
      </x:c>
      <x:c r="W766" s="38" t="n">
        <x:f>G766*N766</x:f>
        <x:v>68865.12866</x:v>
      </x:c>
      <x:c r="X766" s="38" t="n">
        <x:f>H766*O766</x:f>
        <x:v>9083.59933</x:v>
      </x:c>
      <x:c r="Y766" s="38" t="n">
        <x:f>I766*P766</x:f>
        <x:v>2621.6</x:v>
      </x:c>
      <x:c r="Z766" s="38" t="n">
        <x:f>J766*Q766+K766*P766</x:f>
        <x:v>78.48664</x:v>
      </x:c>
      <x:c r="AA766" s="38" t="n">
        <x:f>M766*R766</x:f>
        <x:v>7609.44015</x:v>
      </x:c>
      <x:c r="AB766" s="38" t="n">
        <x:f>SUM(W766:AA766)</x:f>
        <x:v>88258.25478</x:v>
      </x:c>
      <x:c r="AC766" s="38" t="n">
        <x:v>8.48</x:v>
      </x:c>
      <x:c r="AD766" s="38" t="n">
        <x:v>174.33</x:v>
      </x:c>
      <x:c r="AE766" s="38" t="n">
        <x:v>55.03</x:v>
      </x:c>
      <x:c r="AF766" s="38" t="n">
        <x:v>4.8148</x:v>
      </x:c>
      <x:c r="AG766" s="38" t="n">
        <x:v>5.21</x:v>
      </x:c>
      <x:c r="AH766" s="38" t="n">
        <x:f>IF(E766="Fason",L766*S766,0)</x:f>
        <x:v>0</x:v>
      </x:c>
      <x:c r="AI766" s="38" t="n">
        <x:f>IF(E766="Kurum içi",AC766*AD766+AE766*AF766+AB766*12%,0)</x:f>
        <x:v>12334.2674176</x:v>
      </x:c>
      <x:c r="AJ766" s="38" t="n">
        <x:f>V766*AG766</x:f>
        <x:v>542.386928776273</x:v>
      </x:c>
      <x:c r="AK766" s="38" t="n">
        <x:f>AB766*2%</x:f>
        <x:v>1765.1650956</x:v>
      </x:c>
      <x:c r="AL766" s="38" t="n">
        <x:f>AB766+AH766+AI766+AJ766+AK766</x:f>
        <x:v>102900.07422197628</x:v>
      </x:c>
      <x:c r="AM766" s="38" t="n">
        <x:f>AL766/V766</x:f>
        <x:v>988.4260815541041</x:v>
      </x:c>
      <x:c r="AN766" s="40" t="n">
        <x:f>(W766+X766)/AL766*100</x:f>
        <x:v>75.751867604924</x:v>
      </x:c>
      <x:c r="AO766" s="28" t="str">
        <x:v>R01-R20; ilgili satırdaki bölgesel fiyat ve maliyet varsayımları</x:v>
      </x:c>
      <x:c r="AP766" s="28" t="str">
        <x:v>Girdi miktarları, alım fiyatı değişimi, fason bedeli ve parti sonucu simüle edilmiştir; işletme kaydı değildir.</x:v>
      </x:c>
    </x:row>
    <x:row r="767" ht="22" customHeight="1">
      <x:c r="A767" t="str">
        <x:v>SUC-0766</x:v>
      </x:c>
      <x:c r="B767" s="36" t="n">
        <x:v>46317</x:v>
      </x:c>
      <x:c r="C767" t="str">
        <x:v>Marmara</x:v>
      </x:c>
      <x:c r="D767" t="str">
        <x:v>MEB_STANDART</x:v>
      </x:c>
      <x:c r="E767" t="str">
        <x:v>Fason</x:v>
      </x:c>
      <x:c r="F767" s="42" t="str">
        <x:v>SENTETİK/SİMÜLE — gerçek parti kaydı değildir</x:v>
      </x:c>
      <x:c r="G767" s="38" t="n">
        <x:v>135.762</x:v>
      </x:c>
      <x:c r="H767" s="38" t="n">
        <x:v>40.731</x:v>
      </x:c>
      <x:c r="I767" s="38" t="n">
        <x:v>8.333</x:v>
      </x:c>
      <x:c r="J767" s="38" t="n">
        <x:v>4.5</x:v>
      </x:c>
      <x:c r="K767" s="38" t="n">
        <x:v>1.882</x:v>
      </x:c>
      <x:c r="L767" s="38" t="n">
        <x:f>SUM(G767:K767)</x:f>
        <x:v>191.208</x:v>
      </x:c>
      <x:c r="M767" s="38" t="n">
        <x:v>240.001</x:v>
      </x:c>
      <x:c r="N767" s="38" t="n">
        <x:v>605.05</x:v>
      </x:c>
      <x:c r="O767" s="38" t="n">
        <x:v>417.4</x:v>
      </x:c>
      <x:c r="P767" s="38" t="n">
        <x:v>550</x:v>
      </x:c>
      <x:c r="Q767" s="38" t="n">
        <x:v>19.88</x:v>
      </x:c>
      <x:c r="R767" s="38" t="n">
        <x:v>43.7475</x:v>
      </x:c>
      <x:c r="S767" s="38" t="n">
        <x:v>117.3</x:v>
      </x:c>
      <x:c r="T767" s="40" t="n">
        <x:v>20.7</x:v>
      </x:c>
      <x:c r="U767" s="40" t="n">
        <x:v>0.98</x:v>
      </x:c>
      <x:c r="V767" s="38" t="n">
        <x:f>L767*(1-T767/100)*(1-U767/100)</x:f>
        <x:v>150.1419901488</x:v>
      </x:c>
      <x:c r="W767" s="38" t="n">
        <x:f>G767*N767</x:f>
        <x:v>82142.7981</x:v>
      </x:c>
      <x:c r="X767" s="38" t="n">
        <x:f>H767*O767</x:f>
        <x:v>17001.1194</x:v>
      </x:c>
      <x:c r="Y767" s="38" t="n">
        <x:f>I767*P767</x:f>
        <x:v>4583.150000000001</x:v>
      </x:c>
      <x:c r="Z767" s="38" t="n">
        <x:f>J767*Q767+K767*P767</x:f>
        <x:v>1124.56</x:v>
      </x:c>
      <x:c r="AA767" s="38" t="n">
        <x:f>M767*R767</x:f>
        <x:v>10499.443747500001</x:v>
      </x:c>
      <x:c r="AB767" s="38" t="n">
        <x:f>SUM(W767:AA767)</x:f>
        <x:v>115351.07124749999</x:v>
      </x:c>
      <x:c r="AC767" s="38" t="n">
        <x:v>8.84</x:v>
      </x:c>
      <x:c r="AD767" s="38" t="n">
        <x:v>174.33</x:v>
      </x:c>
      <x:c r="AE767" s="38" t="n">
        <x:v>89.22</x:v>
      </x:c>
      <x:c r="AF767" s="38" t="n">
        <x:v>4.8148</x:v>
      </x:c>
      <x:c r="AG767" s="38" t="n">
        <x:v>5.48</x:v>
      </x:c>
      <x:c r="AH767" s="38" t="n">
        <x:f>IF(E767="Fason",L767*S767,0)</x:f>
        <x:v>22428.698399999997</x:v>
      </x:c>
      <x:c r="AI767" s="38" t="n">
        <x:f>IF(E767="Kurum içi",AC767*AD767+AE767*AF767+AB767*12%,0)</x:f>
        <x:v>0</x:v>
      </x:c>
      <x:c r="AJ767" s="38" t="n">
        <x:f>V767*AG767</x:f>
        <x:v>822.7781060154241</x:v>
      </x:c>
      <x:c r="AK767" s="38" t="n">
        <x:f>AB767*2%</x:f>
        <x:v>2307.02142495</x:v>
      </x:c>
      <x:c r="AL767" s="38" t="n">
        <x:f>AB767+AH767+AI767+AJ767+AK767</x:f>
        <x:v>140909.56917846543</x:v>
      </x:c>
      <x:c r="AM767" s="38" t="n">
        <x:f>AL767/V767</x:f>
        <x:v>938.5087345573036</x:v>
      </x:c>
      <x:c r="AN767" s="40" t="n">
        <x:f>(W767+X767)/AL767*100</x:f>
        <x:v>70.35996070247847</x:v>
      </x:c>
      <x:c r="AO767" s="28" t="str">
        <x:v>R01-R20; ilgili satırdaki bölgesel fiyat ve maliyet varsayımları</x:v>
      </x:c>
      <x:c r="AP767" s="28" t="str">
        <x:v>Girdi miktarları, alım fiyatı değişimi, fason bedeli ve parti sonucu simüle edilmiştir; işletme kaydı değildir.</x:v>
      </x:c>
    </x:row>
    <x:row r="768" ht="22" customHeight="1">
      <x:c r="A768" t="str">
        <x:v>SUC-0767</x:v>
      </x:c>
      <x:c r="B768" s="36" t="n">
        <x:v>46274</x:v>
      </x:c>
      <x:c r="C768" t="str">
        <x:v>Marmara</x:v>
      </x:c>
      <x:c r="D768" t="str">
        <x:v>MEB_STANDART</x:v>
      </x:c>
      <x:c r="E768" t="str">
        <x:v>Kurum içi</x:v>
      </x:c>
      <x:c r="F768" s="42" t="str">
        <x:v>SENTETİK/SİMÜLE — gerçek parti kaydı değildir</x:v>
      </x:c>
      <x:c r="G768" s="38" t="n">
        <x:v>174.681</x:v>
      </x:c>
      <x:c r="H768" s="38" t="n">
        <x:v>56.708</x:v>
      </x:c>
      <x:c r="I768" s="38" t="n">
        <x:v>11.19</x:v>
      </x:c>
      <x:c r="J768" s="38" t="n">
        <x:v>6.766</x:v>
      </x:c>
      <x:c r="K768" s="38" t="n">
        <x:v>2.756</x:v>
      </x:c>
      <x:c r="L768" s="38" t="n">
        <x:f>SUM(G768:K768)</x:f>
        <x:v>252.101</x:v>
      </x:c>
      <x:c r="M768" s="38" t="n">
        <x:v>305.832</x:v>
      </x:c>
      <x:c r="N768" s="38" t="n">
        <x:v>598.97</x:v>
      </x:c>
      <x:c r="O768" s="38" t="n">
        <x:v>473.02</x:v>
      </x:c>
      <x:c r="P768" s="38" t="n">
        <x:v>669.9</x:v>
      </x:c>
      <x:c r="Q768" s="38" t="n">
        <x:v>19.88</x:v>
      </x:c>
      <x:c r="R768" s="38" t="n">
        <x:v>43.7475</x:v>
      </x:c>
      <x:c r="S768" s="38" t="n">
        <x:v>94.79</x:v>
      </x:c>
      <x:c r="T768" s="40" t="n">
        <x:v>25.73</x:v>
      </x:c>
      <x:c r="U768" s="40" t="n">
        <x:v>0.63</x:v>
      </x:c>
      <x:c r="V768" s="38" t="n">
        <x:f>L768*(1-T768/100)*(1-U768/100)</x:f>
        <x:v>186.05582959998998</x:v>
      </x:c>
      <x:c r="W768" s="38" t="n">
        <x:f>G768*N768</x:f>
        <x:v>104628.67857000002</x:v>
      </x:c>
      <x:c r="X768" s="38" t="n">
        <x:f>H768*O768</x:f>
        <x:v>26824.01816</x:v>
      </x:c>
      <x:c r="Y768" s="38" t="n">
        <x:f>I768*P768</x:f>
        <x:v>7496.181</x:v>
      </x:c>
      <x:c r="Z768" s="38" t="n">
        <x:f>J768*Q768+K768*P768</x:f>
        <x:v>1980.7524799999999</x:v>
      </x:c>
      <x:c r="AA768" s="38" t="n">
        <x:f>M768*R768</x:f>
        <x:v>13379.38542</x:v>
      </x:c>
      <x:c r="AB768" s="38" t="n">
        <x:f>SUM(W768:AA768)</x:f>
        <x:v>154309.01563000004</x:v>
      </x:c>
      <x:c r="AC768" s="38" t="n">
        <x:v>12.2</x:v>
      </x:c>
      <x:c r="AD768" s="38" t="n">
        <x:v>174.33</x:v>
      </x:c>
      <x:c r="AE768" s="38" t="n">
        <x:v>83.47</x:v>
      </x:c>
      <x:c r="AF768" s="38" t="n">
        <x:v>4.8148</x:v>
      </x:c>
      <x:c r="AG768" s="38" t="n">
        <x:v>5.16</x:v>
      </x:c>
      <x:c r="AH768" s="38" t="n">
        <x:f>IF(E768="Fason",L768*S768,0)</x:f>
        <x:v>0</x:v>
      </x:c>
      <x:c r="AI768" s="38" t="n">
        <x:f>IF(E768="Kurum içi",AC768*AD768+AE768*AF768+AB768*12%,0)</x:f>
        <x:v>21045.799231600005</x:v>
      </x:c>
      <x:c r="AJ768" s="38" t="n">
        <x:f>V768*AG768</x:f>
        <x:v>960.0480807359484</x:v>
      </x:c>
      <x:c r="AK768" s="38" t="n">
        <x:f>AB768*2%</x:f>
        <x:v>3086.180312600001</x:v>
      </x:c>
      <x:c r="AL768" s="38" t="n">
        <x:f>AB768+AH768+AI768+AJ768+AK768</x:f>
        <x:v>179401.043254936</x:v>
      </x:c>
      <x:c r="AM768" s="38" t="n">
        <x:f>AL768/V768</x:f>
        <x:v>964.2323147876559</x:v>
      </x:c>
      <x:c r="AN768" s="40" t="n">
        <x:f>(W768+X768)/AL768*100</x:f>
        <x:v>73.2730949302232</x:v>
      </x:c>
      <x:c r="AO768" s="28" t="str">
        <x:v>R01-R20; ilgili satırdaki bölgesel fiyat ve maliyet varsayımları</x:v>
      </x:c>
      <x:c r="AP768" s="28" t="str">
        <x:v>Girdi miktarları, alım fiyatı değişimi, fason bedeli ve parti sonucu simüle edilmiştir; işletme kaydı değildir.</x:v>
      </x:c>
    </x:row>
    <x:row r="769" ht="22" customHeight="1">
      <x:c r="A769" t="str">
        <x:v>SUC-0768</x:v>
      </x:c>
      <x:c r="B769" s="36" t="n">
        <x:v>46290</x:v>
      </x:c>
      <x:c r="C769" t="str">
        <x:v>İç Anadolu</x:v>
      </x:c>
      <x:c r="D769" t="str">
        <x:v>ERZURUM_CI</x:v>
      </x:c>
      <x:c r="E769" t="str">
        <x:v>Kurum içi</x:v>
      </x:c>
      <x:c r="F769" s="42" t="str">
        <x:v>SENTETİK/SİMÜLE — gerçek parti kaydı değildir</x:v>
      </x:c>
      <x:c r="G769" s="38" t="n">
        <x:v>160.458</x:v>
      </x:c>
      <x:c r="H769" s="38" t="n">
        <x:v>27.287</x:v>
      </x:c>
      <x:c r="I769" s="38" t="n">
        <x:v>9.526</x:v>
      </x:c>
      <x:c r="J769" s="38" t="n">
        <x:v>3.623</x:v>
      </x:c>
      <x:c r="K769" s="38" t="n">
        <x:v>0.331</x:v>
      </x:c>
      <x:c r="L769" s="38" t="n">
        <x:f>SUM(G769:K769)</x:f>
        <x:v>201.225</x:v>
      </x:c>
      <x:c r="M769" s="38" t="n">
        <x:v>255.281</x:v>
      </x:c>
      <x:c r="N769" s="38" t="n">
        <x:v>587.22</x:v>
      </x:c>
      <x:c r="O769" s="38" t="n">
        <x:v>476.38</x:v>
      </x:c>
      <x:c r="P769" s="38" t="n">
        <x:v>669.9</x:v>
      </x:c>
      <x:c r="Q769" s="38" t="n">
        <x:v>19.88</x:v>
      </x:c>
      <x:c r="R769" s="38" t="n">
        <x:v>43.7475</x:v>
      </x:c>
      <x:c r="S769" s="38" t="n">
        <x:v>99.43</x:v>
      </x:c>
      <x:c r="T769" s="40" t="n">
        <x:v>31</x:v>
      </x:c>
      <x:c r="U769" s="40" t="n">
        <x:v>0.82</x:v>
      </x:c>
      <x:c r="V769" s="38" t="n">
        <x:f>L769*(1-T769/100)*(1-U769/100)</x:f>
        <x:v>137.70671894999998</x:v>
      </x:c>
      <x:c r="W769" s="38" t="n">
        <x:f>G769*N769</x:f>
        <x:v>94224.14676</x:v>
      </x:c>
      <x:c r="X769" s="38" t="n">
        <x:f>H769*O769</x:f>
        <x:v>12998.98106</x:v>
      </x:c>
      <x:c r="Y769" s="38" t="n">
        <x:f>I769*P769</x:f>
        <x:v>6381.4673999999995</x:v>
      </x:c>
      <x:c r="Z769" s="38" t="n">
        <x:f>J769*Q769+K769*P769</x:f>
        <x:v>293.76214</x:v>
      </x:c>
      <x:c r="AA769" s="38" t="n">
        <x:f>M769*R769</x:f>
        <x:v>11167.9055475</x:v>
      </x:c>
      <x:c r="AB769" s="38" t="n">
        <x:f>SUM(W769:AA769)</x:f>
        <x:v>125066.26290750001</x:v>
      </x:c>
      <x:c r="AC769" s="38" t="n">
        <x:v>8.92</x:v>
      </x:c>
      <x:c r="AD769" s="38" t="n">
        <x:v>174.33</x:v>
      </x:c>
      <x:c r="AE769" s="38" t="n">
        <x:v>70.92</x:v>
      </x:c>
      <x:c r="AF769" s="38" t="n">
        <x:v>4.8148</x:v>
      </x:c>
      <x:c r="AG769" s="38" t="n">
        <x:v>5.21</x:v>
      </x:c>
      <x:c r="AH769" s="38" t="n">
        <x:f>IF(E769="Fason",L769*S769,0)</x:f>
        <x:v>0</x:v>
      </x:c>
      <x:c r="AI769" s="38" t="n">
        <x:f>IF(E769="Kurum içi",AC769*AD769+AE769*AF769+AB769*12%,0)</x:f>
        <x:v>16904.4407649</x:v>
      </x:c>
      <x:c r="AJ769" s="38" t="n">
        <x:f>V769*AG769</x:f>
        <x:v>717.4520057294999</x:v>
      </x:c>
      <x:c r="AK769" s="38" t="n">
        <x:f>AB769*2%</x:f>
        <x:v>2501.3252581500005</x:v>
      </x:c>
      <x:c r="AL769" s="38" t="n">
        <x:f>AB769+AH769+AI769+AJ769+AK769</x:f>
        <x:v>145189.4809362795</x:v>
      </x:c>
      <x:c r="AM769" s="38" t="n">
        <x:f>AL769/V769</x:f>
        <x:v>1054.3383942579915</x:v>
      </x:c>
      <x:c r="AN769" s="40" t="n">
        <x:f>(W769+X769)/AL769*100</x:f>
        <x:v>73.85047947589118</x:v>
      </x:c>
      <x:c r="AO769" s="28" t="str">
        <x:v>R01-R20; ilgili satırdaki bölgesel fiyat ve maliyet varsayımları</x:v>
      </x:c>
      <x:c r="AP769" s="28" t="str">
        <x:v>Girdi miktarları, alım fiyatı değişimi, fason bedeli ve parti sonucu simüle edilmiştir; işletme kaydı değildir.</x:v>
      </x:c>
    </x:row>
    <x:row r="770" ht="22" customHeight="1">
      <x:c r="A770" t="str">
        <x:v>SUC-0769</x:v>
      </x:c>
      <x:c r="B770" s="36" t="n">
        <x:v>46276</x:v>
      </x:c>
      <x:c r="C770" t="str">
        <x:v>Ege</x:v>
      </x:c>
      <x:c r="D770" t="str">
        <x:v>ERZURUM_CI</x:v>
      </x:c>
      <x:c r="E770" t="str">
        <x:v>Kurum içi</x:v>
      </x:c>
      <x:c r="F770" s="42" t="str">
        <x:v>SENTETİK/SİMÜLE — gerçek parti kaydı değildir</x:v>
      </x:c>
      <x:c r="G770" s="38" t="n">
        <x:v>326.91</x:v>
      </x:c>
      <x:c r="H770" s="38" t="n">
        <x:v>60.333</x:v>
      </x:c>
      <x:c r="I770" s="38" t="n">
        <x:v>20.274</x:v>
      </x:c>
      <x:c r="J770" s="38" t="n">
        <x:v>6.116</x:v>
      </x:c>
      <x:c r="K770" s="38" t="n">
        <x:v>0.042</x:v>
      </x:c>
      <x:c r="L770" s="38" t="n">
        <x:f>SUM(G770:K770)</x:f>
        <x:v>413.675</x:v>
      </x:c>
      <x:c r="M770" s="38" t="n">
        <x:v>523.831</x:v>
      </x:c>
      <x:c r="N770" s="38" t="n">
        <x:v>601.29</x:v>
      </x:c>
      <x:c r="O770" s="38" t="n">
        <x:v>471.73</x:v>
      </x:c>
      <x:c r="P770" s="38" t="n">
        <x:v>550</x:v>
      </x:c>
      <x:c r="Q770" s="38" t="n">
        <x:v>19.88</x:v>
      </x:c>
      <x:c r="R770" s="38" t="n">
        <x:v>43.7475</x:v>
      </x:c>
      <x:c r="S770" s="38" t="n">
        <x:v>95.67</x:v>
      </x:c>
      <x:c r="T770" s="40" t="n">
        <x:v>23.4</x:v>
      </x:c>
      <x:c r="U770" s="40" t="n">
        <x:v>0.33</x:v>
      </x:c>
      <x:c r="V770" s="38" t="n">
        <x:f>L770*(1-T770/100)*(1-U770/100)</x:f>
        <x:v>315.829362335</x:v>
      </x:c>
      <x:c r="W770" s="38" t="n">
        <x:f>G770*N770</x:f>
        <x:v>196567.7139</x:v>
      </x:c>
      <x:c r="X770" s="38" t="n">
        <x:f>H770*O770</x:f>
        <x:v>28460.88609</x:v>
      </x:c>
      <x:c r="Y770" s="38" t="n">
        <x:f>I770*P770</x:f>
        <x:v>11150.7</x:v>
      </x:c>
      <x:c r="Z770" s="38" t="n">
        <x:f>J770*Q770+K770*P770</x:f>
        <x:v>144.68607999999998</x:v>
      </x:c>
      <x:c r="AA770" s="38" t="n">
        <x:f>M770*R770</x:f>
        <x:v>22916.2966725</x:v>
      </x:c>
      <x:c r="AB770" s="38" t="n">
        <x:f>SUM(W770:AA770)</x:f>
        <x:v>259240.28274250004</x:v>
      </x:c>
      <x:c r="AC770" s="38" t="n">
        <x:v>21.35</x:v>
      </x:c>
      <x:c r="AD770" s="38" t="n">
        <x:v>174.33</x:v>
      </x:c>
      <x:c r="AE770" s="38" t="n">
        <x:v>153.32</x:v>
      </x:c>
      <x:c r="AF770" s="38" t="n">
        <x:v>4.8148</x:v>
      </x:c>
      <x:c r="AG770" s="38" t="n">
        <x:v>5.16</x:v>
      </x:c>
      <x:c r="AH770" s="38" t="n">
        <x:f>IF(E770="Fason",L770*S770,0)</x:f>
        <x:v>0</x:v>
      </x:c>
      <x:c r="AI770" s="38" t="n">
        <x:f>IF(E770="Kurum içi",AC770*AD770+AE770*AF770+AB770*12%,0)</x:f>
        <x:v>35568.98456510001</x:v>
      </x:c>
      <x:c r="AJ770" s="38" t="n">
        <x:f>V770*AG770</x:f>
        <x:v>1629.6795096486</x:v>
      </x:c>
      <x:c r="AK770" s="38" t="n">
        <x:f>AB770*2%</x:f>
        <x:v>5184.805654850001</x:v>
      </x:c>
      <x:c r="AL770" s="38" t="n">
        <x:f>AB770+AH770+AI770+AJ770+AK770</x:f>
        <x:v>301623.7524720986</x:v>
      </x:c>
      <x:c r="AM770" s="38" t="n">
        <x:f>AL770/V770</x:f>
        <x:v>955.0212502160155</x:v>
      </x:c>
      <x:c r="AN770" s="40" t="n">
        <x:f>(W770+X770)/AL770*100</x:f>
        <x:v>74.60572920589735</x:v>
      </x:c>
      <x:c r="AO770" s="28" t="str">
        <x:v>R01-R20; ilgili satırdaki bölgesel fiyat ve maliyet varsayımları</x:v>
      </x:c>
      <x:c r="AP770" s="28" t="str">
        <x:v>Girdi miktarları, alım fiyatı değişimi, fason bedeli ve parti sonucu simüle edilmiştir; işletme kaydı değildir.</x:v>
      </x:c>
    </x:row>
    <x:row r="771" ht="22" customHeight="1">
      <x:c r="A771" t="str">
        <x:v>SUC-0770</x:v>
      </x:c>
      <x:c r="B771" s="36" t="n">
        <x:v>46298</x:v>
      </x:c>
      <x:c r="C771" t="str">
        <x:v>Karadeniz</x:v>
      </x:c>
      <x:c r="D771" t="str">
        <x:v>MEB_STANDART</x:v>
      </x:c>
      <x:c r="E771" t="str">
        <x:v>Kurum içi</x:v>
      </x:c>
      <x:c r="F771" s="42" t="str">
        <x:v>SENTETİK/SİMÜLE — gerçek parti kaydı değildir</x:v>
      </x:c>
      <x:c r="G771" s="38" t="n">
        <x:v>187.353</x:v>
      </x:c>
      <x:c r="H771" s="38" t="n">
        <x:v>59.919</x:v>
      </x:c>
      <x:c r="I771" s="38" t="n">
        <x:v>11.951</x:v>
      </x:c>
      <x:c r="J771" s="38" t="n">
        <x:v>6.876</x:v>
      </x:c>
      <x:c r="K771" s="38" t="n">
        <x:v>2.569</x:v>
      </x:c>
      <x:c r="L771" s="38" t="n">
        <x:f>SUM(G771:K771)</x:f>
        <x:v>268.668</x:v>
      </x:c>
      <x:c r="M771" s="38" t="n">
        <x:v>315.777</x:v>
      </x:c>
      <x:c r="N771" s="38" t="n">
        <x:v>603.11</x:v>
      </x:c>
      <x:c r="O771" s="38" t="n">
        <x:v>451.12</x:v>
      </x:c>
      <x:c r="P771" s="38" t="n">
        <x:v>669.9</x:v>
      </x:c>
      <x:c r="Q771" s="38" t="n">
        <x:v>19.88</x:v>
      </x:c>
      <x:c r="R771" s="38" t="n">
        <x:v>43.7475</x:v>
      </x:c>
      <x:c r="S771" s="38" t="n">
        <x:v>113.18</x:v>
      </x:c>
      <x:c r="T771" s="40" t="n">
        <x:v>20.38</x:v>
      </x:c>
      <x:c r="U771" s="40" t="n">
        <x:v>1.65</x:v>
      </x:c>
      <x:c r="V771" s="38" t="n">
        <x:f>L771*(1-T771/100)*(1-U771/100)</x:f>
        <x:v>210.3838894836</x:v>
      </x:c>
      <x:c r="W771" s="38" t="n">
        <x:f>G771*N771</x:f>
        <x:v>112994.46783000001</x:v>
      </x:c>
      <x:c r="X771" s="38" t="n">
        <x:f>H771*O771</x:f>
        <x:v>27030.65928</x:v>
      </x:c>
      <x:c r="Y771" s="38" t="n">
        <x:f>I771*P771</x:f>
        <x:v>8005.9749</x:v>
      </x:c>
      <x:c r="Z771" s="38" t="n">
        <x:f>J771*Q771+K771*P771</x:f>
        <x:v>1857.66798</x:v>
      </x:c>
      <x:c r="AA771" s="38" t="n">
        <x:f>M771*R771</x:f>
        <x:v>13814.4543075</x:v>
      </x:c>
      <x:c r="AB771" s="38" t="n">
        <x:f>SUM(W771:AA771)</x:f>
        <x:v>163703.2242975</x:v>
      </x:c>
      <x:c r="AC771" s="38" t="n">
        <x:v>17.71</x:v>
      </x:c>
      <x:c r="AD771" s="38" t="n">
        <x:v>174.33</x:v>
      </x:c>
      <x:c r="AE771" s="38" t="n">
        <x:v>66.11</x:v>
      </x:c>
      <x:c r="AF771" s="38" t="n">
        <x:v>4.8148</x:v>
      </x:c>
      <x:c r="AG771" s="38" t="n">
        <x:v>5.18</x:v>
      </x:c>
      <x:c r="AH771" s="38" t="n">
        <x:f>IF(E771="Fason",L771*S771,0)</x:f>
        <x:v>0</x:v>
      </x:c>
      <x:c r="AI771" s="38" t="n">
        <x:f>IF(E771="Kurum içi",AC771*AD771+AE771*AF771+AB771*12%,0)</x:f>
        <x:v>23050.077643700002</x:v>
      </x:c>
      <x:c r="AJ771" s="38" t="n">
        <x:f>V771*AG771</x:f>
        <x:v>1089.788547525048</x:v>
      </x:c>
      <x:c r="AK771" s="38" t="n">
        <x:f>AB771*2%</x:f>
        <x:v>3274.0644859500003</x:v>
      </x:c>
      <x:c r="AL771" s="38" t="n">
        <x:f>AB771+AH771+AI771+AJ771+AK771</x:f>
        <x:v>191117.15497467504</x:v>
      </x:c>
      <x:c r="AM771" s="38" t="n">
        <x:f>AL771/V771</x:f>
        <x:v>908.4210556415877</x:v>
      </x:c>
      <x:c r="AN771" s="40" t="n">
        <x:f>(W771+X771)/AL771*100</x:f>
        <x:v>73.26664481195041</x:v>
      </x:c>
      <x:c r="AO771" s="28" t="str">
        <x:v>R01-R20; ilgili satırdaki bölgesel fiyat ve maliyet varsayımları</x:v>
      </x:c>
      <x:c r="AP771" s="28" t="str">
        <x:v>Girdi miktarları, alım fiyatı değişimi, fason bedeli ve parti sonucu simüle edilmiştir; işletme kaydı değildir.</x:v>
      </x:c>
    </x:row>
    <x:row r="772" ht="22" customHeight="1">
      <x:c r="A772" t="str">
        <x:v>SUC-0771</x:v>
      </x:c>
      <x:c r="B772" s="36" t="n">
        <x:v>46305</x:v>
      </x:c>
      <x:c r="C772" t="str">
        <x:v>Ege</x:v>
      </x:c>
      <x:c r="D772" t="str">
        <x:v>ERZURUM_CI</x:v>
      </x:c>
      <x:c r="E772" t="str">
        <x:v>Kurum içi</x:v>
      </x:c>
      <x:c r="F772" s="42" t="str">
        <x:v>SENTETİK/SİMÜLE — gerçek parti kaydı değildir</x:v>
      </x:c>
      <x:c r="G772" s="38" t="n">
        <x:v>165.758</x:v>
      </x:c>
      <x:c r="H772" s="38" t="n">
        <x:v>29.433</x:v>
      </x:c>
      <x:c r="I772" s="38" t="n">
        <x:v>9.312</x:v>
      </x:c>
      <x:c r="J772" s="38" t="n">
        <x:v>2.992</x:v>
      </x:c>
      <x:c r="K772" s="38" t="n">
        <x:v>0.487</x:v>
      </x:c>
      <x:c r="L772" s="38" t="n">
        <x:f>SUM(G772:K772)</x:f>
        <x:v>207.982</x:v>
      </x:c>
      <x:c r="M772" s="38" t="n">
        <x:v>270.291</x:v>
      </x:c>
      <x:c r="N772" s="38" t="n">
        <x:v>613.2</x:v>
      </x:c>
      <x:c r="O772" s="38" t="n">
        <x:v>444.94</x:v>
      </x:c>
      <x:c r="P772" s="38" t="n">
        <x:v>550</x:v>
      </x:c>
      <x:c r="Q772" s="38" t="n">
        <x:v>19.88</x:v>
      </x:c>
      <x:c r="R772" s="38" t="n">
        <x:v>43.7475</x:v>
      </x:c>
      <x:c r="S772" s="38" t="n">
        <x:v>92.81</x:v>
      </x:c>
      <x:c r="T772" s="40" t="n">
        <x:v>28.2</x:v>
      </x:c>
      <x:c r="U772" s="40" t="n">
        <x:v>1.57</x:v>
      </x:c>
      <x:c r="V772" s="38" t="n">
        <x:f>L772*(1-T772/100)*(1-U772/100)</x:f>
        <x:v>146.98657810679998</x:v>
      </x:c>
      <x:c r="W772" s="38" t="n">
        <x:f>G772*N772</x:f>
        <x:v>101642.8056</x:v>
      </x:c>
      <x:c r="X772" s="38" t="n">
        <x:f>H772*O772</x:f>
        <x:v>13095.91902</x:v>
      </x:c>
      <x:c r="Y772" s="38" t="n">
        <x:f>I772*P772</x:f>
        <x:v>5121.599999999999</x:v>
      </x:c>
      <x:c r="Z772" s="38" t="n">
        <x:f>J772*Q772+K772*P772</x:f>
        <x:v>327.33095999999995</x:v>
      </x:c>
      <x:c r="AA772" s="38" t="n">
        <x:f>M772*R772</x:f>
        <x:v>11824.5555225</x:v>
      </x:c>
      <x:c r="AB772" s="38" t="n">
        <x:f>SUM(W772:AA772)</x:f>
        <x:v>132012.21110250003</x:v>
      </x:c>
      <x:c r="AC772" s="38" t="n">
        <x:v>13.74</x:v>
      </x:c>
      <x:c r="AD772" s="38" t="n">
        <x:v>174.33</x:v>
      </x:c>
      <x:c r="AE772" s="38" t="n">
        <x:v>73.48</x:v>
      </x:c>
      <x:c r="AF772" s="38" t="n">
        <x:v>4.8148</x:v>
      </x:c>
      <x:c r="AG772" s="38" t="n">
        <x:v>5.33</x:v>
      </x:c>
      <x:c r="AH772" s="38" t="n">
        <x:f>IF(E772="Fason",L772*S772,0)</x:f>
        <x:v>0</x:v>
      </x:c>
      <x:c r="AI772" s="38" t="n">
        <x:f>IF(E772="Kurum içi",AC772*AD772+AE772*AF772+AB772*12%,0)</x:f>
        <x:v>18590.551036300003</x:v>
      </x:c>
      <x:c r="AJ772" s="38" t="n">
        <x:f>V772*AG772</x:f>
        <x:v>783.438461309244</x:v>
      </x:c>
      <x:c r="AK772" s="38" t="n">
        <x:f>AB772*2%</x:f>
        <x:v>2640.2442220500006</x:v>
      </x:c>
      <x:c r="AL772" s="38" t="n">
        <x:f>AB772+AH772+AI772+AJ772+AK772</x:f>
        <x:v>154026.44482215928</x:v>
      </x:c>
      <x:c r="AM772" s="38" t="n">
        <x:f>AL772/V772</x:f>
        <x:v>1047.8946228018463</x:v>
      </x:c>
      <x:c r="AN772" s="40" t="n">
        <x:f>(W772+X772)/AL772*100</x:f>
        <x:v>74.49287344941233</x:v>
      </x:c>
      <x:c r="AO772" s="28" t="str">
        <x:v>R01-R20; ilgili satırdaki bölgesel fiyat ve maliyet varsayımları</x:v>
      </x:c>
      <x:c r="AP772" s="28" t="str">
        <x:v>Girdi miktarları, alım fiyatı değişimi, fason bedeli ve parti sonucu simüle edilmiştir; işletme kaydı değildir.</x:v>
      </x:c>
    </x:row>
    <x:row r="773" ht="22" customHeight="1">
      <x:c r="A773" t="str">
        <x:v>SUC-0772</x:v>
      </x:c>
      <x:c r="B773" s="36" t="n">
        <x:v>46285</x:v>
      </x:c>
      <x:c r="C773" t="str">
        <x:v>Karadeniz</x:v>
      </x:c>
      <x:c r="D773" t="str">
        <x:v>MEB_STANDART</x:v>
      </x:c>
      <x:c r="E773" t="str">
        <x:v>Kurum içi</x:v>
      </x:c>
      <x:c r="F773" s="42" t="str">
        <x:v>SENTETİK/SİMÜLE — gerçek parti kaydı değildir</x:v>
      </x:c>
      <x:c r="G773" s="38" t="n">
        <x:v>113.687</x:v>
      </x:c>
      <x:c r="H773" s="38" t="n">
        <x:v>36.64</x:v>
      </x:c>
      <x:c r="I773" s="38" t="n">
        <x:v>7.242</x:v>
      </x:c>
      <x:c r="J773" s="38" t="n">
        <x:v>3.879</x:v>
      </x:c>
      <x:c r="K773" s="38" t="n">
        <x:v>1.779</x:v>
      </x:c>
      <x:c r="L773" s="38" t="n">
        <x:f>SUM(G773:K773)</x:f>
        <x:v>163.22699999999998</x:v>
      </x:c>
      <x:c r="M773" s="38" t="n">
        <x:v>210.615</x:v>
      </x:c>
      <x:c r="N773" s="38" t="n">
        <x:v>614.1</x:v>
      </x:c>
      <x:c r="O773" s="38" t="n">
        <x:v>443.46</x:v>
      </x:c>
      <x:c r="P773" s="38" t="n">
        <x:v>400</x:v>
      </x:c>
      <x:c r="Q773" s="38" t="n">
        <x:v>19.88</x:v>
      </x:c>
      <x:c r="R773" s="38" t="n">
        <x:v>43.7475</x:v>
      </x:c>
      <x:c r="S773" s="38" t="n">
        <x:v>103.73</x:v>
      </x:c>
      <x:c r="T773" s="40" t="n">
        <x:v>19.03</x:v>
      </x:c>
      <x:c r="U773" s="40" t="n">
        <x:v>0.85</x:v>
      </x:c>
      <x:c r="V773" s="38" t="n">
        <x:f>L773*(1-T773/100)*(1-U773/100)</x:f>
        <x:v>131.04150023385</x:v>
      </x:c>
      <x:c r="W773" s="38" t="n">
        <x:f>G773*N773</x:f>
        <x:v>69815.1867</x:v>
      </x:c>
      <x:c r="X773" s="38" t="n">
        <x:f>H773*O773</x:f>
        <x:v>16248.374399999999</x:v>
      </x:c>
      <x:c r="Y773" s="38" t="n">
        <x:f>I773*P773</x:f>
        <x:v>2896.8</x:v>
      </x:c>
      <x:c r="Z773" s="38" t="n">
        <x:f>J773*Q773+K773*P773</x:f>
        <x:v>788.7145199999999</x:v>
      </x:c>
      <x:c r="AA773" s="38" t="n">
        <x:f>M773*R773</x:f>
        <x:v>9213.8797125</x:v>
      </x:c>
      <x:c r="AB773" s="38" t="n">
        <x:f>SUM(W773:AA773)</x:f>
        <x:v>98962.9553325</x:v>
      </x:c>
      <x:c r="AC773" s="38" t="n">
        <x:v>11.39</x:v>
      </x:c>
      <x:c r="AD773" s="38" t="n">
        <x:v>174.33</x:v>
      </x:c>
      <x:c r="AE773" s="38" t="n">
        <x:v>42.31</x:v>
      </x:c>
      <x:c r="AF773" s="38" t="n">
        <x:v>4.8148</x:v>
      </x:c>
      <x:c r="AG773" s="38" t="n">
        <x:v>5.5</x:v>
      </x:c>
      <x:c r="AH773" s="38" t="n">
        <x:f>IF(E773="Fason",L773*S773,0)</x:f>
        <x:v>0</x:v>
      </x:c>
      <x:c r="AI773" s="38" t="n">
        <x:f>IF(E773="Kurum içi",AC773*AD773+AE773*AF773+AB773*12%,0)</x:f>
        <x:v>14064.8875279</x:v>
      </x:c>
      <x:c r="AJ773" s="38" t="n">
        <x:f>V773*AG773</x:f>
        <x:v>720.728251286175</x:v>
      </x:c>
      <x:c r="AK773" s="38" t="n">
        <x:f>AB773*2%</x:f>
        <x:v>1979.2591066500001</x:v>
      </x:c>
      <x:c r="AL773" s="38" t="n">
        <x:f>AB773+AH773+AI773+AJ773+AK773</x:f>
        <x:v>115727.83021833618</x:v>
      </x:c>
      <x:c r="AM773" s="38" t="n">
        <x:f>AL773/V773</x:f>
        <x:v>883.1387767372487</x:v>
      </x:c>
      <x:c r="AN773" s="40" t="n">
        <x:f>(W773+X773)/AL773*100</x:f>
        <x:v>74.36721222339473</x:v>
      </x:c>
      <x:c r="AO773" s="28" t="str">
        <x:v>R01-R20; ilgili satırdaki bölgesel fiyat ve maliyet varsayımları</x:v>
      </x:c>
      <x:c r="AP773" s="28" t="str">
        <x:v>Girdi miktarları, alım fiyatı değişimi, fason bedeli ve parti sonucu simüle edilmiştir; işletme kaydı değildir.</x:v>
      </x:c>
    </x:row>
    <x:row r="774" ht="22" customHeight="1">
      <x:c r="A774" t="str">
        <x:v>SUC-0773</x:v>
      </x:c>
      <x:c r="B774" s="36" t="n">
        <x:v>46290</x:v>
      </x:c>
      <x:c r="C774" t="str">
        <x:v>Ege</x:v>
      </x:c>
      <x:c r="D774" t="str">
        <x:v>ERZURUM_CI</x:v>
      </x:c>
      <x:c r="E774" t="str">
        <x:v>Kurum içi</x:v>
      </x:c>
      <x:c r="F774" s="42" t="str">
        <x:v>SENTETİK/SİMÜLE — gerçek parti kaydı değildir</x:v>
      </x:c>
      <x:c r="G774" s="38" t="n">
        <x:v>214.455</x:v>
      </x:c>
      <x:c r="H774" s="38" t="n">
        <x:v>38.247</x:v>
      </x:c>
      <x:c r="I774" s="38" t="n">
        <x:v>12.769</x:v>
      </x:c>
      <x:c r="J774" s="38" t="n">
        <x:v>3.895</x:v>
      </x:c>
      <x:c r="K774" s="38" t="n">
        <x:v>0.027</x:v>
      </x:c>
      <x:c r="L774" s="38" t="n">
        <x:f>SUM(G774:K774)</x:f>
        <x:v>269.393</x:v>
      </x:c>
      <x:c r="M774" s="38" t="n">
        <x:v>334.135</x:v>
      </x:c>
      <x:c r="N774" s="38" t="n">
        <x:v>584.43</x:v>
      </x:c>
      <x:c r="O774" s="38" t="n">
        <x:v>422.47</x:v>
      </x:c>
      <x:c r="P774" s="38" t="n">
        <x:v>669.9</x:v>
      </x:c>
      <x:c r="Q774" s="38" t="n">
        <x:v>19.88</x:v>
      </x:c>
      <x:c r="R774" s="38" t="n">
        <x:v>43.7475</x:v>
      </x:c>
      <x:c r="S774" s="38" t="n">
        <x:v>112.55</x:v>
      </x:c>
      <x:c r="T774" s="40" t="n">
        <x:v>29.15</x:v>
      </x:c>
      <x:c r="U774" s="40" t="n">
        <x:v>1.12</x:v>
      </x:c>
      <x:c r="V774" s="38" t="n">
        <x:f>L774*(1-T774/100)*(1-U774/100)</x:f>
        <x:v>188.7272531664</x:v>
      </x:c>
      <x:c r="W774" s="38" t="n">
        <x:f>G774*N774</x:f>
        <x:v>125333.93565</x:v>
      </x:c>
      <x:c r="X774" s="38" t="n">
        <x:f>H774*O774</x:f>
        <x:v>16158.21009</x:v>
      </x:c>
      <x:c r="Y774" s="38" t="n">
        <x:f>I774*P774</x:f>
        <x:v>8553.9531</x:v>
      </x:c>
      <x:c r="Z774" s="38" t="n">
        <x:f>J774*Q774+K774*P774</x:f>
        <x:v>95.51989999999999</x:v>
      </x:c>
      <x:c r="AA774" s="38" t="n">
        <x:f>M774*R774</x:f>
        <x:v>14617.570912500001</x:v>
      </x:c>
      <x:c r="AB774" s="38" t="n">
        <x:f>SUM(W774:AA774)</x:f>
        <x:v>164759.18965250003</x:v>
      </x:c>
      <x:c r="AC774" s="38" t="n">
        <x:v>14.87</x:v>
      </x:c>
      <x:c r="AD774" s="38" t="n">
        <x:v>174.33</x:v>
      </x:c>
      <x:c r="AE774" s="38" t="n">
        <x:v>105.46</x:v>
      </x:c>
      <x:c r="AF774" s="38" t="n">
        <x:v>4.8148</x:v>
      </x:c>
      <x:c r="AG774" s="38" t="n">
        <x:v>5.53</x:v>
      </x:c>
      <x:c r="AH774" s="38" t="n">
        <x:f>IF(E774="Fason",L774*S774,0)</x:f>
        <x:v>0</x:v>
      </x:c>
      <x:c r="AI774" s="38" t="n">
        <x:f>IF(E774="Kurum içi",AC774*AD774+AE774*AF774+AB774*12%,0)</x:f>
        <x:v>22871.1586663</x:v>
      </x:c>
      <x:c r="AJ774" s="38" t="n">
        <x:f>V774*AG774</x:f>
        <x:v>1043.661710010192</x:v>
      </x:c>
      <x:c r="AK774" s="38" t="n">
        <x:f>AB774*2%</x:f>
        <x:v>3295.1837930500005</x:v>
      </x:c>
      <x:c r="AL774" s="38" t="n">
        <x:f>AB774+AH774+AI774+AJ774+AK774</x:f>
        <x:v>191969.19382186024</x:v>
      </x:c>
      <x:c r="AM774" s="38" t="n">
        <x:f>AL774/V774</x:f>
        <x:v>1017.1779146947147</x:v>
      </x:c>
      <x:c r="AN774" s="40" t="n">
        <x:f>(W774+X774)/AL774*100</x:f>
        <x:v>73.70565189292772</x:v>
      </x:c>
      <x:c r="AO774" s="28" t="str">
        <x:v>R01-R20; ilgili satırdaki bölgesel fiyat ve maliyet varsayımları</x:v>
      </x:c>
      <x:c r="AP774" s="28" t="str">
        <x:v>Girdi miktarları, alım fiyatı değişimi, fason bedeli ve parti sonucu simüle edilmiştir; işletme kaydı değildir.</x:v>
      </x:c>
    </x:row>
    <x:row r="775" ht="22" customHeight="1">
      <x:c r="A775" t="str">
        <x:v>SUC-0774</x:v>
      </x:c>
      <x:c r="B775" s="36" t="n">
        <x:v>46285</x:v>
      </x:c>
      <x:c r="C775" t="str">
        <x:v>Doğu Anadolu</x:v>
      </x:c>
      <x:c r="D775" t="str">
        <x:v>ERZURUM_CI</x:v>
      </x:c>
      <x:c r="E775" t="str">
        <x:v>Kurum içi</x:v>
      </x:c>
      <x:c r="F775" s="42" t="str">
        <x:v>SENTETİK/SİMÜLE — gerçek parti kaydı değildir</x:v>
      </x:c>
      <x:c r="G775" s="38" t="n">
        <x:v>108.222</x:v>
      </x:c>
      <x:c r="H775" s="38" t="n">
        <x:v>20.512</x:v>
      </x:c>
      <x:c r="I775" s="38" t="n">
        <x:v>6.406</x:v>
      </x:c>
      <x:c r="J775" s="38" t="n">
        <x:v>2.006</x:v>
      </x:c>
      <x:c r="K775" s="38" t="n">
        <x:v>0.217</x:v>
      </x:c>
      <x:c r="L775" s="38" t="n">
        <x:f>SUM(G775:K775)</x:f>
        <x:v>137.363</x:v>
      </x:c>
      <x:c r="M775" s="38" t="n">
        <x:v>171.748</x:v>
      </x:c>
      <x:c r="N775" s="38" t="n">
        <x:v>605.83</x:v>
      </x:c>
      <x:c r="O775" s="38" t="n">
        <x:v>458.77</x:v>
      </x:c>
      <x:c r="P775" s="38" t="n">
        <x:v>400</x:v>
      </x:c>
      <x:c r="Q775" s="38" t="n">
        <x:v>19.88</x:v>
      </x:c>
      <x:c r="R775" s="38" t="n">
        <x:v>43.7475</x:v>
      </x:c>
      <x:c r="S775" s="38" t="n">
        <x:v>67.6</x:v>
      </x:c>
      <x:c r="T775" s="40" t="n">
        <x:v>20.03</x:v>
      </x:c>
      <x:c r="U775" s="40" t="n">
        <x:v>1.13</x:v>
      </x:c>
      <x:c r="V775" s="38" t="n">
        <x:f>L775*(1-T775/100)*(1-U775/100)</x:f>
        <x:v>108.60789524057</x:v>
      </x:c>
      <x:c r="W775" s="38" t="n">
        <x:f>G775*N775</x:f>
        <x:v>65564.13426</x:v>
      </x:c>
      <x:c r="X775" s="38" t="n">
        <x:f>H775*O775</x:f>
        <x:v>9410.29024</x:v>
      </x:c>
      <x:c r="Y775" s="38" t="n">
        <x:f>I775*P775</x:f>
        <x:v>2562.4</x:v>
      </x:c>
      <x:c r="Z775" s="38" t="n">
        <x:f>J775*Q775+K775*P775</x:f>
        <x:v>126.67927999999999</x:v>
      </x:c>
      <x:c r="AA775" s="38" t="n">
        <x:f>M775*R775</x:f>
        <x:v>7513.54563</x:v>
      </x:c>
      <x:c r="AB775" s="38" t="n">
        <x:f>SUM(W775:AA775)</x:f>
        <x:v>85177.04940999999</x:v>
      </x:c>
      <x:c r="AC775" s="38" t="n">
        <x:v>7.09</x:v>
      </x:c>
      <x:c r="AD775" s="38" t="n">
        <x:v>174.33</x:v>
      </x:c>
      <x:c r="AE775" s="38" t="n">
        <x:v>41.28</x:v>
      </x:c>
      <x:c r="AF775" s="38" t="n">
        <x:v>4.8148</x:v>
      </x:c>
      <x:c r="AG775" s="38" t="n">
        <x:v>5.82</x:v>
      </x:c>
      <x:c r="AH775" s="38" t="n">
        <x:f>IF(E775="Fason",L775*S775,0)</x:f>
        <x:v>0</x:v>
      </x:c>
      <x:c r="AI775" s="38" t="n">
        <x:f>IF(E775="Kurum içi",AC775*AD775+AE775*AF775+AB775*12%,0)</x:f>
        <x:v>11656.000573199999</x:v>
      </x:c>
      <x:c r="AJ775" s="38" t="n">
        <x:f>V775*AG775</x:f>
        <x:v>632.0979503001174</x:v>
      </x:c>
      <x:c r="AK775" s="38" t="n">
        <x:f>AB775*2%</x:f>
        <x:v>1703.5409882</x:v>
      </x:c>
      <x:c r="AL775" s="38" t="n">
        <x:f>AB775+AH775+AI775+AJ775+AK775</x:f>
        <x:v>99168.6889217001</x:v>
      </x:c>
      <x:c r="AM775" s="38" t="n">
        <x:f>AL775/V775</x:f>
        <x:v>913.0891331798507</x:v>
      </x:c>
      <x:c r="AN775" s="40" t="n">
        <x:f>(W775+X775)/AL775*100</x:f>
        <x:v>75.60291994905471</x:v>
      </x:c>
      <x:c r="AO775" s="28" t="str">
        <x:v>R01-R20; ilgili satırdaki bölgesel fiyat ve maliyet varsayımları</x:v>
      </x:c>
      <x:c r="AP775" s="28" t="str">
        <x:v>Girdi miktarları, alım fiyatı değişimi, fason bedeli ve parti sonucu simüle edilmiştir; işletme kaydı değildir.</x:v>
      </x:c>
    </x:row>
    <x:row r="776" ht="22" customHeight="1">
      <x:c r="A776" t="str">
        <x:v>SUC-0775</x:v>
      </x:c>
      <x:c r="B776" s="36" t="n">
        <x:v>46287</x:v>
      </x:c>
      <x:c r="C776" t="str">
        <x:v>Güneydoğu Anadolu</x:v>
      </x:c>
      <x:c r="D776" t="str">
        <x:v>MEB_STANDART</x:v>
      </x:c>
      <x:c r="E776" t="str">
        <x:v>Kurum içi</x:v>
      </x:c>
      <x:c r="F776" s="42" t="str">
        <x:v>SENTETİK/SİMÜLE — gerçek parti kaydı değildir</x:v>
      </x:c>
      <x:c r="G776" s="38" t="n">
        <x:v>187.182</x:v>
      </x:c>
      <x:c r="H776" s="38" t="n">
        <x:v>60.111</x:v>
      </x:c>
      <x:c r="I776" s="38" t="n">
        <x:v>12.379</x:v>
      </x:c>
      <x:c r="J776" s="38" t="n">
        <x:v>7.029</x:v>
      </x:c>
      <x:c r="K776" s="38" t="n">
        <x:v>3.061</x:v>
      </x:c>
      <x:c r="L776" s="38" t="n">
        <x:f>SUM(G776:K776)</x:f>
        <x:v>269.76199999999994</x:v>
      </x:c>
      <x:c r="M776" s="38" t="n">
        <x:v>338.812</x:v>
      </x:c>
      <x:c r="N776" s="38" t="n">
        <x:v>585.52</x:v>
      </x:c>
      <x:c r="O776" s="38" t="n">
        <x:v>481.06</x:v>
      </x:c>
      <x:c r="P776" s="38" t="n">
        <x:v>669.9</x:v>
      </x:c>
      <x:c r="Q776" s="38" t="n">
        <x:v>19.88</x:v>
      </x:c>
      <x:c r="R776" s="38" t="n">
        <x:v>43.7475</x:v>
      </x:c>
      <x:c r="S776" s="38" t="n">
        <x:v>75.19</x:v>
      </x:c>
      <x:c r="T776" s="40" t="n">
        <x:v>26.66</x:v>
      </x:c>
      <x:c r="U776" s="40" t="n">
        <x:v>1.36</x:v>
      </x:c>
      <x:c r="V776" s="38" t="n">
        <x:f>L776*(1-T776/100)*(1-U776/100)</x:f>
        <x:v>195.15277986911997</x:v>
      </x:c>
      <x:c r="W776" s="38" t="n">
        <x:f>G776*N776</x:f>
        <x:v>109598.80463999999</x:v>
      </x:c>
      <x:c r="X776" s="38" t="n">
        <x:f>H776*O776</x:f>
        <x:v>28916.997659999997</x:v>
      </x:c>
      <x:c r="Y776" s="38" t="n">
        <x:f>I776*P776</x:f>
        <x:v>8292.6921</x:v>
      </x:c>
      <x:c r="Z776" s="38" t="n">
        <x:f>J776*Q776+K776*P776</x:f>
        <x:v>2190.30042</x:v>
      </x:c>
      <x:c r="AA776" s="38" t="n">
        <x:f>M776*R776</x:f>
        <x:v>14822.17797</x:v>
      </x:c>
      <x:c r="AB776" s="38" t="n">
        <x:f>SUM(W776:AA776)</x:f>
        <x:v>163820.97278999997</x:v>
      </x:c>
      <x:c r="AC776" s="38" t="n">
        <x:v>15.48</x:v>
      </x:c>
      <x:c r="AD776" s="38" t="n">
        <x:v>174.33</x:v>
      </x:c>
      <x:c r="AE776" s="38" t="n">
        <x:v>75.89</x:v>
      </x:c>
      <x:c r="AF776" s="38" t="n">
        <x:v>4.8148</x:v>
      </x:c>
      <x:c r="AG776" s="38" t="n">
        <x:v>5.39</x:v>
      </x:c>
      <x:c r="AH776" s="38" t="n">
        <x:f>IF(E776="Fason",L776*S776,0)</x:f>
        <x:v>0</x:v>
      </x:c>
      <x:c r="AI776" s="38" t="n">
        <x:f>IF(E776="Kurum içi",AC776*AD776+AE776*AF776+AB776*12%,0)</x:f>
        <x:v>22722.540306799994</x:v>
      </x:c>
      <x:c r="AJ776" s="38" t="n">
        <x:f>V776*AG776</x:f>
        <x:v>1051.8734834945565</x:v>
      </x:c>
      <x:c r="AK776" s="38" t="n">
        <x:f>AB776*2%</x:f>
        <x:v>3276.4194557999995</x:v>
      </x:c>
      <x:c r="AL776" s="38" t="n">
        <x:f>AB776+AH776+AI776+AJ776+AK776</x:f>
        <x:v>190871.80603609452</x:v>
      </x:c>
      <x:c r="AM776" s="38" t="n">
        <x:f>AL776/V776</x:f>
        <x:v>978.063475007138</x:v>
      </x:c>
      <x:c r="AN776" s="40" t="n">
        <x:f>(W776+X776)/AL776*100</x:f>
        <x:v>72.57006950193899</x:v>
      </x:c>
      <x:c r="AO776" s="28" t="str">
        <x:v>R01-R20; ilgili satırdaki bölgesel fiyat ve maliyet varsayımları</x:v>
      </x:c>
      <x:c r="AP776" s="28" t="str">
        <x:v>Girdi miktarları, alım fiyatı değişimi, fason bedeli ve parti sonucu simüle edilmiştir; işletme kaydı değildir.</x:v>
      </x:c>
    </x:row>
    <x:row r="777" ht="22" customHeight="1">
      <x:c r="A777" t="str">
        <x:v>SUC-0776</x:v>
      </x:c>
      <x:c r="B777" s="36" t="n">
        <x:v>46279</x:v>
      </x:c>
      <x:c r="C777" t="str">
        <x:v>İç Anadolu</x:v>
      </x:c>
      <x:c r="D777" t="str">
        <x:v>ERZURUM_CI</x:v>
      </x:c>
      <x:c r="E777" t="str">
        <x:v>Kurum içi</x:v>
      </x:c>
      <x:c r="F777" s="42" t="str">
        <x:v>SENTETİK/SİMÜLE — gerçek parti kaydı değildir</x:v>
      </x:c>
      <x:c r="G777" s="38" t="n">
        <x:v>326.445</x:v>
      </x:c>
      <x:c r="H777" s="38" t="n">
        <x:v>58.733</x:v>
      </x:c>
      <x:c r="I777" s="38" t="n">
        <x:v>18.42</x:v>
      </x:c>
      <x:c r="J777" s="38" t="n">
        <x:v>7.181</x:v>
      </x:c>
      <x:c r="K777" s="38" t="n">
        <x:v>0.878</x:v>
      </x:c>
      <x:c r="L777" s="38" t="n">
        <x:f>SUM(G777:K777)</x:f>
        <x:v>411.657</x:v>
      </x:c>
      <x:c r="M777" s="38" t="n">
        <x:v>518.515</x:v>
      </x:c>
      <x:c r="N777" s="38" t="n">
        <x:v>580.18</x:v>
      </x:c>
      <x:c r="O777" s="38" t="n">
        <x:v>461.06</x:v>
      </x:c>
      <x:c r="P777" s="38" t="n">
        <x:v>550</x:v>
      </x:c>
      <x:c r="Q777" s="38" t="n">
        <x:v>19.88</x:v>
      </x:c>
      <x:c r="R777" s="38" t="n">
        <x:v>43.7475</x:v>
      </x:c>
      <x:c r="S777" s="38" t="n">
        <x:v>74.79</x:v>
      </x:c>
      <x:c r="T777" s="40" t="n">
        <x:v>30.48</x:v>
      </x:c>
      <x:c r="U777" s="40" t="n">
        <x:v>1.44</x:v>
      </x:c>
      <x:c r="V777" s="38" t="n">
        <x:f>L777*(1-T777/100)*(1-U777/100)</x:f>
        <x:v>282.06289757184004</x:v>
      </x:c>
      <x:c r="W777" s="38" t="n">
        <x:f>G777*N777</x:f>
        <x:v>189396.8601</x:v>
      </x:c>
      <x:c r="X777" s="38" t="n">
        <x:f>H777*O777</x:f>
        <x:v>27079.43698</x:v>
      </x:c>
      <x:c r="Y777" s="38" t="n">
        <x:f>I777*P777</x:f>
        <x:v>10131.000000000002</x:v>
      </x:c>
      <x:c r="Z777" s="38" t="n">
        <x:f>J777*Q777+K777*P777</x:f>
        <x:v>625.65828</x:v>
      </x:c>
      <x:c r="AA777" s="38" t="n">
        <x:f>M777*R777</x:f>
        <x:v>22683.7349625</x:v>
      </x:c>
      <x:c r="AB777" s="38" t="n">
        <x:f>SUM(W777:AA777)</x:f>
        <x:v>249916.69032249998</x:v>
      </x:c>
      <x:c r="AC777" s="38" t="n">
        <x:v>22.1</x:v>
      </x:c>
      <x:c r="AD777" s="38" t="n">
        <x:v>174.33</x:v>
      </x:c>
      <x:c r="AE777" s="38" t="n">
        <x:v>131.96</x:v>
      </x:c>
      <x:c r="AF777" s="38" t="n">
        <x:v>4.8148</x:v>
      </x:c>
      <x:c r="AG777" s="38" t="n">
        <x:v>5.34</x:v>
      </x:c>
      <x:c r="AH777" s="38" t="n">
        <x:f>IF(E777="Fason",L777*S777,0)</x:f>
        <x:v>0</x:v>
      </x:c>
      <x:c r="AI777" s="38" t="n">
        <x:f>IF(E777="Kurum içi",AC777*AD777+AE777*AF777+AB777*12%,0)</x:f>
        <x:v>34478.0568467</x:v>
      </x:c>
      <x:c r="AJ777" s="38" t="n">
        <x:f>V777*AG777</x:f>
        <x:v>1506.2158730336257</x:v>
      </x:c>
      <x:c r="AK777" s="38" t="n">
        <x:f>AB777*2%</x:f>
        <x:v>4998.333806449999</x:v>
      </x:c>
      <x:c r="AL777" s="38" t="n">
        <x:f>AB777+AH777+AI777+AJ777+AK777</x:f>
        <x:v>290899.2968486836</x:v>
      </x:c>
      <x:c r="AM777" s="38" t="n">
        <x:f>AL777/V777</x:f>
        <x:v>1031.3277618322452</x:v>
      </x:c>
      <x:c r="AN777" s="40" t="n">
        <x:f>(W777+X777)/AL777*100</x:f>
        <x:v>74.41623249870004</x:v>
      </x:c>
      <x:c r="AO777" s="28" t="str">
        <x:v>R01-R20; ilgili satırdaki bölgesel fiyat ve maliyet varsayımları</x:v>
      </x:c>
      <x:c r="AP777" s="28" t="str">
        <x:v>Girdi miktarları, alım fiyatı değişimi, fason bedeli ve parti sonucu simüle edilmiştir; işletme kaydı değildir.</x:v>
      </x:c>
    </x:row>
    <x:row r="778" ht="22" customHeight="1">
      <x:c r="A778" t="str">
        <x:v>SUC-0777</x:v>
      </x:c>
      <x:c r="B778" s="36" t="n">
        <x:v>46292</x:v>
      </x:c>
      <x:c r="C778" t="str">
        <x:v>Doğu Anadolu</x:v>
      </x:c>
      <x:c r="D778" t="str">
        <x:v>ERZURUM_CI</x:v>
      </x:c>
      <x:c r="E778" t="str">
        <x:v>Kurum içi</x:v>
      </x:c>
      <x:c r="F778" s="42" t="str">
        <x:v>SENTETİK/SİMÜLE — gerçek parti kaydı değildir</x:v>
      </x:c>
      <x:c r="G778" s="38" t="n">
        <x:v>235.596</x:v>
      </x:c>
      <x:c r="H778" s="38" t="n">
        <x:v>40.015</x:v>
      </x:c>
      <x:c r="I778" s="38" t="n">
        <x:v>14.447</x:v>
      </x:c>
      <x:c r="J778" s="38" t="n">
        <x:v>5.018</x:v>
      </x:c>
      <x:c r="K778" s="38" t="n">
        <x:v>0.381</x:v>
      </x:c>
      <x:c r="L778" s="38" t="n">
        <x:f>SUM(G778:K778)</x:f>
        <x:v>295.45699999999994</x:v>
      </x:c>
      <x:c r="M778" s="38" t="n">
        <x:v>390.325</x:v>
      </x:c>
      <x:c r="N778" s="38" t="n">
        <x:v>603.14</x:v>
      </x:c>
      <x:c r="O778" s="38" t="n">
        <x:v>448.33</x:v>
      </x:c>
      <x:c r="P778" s="38" t="n">
        <x:v>550</x:v>
      </x:c>
      <x:c r="Q778" s="38" t="n">
        <x:v>19.88</x:v>
      </x:c>
      <x:c r="R778" s="38" t="n">
        <x:v>43.7475</x:v>
      </x:c>
      <x:c r="S778" s="38" t="n">
        <x:v>87.88</x:v>
      </x:c>
      <x:c r="T778" s="40" t="n">
        <x:v>18.01</x:v>
      </x:c>
      <x:c r="U778" s="40" t="n">
        <x:v>0.69</x:v>
      </x:c>
      <x:c r="V778" s="38" t="n">
        <x:f>L778*(1-T778/100)*(1-U778/100)</x:f>
        <x:v>240.57370245932992</x:v>
      </x:c>
      <x:c r="W778" s="38" t="n">
        <x:f>G778*N778</x:f>
        <x:v>142097.37144</x:v>
      </x:c>
      <x:c r="X778" s="38" t="n">
        <x:f>H778*O778</x:f>
        <x:v>17939.92495</x:v>
      </x:c>
      <x:c r="Y778" s="38" t="n">
        <x:f>I778*P778</x:f>
        <x:v>7945.849999999999</x:v>
      </x:c>
      <x:c r="Z778" s="38" t="n">
        <x:f>J778*Q778+K778*P778</x:f>
        <x:v>309.30784</x:v>
      </x:c>
      <x:c r="AA778" s="38" t="n">
        <x:f>M778*R778</x:f>
        <x:v>17075.7429375</x:v>
      </x:c>
      <x:c r="AB778" s="38" t="n">
        <x:f>SUM(W778:AA778)</x:f>
        <x:v>185368.19716749998</x:v>
      </x:c>
      <x:c r="AC778" s="38" t="n">
        <x:v>18.08</x:v>
      </x:c>
      <x:c r="AD778" s="38" t="n">
        <x:v>174.33</x:v>
      </x:c>
      <x:c r="AE778" s="38" t="n">
        <x:v>93.18</x:v>
      </x:c>
      <x:c r="AF778" s="38" t="n">
        <x:v>4.8148</x:v>
      </x:c>
      <x:c r="AG778" s="38" t="n">
        <x:v>5.63</x:v>
      </x:c>
      <x:c r="AH778" s="38" t="n">
        <x:f>IF(E778="Fason",L778*S778,0)</x:f>
        <x:v>0</x:v>
      </x:c>
      <x:c r="AI778" s="38" t="n">
        <x:f>IF(E778="Kurum içi",AC778*AD778+AE778*AF778+AB778*12%,0)</x:f>
        <x:v>25844.713124099995</x:v>
      </x:c>
      <x:c r="AJ778" s="38" t="n">
        <x:f>V778*AG778</x:f>
        <x:v>1354.4299448460274</x:v>
      </x:c>
      <x:c r="AK778" s="38" t="n">
        <x:f>AB778*2%</x:f>
        <x:v>3707.3639433499998</x:v>
      </x:c>
      <x:c r="AL778" s="38" t="n">
        <x:f>AB778+AH778+AI778+AJ778+AK778</x:f>
        <x:v>216274.704179796</x:v>
      </x:c>
      <x:c r="AM778" s="38" t="n">
        <x:f>AL778/V778</x:f>
        <x:v>898.9956174297905</x:v>
      </x:c>
      <x:c r="AN778" s="40" t="n">
        <x:f>(W778+X778)/AL778*100</x:f>
        <x:v>73.99723282337999</x:v>
      </x:c>
      <x:c r="AO778" s="28" t="str">
        <x:v>R01-R20; ilgili satırdaki bölgesel fiyat ve maliyet varsayımları</x:v>
      </x:c>
      <x:c r="AP778" s="28" t="str">
        <x:v>Girdi miktarları, alım fiyatı değişimi, fason bedeli ve parti sonucu simüle edilmiştir; işletme kaydı değildir.</x:v>
      </x:c>
    </x:row>
    <x:row r="779" ht="22" customHeight="1">
      <x:c r="A779" t="str">
        <x:v>SUC-0778</x:v>
      </x:c>
      <x:c r="B779" s="36" t="n">
        <x:v>46289</x:v>
      </x:c>
      <x:c r="C779" t="str">
        <x:v>Güneydoğu Anadolu</x:v>
      </x:c>
      <x:c r="D779" t="str">
        <x:v>ERZURUM_CI</x:v>
      </x:c>
      <x:c r="E779" t="str">
        <x:v>Fason</x:v>
      </x:c>
      <x:c r="F779" s="42" t="str">
        <x:v>SENTETİK/SİMÜLE — gerçek parti kaydı değildir</x:v>
      </x:c>
      <x:c r="G779" s="38" t="n">
        <x:v>194.915</x:v>
      </x:c>
      <x:c r="H779" s="38" t="n">
        <x:v>34.286</x:v>
      </x:c>
      <x:c r="I779" s="38" t="n">
        <x:v>11.088</x:v>
      </x:c>
      <x:c r="J779" s="38" t="n">
        <x:v>4.158</x:v>
      </x:c>
      <x:c r="K779" s="38" t="n">
        <x:v>0.079</x:v>
      </x:c>
      <x:c r="L779" s="38" t="n">
        <x:f>SUM(G779:K779)</x:f>
        <x:v>244.52599999999998</x:v>
      </x:c>
      <x:c r="M779" s="38" t="n">
        <x:v>292.772</x:v>
      </x:c>
      <x:c r="N779" s="38" t="n">
        <x:v>591.9</x:v>
      </x:c>
      <x:c r="O779" s="38" t="n">
        <x:v>469.88</x:v>
      </x:c>
      <x:c r="P779" s="38" t="n">
        <x:v>550</x:v>
      </x:c>
      <x:c r="Q779" s="38" t="n">
        <x:v>19.88</x:v>
      </x:c>
      <x:c r="R779" s="38" t="n">
        <x:v>43.7475</x:v>
      </x:c>
      <x:c r="S779" s="38" t="n">
        <x:v>84.03</x:v>
      </x:c>
      <x:c r="T779" s="40" t="n">
        <x:v>15.59</x:v>
      </x:c>
      <x:c r="U779" s="40" t="n">
        <x:v>0.9</x:v>
      </x:c>
      <x:c r="V779" s="38" t="n">
        <x:f>L779*(1-T779/100)*(1-U779/100)</x:f>
        <x:v>204.5467570306</x:v>
      </x:c>
      <x:c r="W779" s="38" t="n">
        <x:f>G779*N779</x:f>
        <x:v>115370.18849999999</x:v>
      </x:c>
      <x:c r="X779" s="38" t="n">
        <x:f>H779*O779</x:f>
        <x:v>16110.305680000001</x:v>
      </x:c>
      <x:c r="Y779" s="38" t="n">
        <x:f>I779*P779</x:f>
        <x:v>6098.4</x:v>
      </x:c>
      <x:c r="Z779" s="38" t="n">
        <x:f>J779*Q779+K779*P779</x:f>
        <x:v>126.11104</x:v>
      </x:c>
      <x:c r="AA779" s="38" t="n">
        <x:f>M779*R779</x:f>
        <x:v>12808.04307</x:v>
      </x:c>
      <x:c r="AB779" s="38" t="n">
        <x:f>SUM(W779:AA779)</x:f>
        <x:v>150513.04828999995</x:v>
      </x:c>
      <x:c r="AC779" s="38" t="n">
        <x:v>15.98</x:v>
      </x:c>
      <x:c r="AD779" s="38" t="n">
        <x:v>174.33</x:v>
      </x:c>
      <x:c r="AE779" s="38" t="n">
        <x:v>104.32</x:v>
      </x:c>
      <x:c r="AF779" s="38" t="n">
        <x:v>4.8148</x:v>
      </x:c>
      <x:c r="AG779" s="38" t="n">
        <x:v>5.78</x:v>
      </x:c>
      <x:c r="AH779" s="38" t="n">
        <x:f>IF(E779="Fason",L779*S779,0)</x:f>
        <x:v>20547.51978</x:v>
      </x:c>
      <x:c r="AI779" s="38" t="n">
        <x:f>IF(E779="Kurum içi",AC779*AD779+AE779*AF779+AB779*12%,0)</x:f>
        <x:v>0</x:v>
      </x:c>
      <x:c r="AJ779" s="38" t="n">
        <x:f>V779*AG779</x:f>
        <x:v>1182.280255636868</x:v>
      </x:c>
      <x:c r="AK779" s="38" t="n">
        <x:f>AB779*2%</x:f>
        <x:v>3010.260965799999</x:v>
      </x:c>
      <x:c r="AL779" s="38" t="n">
        <x:f>AB779+AH779+AI779+AJ779+AK779</x:f>
        <x:v>175253.10929143682</x:v>
      </x:c>
      <x:c r="AM779" s="38" t="n">
        <x:f>AL779/V779</x:f>
        <x:v>856.7875229878083</x:v>
      </x:c>
      <x:c r="AN779" s="40" t="n">
        <x:f>(W779+X779)/AL779*100</x:f>
        <x:v>75.02320199144356</x:v>
      </x:c>
      <x:c r="AO779" s="28" t="str">
        <x:v>R01-R20; ilgili satırdaki bölgesel fiyat ve maliyet varsayımları</x:v>
      </x:c>
      <x:c r="AP779" s="28" t="str">
        <x:v>Girdi miktarları, alım fiyatı değişimi, fason bedeli ve parti sonucu simüle edilmiştir; işletme kaydı değildir.</x:v>
      </x:c>
    </x:row>
    <x:row r="780" ht="22" customHeight="1">
      <x:c r="A780" t="str">
        <x:v>SUC-0779</x:v>
      </x:c>
      <x:c r="B780" s="36" t="n">
        <x:v>46289</x:v>
      </x:c>
      <x:c r="C780" t="str">
        <x:v>Karadeniz</x:v>
      </x:c>
      <x:c r="D780" t="str">
        <x:v>ERZURUM_CI</x:v>
      </x:c>
      <x:c r="E780" t="str">
        <x:v>Kurum içi</x:v>
      </x:c>
      <x:c r="F780" s="42" t="str">
        <x:v>SENTETİK/SİMÜLE — gerçek parti kaydı değildir</x:v>
      </x:c>
      <x:c r="G780" s="38" t="n">
        <x:v>121.256</x:v>
      </x:c>
      <x:c r="H780" s="38" t="n">
        <x:v>20.96</x:v>
      </x:c>
      <x:c r="I780" s="38" t="n">
        <x:v>6.821</x:v>
      </x:c>
      <x:c r="J780" s="38" t="n">
        <x:v>2.101</x:v>
      </x:c>
      <x:c r="K780" s="38" t="n">
        <x:v>0.184</x:v>
      </x:c>
      <x:c r="L780" s="38" t="n">
        <x:f>SUM(G780:K780)</x:f>
        <x:v>151.322</x:v>
      </x:c>
      <x:c r="M780" s="38" t="n">
        <x:v>192.404</x:v>
      </x:c>
      <x:c r="N780" s="38" t="n">
        <x:v>617.66</x:v>
      </x:c>
      <x:c r="O780" s="38" t="n">
        <x:v>417.35</x:v>
      </x:c>
      <x:c r="P780" s="38" t="n">
        <x:v>669.9</x:v>
      </x:c>
      <x:c r="Q780" s="38" t="n">
        <x:v>19.88</x:v>
      </x:c>
      <x:c r="R780" s="38" t="n">
        <x:v>43.7475</x:v>
      </x:c>
      <x:c r="S780" s="38" t="n">
        <x:v>69.87</x:v>
      </x:c>
      <x:c r="T780" s="40" t="n">
        <x:v>19.3</x:v>
      </x:c>
      <x:c r="U780" s="40" t="n">
        <x:v>1.23</x:v>
      </x:c>
      <x:c r="V780" s="38" t="n">
        <x:f>L780*(1-T780/100)*(1-U780/100)</x:f>
        <x:v>120.61481669579999</x:v>
      </x:c>
      <x:c r="W780" s="38" t="n">
        <x:f>G780*N780</x:f>
        <x:v>74894.98096</x:v>
      </x:c>
      <x:c r="X780" s="38" t="n">
        <x:f>H780*O780</x:f>
        <x:v>8747.656</x:v>
      </x:c>
      <x:c r="Y780" s="38" t="n">
        <x:f>I780*P780</x:f>
        <x:v>4569.3879</x:v>
      </x:c>
      <x:c r="Z780" s="38" t="n">
        <x:f>J780*Q780+K780*P780</x:f>
        <x:v>165.02947999999998</x:v>
      </x:c>
      <x:c r="AA780" s="38" t="n">
        <x:f>M780*R780</x:f>
        <x:v>8417.19399</x:v>
      </x:c>
      <x:c r="AB780" s="38" t="n">
        <x:f>SUM(W780:AA780)</x:f>
        <x:v>96794.24833</x:v>
      </x:c>
      <x:c r="AC780" s="38" t="n">
        <x:v>6.33</x:v>
      </x:c>
      <x:c r="AD780" s="38" t="n">
        <x:v>174.33</x:v>
      </x:c>
      <x:c r="AE780" s="38" t="n">
        <x:v>43.9</x:v>
      </x:c>
      <x:c r="AF780" s="38" t="n">
        <x:v>4.8148</x:v>
      </x:c>
      <x:c r="AG780" s="38" t="n">
        <x:v>5.42</x:v>
      </x:c>
      <x:c r="AH780" s="38" t="n">
        <x:f>IF(E780="Fason",L780*S780,0)</x:f>
        <x:v>0</x:v>
      </x:c>
      <x:c r="AI780" s="38" t="n">
        <x:f>IF(E780="Kurum içi",AC780*AD780+AE780*AF780+AB780*12%,0)</x:f>
        <x:v>12930.1884196</x:v>
      </x:c>
      <x:c r="AJ780" s="38" t="n">
        <x:f>V780*AG780</x:f>
        <x:v>653.7323064912359</x:v>
      </x:c>
      <x:c r="AK780" s="38" t="n">
        <x:f>AB780*2%</x:f>
        <x:v>1935.8849666</x:v>
      </x:c>
      <x:c r="AL780" s="38" t="n">
        <x:f>AB780+AH780+AI780+AJ780+AK780</x:f>
        <x:v>112314.05402269124</x:v>
      </x:c>
      <x:c r="AM780" s="38" t="n">
        <x:f>AL780/V780</x:f>
        <x:v>931.1795772650062</x:v>
      </x:c>
      <x:c r="AN780" s="40" t="n">
        <x:f>(W780+X780)/AL780*100</x:f>
        <x:v>74.47210207825047</x:v>
      </x:c>
      <x:c r="AO780" s="28" t="str">
        <x:v>R01-R20; ilgili satırdaki bölgesel fiyat ve maliyet varsayımları</x:v>
      </x:c>
      <x:c r="AP780" s="28" t="str">
        <x:v>Girdi miktarları, alım fiyatı değişimi, fason bedeli ve parti sonucu simüle edilmiştir; işletme kaydı değildir.</x:v>
      </x:c>
    </x:row>
    <x:row r="781" ht="22" customHeight="1">
      <x:c r="A781" t="str">
        <x:v>SUC-0780</x:v>
      </x:c>
      <x:c r="B781" s="36" t="n">
        <x:v>46275</x:v>
      </x:c>
      <x:c r="C781" t="str">
        <x:v>Akdeniz</x:v>
      </x:c>
      <x:c r="D781" t="str">
        <x:v>MEB_STANDART</x:v>
      </x:c>
      <x:c r="E781" t="str">
        <x:v>Kurum içi</x:v>
      </x:c>
      <x:c r="F781" s="42" t="str">
        <x:v>SENTETİK/SİMÜLE — gerçek parti kaydı değildir</x:v>
      </x:c>
      <x:c r="G781" s="38" t="n">
        <x:v>298.298</x:v>
      </x:c>
      <x:c r="H781" s="38" t="n">
        <x:v>93.857</x:v>
      </x:c>
      <x:c r="I781" s="38" t="n">
        <x:v>18.277</x:v>
      </x:c>
      <x:c r="J781" s="38" t="n">
        <x:v>11.457</x:v>
      </x:c>
      <x:c r="K781" s="38" t="n">
        <x:v>3.954</x:v>
      </x:c>
      <x:c r="L781" s="38" t="n">
        <x:f>SUM(G781:K781)</x:f>
        <x:v>425.84299999999996</x:v>
      </x:c>
      <x:c r="M781" s="38" t="n">
        <x:v>518.916</x:v>
      </x:c>
      <x:c r="N781" s="38" t="n">
        <x:v>597.9</x:v>
      </x:c>
      <x:c r="O781" s="38" t="n">
        <x:v>414.18</x:v>
      </x:c>
      <x:c r="P781" s="38" t="n">
        <x:v>400</x:v>
      </x:c>
      <x:c r="Q781" s="38" t="n">
        <x:v>19.88</x:v>
      </x:c>
      <x:c r="R781" s="38" t="n">
        <x:v>43.7475</x:v>
      </x:c>
      <x:c r="S781" s="38" t="n">
        <x:v>85.48</x:v>
      </x:c>
      <x:c r="T781" s="40" t="n">
        <x:v>29.94</x:v>
      </x:c>
      <x:c r="U781" s="40" t="n">
        <x:v>1.59</x:v>
      </x:c>
      <x:c r="V781" s="38" t="n">
        <x:f>L781*(1-T781/100)*(1-U781/100)</x:f>
        <x:v>293.60191066778</x:v>
      </x:c>
      <x:c r="W781" s="38" t="n">
        <x:f>G781*N781</x:f>
        <x:v>178352.3742</x:v>
      </x:c>
      <x:c r="X781" s="38" t="n">
        <x:f>H781*O781</x:f>
        <x:v>38873.69226</x:v>
      </x:c>
      <x:c r="Y781" s="38" t="n">
        <x:f>I781*P781</x:f>
        <x:v>7310.8</x:v>
      </x:c>
      <x:c r="Z781" s="38" t="n">
        <x:f>J781*Q781+K781*P781</x:f>
        <x:v>1809.36516</x:v>
      </x:c>
      <x:c r="AA781" s="38" t="n">
        <x:f>M781*R781</x:f>
        <x:v>22701.277710000002</x:v>
      </x:c>
      <x:c r="AB781" s="38" t="n">
        <x:f>SUM(W781:AA781)</x:f>
        <x:v>249047.50932999997</x:v>
      </x:c>
      <x:c r="AC781" s="38" t="n">
        <x:v>16.65</x:v>
      </x:c>
      <x:c r="AD781" s="38" t="n">
        <x:v>174.33</x:v>
      </x:c>
      <x:c r="AE781" s="38" t="n">
        <x:v>115.3</x:v>
      </x:c>
      <x:c r="AF781" s="38" t="n">
        <x:v>4.8148</x:v>
      </x:c>
      <x:c r="AG781" s="38" t="n">
        <x:v>5.61</x:v>
      </x:c>
      <x:c r="AH781" s="38" t="n">
        <x:f>IF(E781="Fason",L781*S781,0)</x:f>
        <x:v>0</x:v>
      </x:c>
      <x:c r="AI781" s="38" t="n">
        <x:f>IF(E781="Kurum içi",AC781*AD781+AE781*AF781+AB781*12%,0)</x:f>
        <x:v>33343.4420596</x:v>
      </x:c>
      <x:c r="AJ781" s="38" t="n">
        <x:f>V781*AG781</x:f>
        <x:v>1647.1067188462457</x:v>
      </x:c>
      <x:c r="AK781" s="38" t="n">
        <x:f>AB781*2%</x:f>
        <x:v>4980.950186599999</x:v>
      </x:c>
      <x:c r="AL781" s="38" t="n">
        <x:f>AB781+AH781+AI781+AJ781+AK781</x:f>
        <x:v>289019.00829504617</x:v>
      </x:c>
      <x:c r="AM781" s="38" t="n">
        <x:f>AL781/V781</x:f>
        <x:v>984.390761074033</x:v>
      </x:c>
      <x:c r="AN781" s="40" t="n">
        <x:f>(W781+X781)/AL781*100</x:f>
        <x:v>75.15978542084123</x:v>
      </x:c>
      <x:c r="AO781" s="28" t="str">
        <x:v>R01-R20; ilgili satırdaki bölgesel fiyat ve maliyet varsayımları</x:v>
      </x:c>
      <x:c r="AP781" s="28" t="str">
        <x:v>Girdi miktarları, alım fiyatı değişimi, fason bedeli ve parti sonucu simüle edilmiştir; işletme kaydı değildir.</x:v>
      </x:c>
    </x:row>
    <x:row r="782" ht="22" customHeight="1">
      <x:c r="A782" t="str">
        <x:v>SUC-0781</x:v>
      </x:c>
      <x:c r="B782" s="36" t="n">
        <x:v>46305</x:v>
      </x:c>
      <x:c r="C782" t="str">
        <x:v>İç Anadolu</x:v>
      </x:c>
      <x:c r="D782" t="str">
        <x:v>MEB_STANDART</x:v>
      </x:c>
      <x:c r="E782" t="str">
        <x:v>Fason</x:v>
      </x:c>
      <x:c r="F782" s="42" t="str">
        <x:v>SENTETİK/SİMÜLE — gerçek parti kaydı değildir</x:v>
      </x:c>
      <x:c r="G782" s="38" t="n">
        <x:v>117.195</x:v>
      </x:c>
      <x:c r="H782" s="38" t="n">
        <x:v>35.483</x:v>
      </x:c>
      <x:c r="I782" s="38" t="n">
        <x:v>8.019</x:v>
      </x:c>
      <x:c r="J782" s="38" t="n">
        <x:v>4.175</x:v>
      </x:c>
      <x:c r="K782" s="38" t="n">
        <x:v>1.473</x:v>
      </x:c>
      <x:c r="L782" s="38" t="n">
        <x:f>SUM(G782:K782)</x:f>
        <x:v>166.34500000000003</x:v>
      </x:c>
      <x:c r="M782" s="38" t="n">
        <x:v>199.055</x:v>
      </x:c>
      <x:c r="N782" s="38" t="n">
        <x:v>579.69</x:v>
      </x:c>
      <x:c r="O782" s="38" t="n">
        <x:v>455.35</x:v>
      </x:c>
      <x:c r="P782" s="38" t="n">
        <x:v>400</x:v>
      </x:c>
      <x:c r="Q782" s="38" t="n">
        <x:v>19.88</x:v>
      </x:c>
      <x:c r="R782" s="38" t="n">
        <x:v>43.7475</x:v>
      </x:c>
      <x:c r="S782" s="38" t="n">
        <x:v>68.24</x:v>
      </x:c>
      <x:c r="T782" s="40" t="n">
        <x:v>17.63</x:v>
      </x:c>
      <x:c r="U782" s="40" t="n">
        <x:v>1.28</x:v>
      </x:c>
      <x:c r="V782" s="38" t="n">
        <x:f>L782*(1-T782/100)*(1-U782/100)</x:f>
        <x:v>135.26454128080002</x:v>
      </x:c>
      <x:c r="W782" s="38" t="n">
        <x:f>G782*N782</x:f>
        <x:v>67936.76955</x:v>
      </x:c>
      <x:c r="X782" s="38" t="n">
        <x:f>H782*O782</x:f>
        <x:v>16157.18405</x:v>
      </x:c>
      <x:c r="Y782" s="38" t="n">
        <x:f>I782*P782</x:f>
        <x:v>3207.6</x:v>
      </x:c>
      <x:c r="Z782" s="38" t="n">
        <x:f>J782*Q782+K782*P782</x:f>
        <x:v>672.1990000000001</x:v>
      </x:c>
      <x:c r="AA782" s="38" t="n">
        <x:f>M782*R782</x:f>
        <x:v>8708.158612500001</x:v>
      </x:c>
      <x:c r="AB782" s="38" t="n">
        <x:f>SUM(W782:AA782)</x:f>
        <x:v>96681.9112125</x:v>
      </x:c>
      <x:c r="AC782" s="38" t="n">
        <x:v>6.72</x:v>
      </x:c>
      <x:c r="AD782" s="38" t="n">
        <x:v>174.33</x:v>
      </x:c>
      <x:c r="AE782" s="38" t="n">
        <x:v>59.29</x:v>
      </x:c>
      <x:c r="AF782" s="38" t="n">
        <x:v>4.8148</x:v>
      </x:c>
      <x:c r="AG782" s="38" t="n">
        <x:v>5.39</x:v>
      </x:c>
      <x:c r="AH782" s="38" t="n">
        <x:f>IF(E782="Fason",L782*S782,0)</x:f>
        <x:v>11351.382800000001</x:v>
      </x:c>
      <x:c r="AI782" s="38" t="n">
        <x:f>IF(E782="Kurum içi",AC782*AD782+AE782*AF782+AB782*12%,0)</x:f>
        <x:v>0</x:v>
      </x:c>
      <x:c r="AJ782" s="38" t="n">
        <x:f>V782*AG782</x:f>
        <x:v>729.0758775035121</x:v>
      </x:c>
      <x:c r="AK782" s="38" t="n">
        <x:f>AB782*2%</x:f>
        <x:v>1933.63822425</x:v>
      </x:c>
      <x:c r="AL782" s="38" t="n">
        <x:f>AB782+AH782+AI782+AJ782+AK782</x:f>
        <x:v>110696.0081142535</x:v>
      </x:c>
      <x:c r="AM782" s="38" t="n">
        <x:f>AL782/V782</x:f>
        <x:v>818.3667875267923</x:v>
      </x:c>
      <x:c r="AN782" s="40" t="n">
        <x:f>(W782+X782)/AL782*100</x:f>
        <x:v>75.96837052443975</x:v>
      </x:c>
      <x:c r="AO782" s="28" t="str">
        <x:v>R01-R20; ilgili satırdaki bölgesel fiyat ve maliyet varsayımları</x:v>
      </x:c>
      <x:c r="AP782" s="28" t="str">
        <x:v>Girdi miktarları, alım fiyatı değişimi, fason bedeli ve parti sonucu simüle edilmiştir; işletme kaydı değildir.</x:v>
      </x:c>
    </x:row>
    <x:row r="783" ht="22" customHeight="1">
      <x:c r="A783" t="str">
        <x:v>SUC-0782</x:v>
      </x:c>
      <x:c r="B783" s="36" t="n">
        <x:v>46269</x:v>
      </x:c>
      <x:c r="C783" t="str">
        <x:v>Doğu Anadolu</x:v>
      </x:c>
      <x:c r="D783" t="str">
        <x:v>ERZURUM_CI</x:v>
      </x:c>
      <x:c r="E783" t="str">
        <x:v>Kurum içi</x:v>
      </x:c>
      <x:c r="F783" s="42" t="str">
        <x:v>SENTETİK/SİMÜLE — gerçek parti kaydı değildir</x:v>
      </x:c>
      <x:c r="G783" s="38" t="n">
        <x:v>55.695</x:v>
      </x:c>
      <x:c r="H783" s="38" t="n">
        <x:v>9.149</x:v>
      </x:c>
      <x:c r="I783" s="38" t="n">
        <x:v>3.448</x:v>
      </x:c>
      <x:c r="J783" s="38" t="n">
        <x:v>1.15</x:v>
      </x:c>
      <x:c r="K783" s="38" t="n">
        <x:v>0.134</x:v>
      </x:c>
      <x:c r="L783" s="38" t="n">
        <x:f>SUM(G783:K783)</x:f>
        <x:v>69.576</x:v>
      </x:c>
      <x:c r="M783" s="38" t="n">
        <x:v>91.015</x:v>
      </x:c>
      <x:c r="N783" s="38" t="n">
        <x:v>581.61</x:v>
      </x:c>
      <x:c r="O783" s="38" t="n">
        <x:v>481.15</x:v>
      </x:c>
      <x:c r="P783" s="38" t="n">
        <x:v>550</x:v>
      </x:c>
      <x:c r="Q783" s="38" t="n">
        <x:v>19.88</x:v>
      </x:c>
      <x:c r="R783" s="38" t="n">
        <x:v>43.7475</x:v>
      </x:c>
      <x:c r="S783" s="38" t="n">
        <x:v>86.38</x:v>
      </x:c>
      <x:c r="T783" s="40" t="n">
        <x:v>16.61</x:v>
      </x:c>
      <x:c r="U783" s="40" t="n">
        <x:v>1.13</x:v>
      </x:c>
      <x:c r="V783" s="38" t="n">
        <x:f>L783*(1-T783/100)*(1-U783/100)</x:f>
        <x:v>57.36380688167999</x:v>
      </x:c>
      <x:c r="W783" s="38" t="n">
        <x:f>G783*N783</x:f>
        <x:v>32392.76895</x:v>
      </x:c>
      <x:c r="X783" s="38" t="n">
        <x:f>H783*O783</x:f>
        <x:v>4402.0413499999995</x:v>
      </x:c>
      <x:c r="Y783" s="38" t="n">
        <x:f>I783*P783</x:f>
        <x:v>1896.3999999999999</x:v>
      </x:c>
      <x:c r="Z783" s="38" t="n">
        <x:f>J783*Q783+K783*P783</x:f>
        <x:v>96.562</x:v>
      </x:c>
      <x:c r="AA783" s="38" t="n">
        <x:f>M783*R783</x:f>
        <x:v>3981.6787125</x:v>
      </x:c>
      <x:c r="AB783" s="38" t="n">
        <x:f>SUM(W783:AA783)</x:f>
        <x:v>42769.451012499994</x:v>
      </x:c>
      <x:c r="AC783" s="38" t="n">
        <x:v>3.51</x:v>
      </x:c>
      <x:c r="AD783" s="38" t="n">
        <x:v>174.33</x:v>
      </x:c>
      <x:c r="AE783" s="38" t="n">
        <x:v>25.64</x:v>
      </x:c>
      <x:c r="AF783" s="38" t="n">
        <x:v>4.8148</x:v>
      </x:c>
      <x:c r="AG783" s="38" t="n">
        <x:v>5.78</x:v>
      </x:c>
      <x:c r="AH783" s="38" t="n">
        <x:f>IF(E783="Fason",L783*S783,0)</x:f>
        <x:v>0</x:v>
      </x:c>
      <x:c r="AI783" s="38" t="n">
        <x:f>IF(E783="Kurum içi",AC783*AD783+AE783*AF783+AB783*12%,0)</x:f>
        <x:v>5867.6838935</x:v>
      </x:c>
      <x:c r="AJ783" s="38" t="n">
        <x:f>V783*AG783</x:f>
        <x:v>331.56280377611034</x:v>
      </x:c>
      <x:c r="AK783" s="38" t="n">
        <x:f>AB783*2%</x:f>
        <x:v>855.3890202499999</x:v>
      </x:c>
      <x:c r="AL783" s="38" t="n">
        <x:f>AB783+AH783+AI783+AJ783+AK783</x:f>
        <x:v>49824.0867300261</x:v>
      </x:c>
      <x:c r="AM783" s="38" t="n">
        <x:f>AL783/V783</x:f>
        <x:v>868.5631138950471</x:v>
      </x:c>
      <x:c r="AN783" s="40" t="n">
        <x:f>(W783+X783)/AL783*100</x:f>
        <x:v>73.84944253845377</x:v>
      </x:c>
      <x:c r="AO783" s="28" t="str">
        <x:v>R01-R20; ilgili satırdaki bölgesel fiyat ve maliyet varsayımları</x:v>
      </x:c>
      <x:c r="AP783" s="28" t="str">
        <x:v>Girdi miktarları, alım fiyatı değişimi, fason bedeli ve parti sonucu simüle edilmiştir; işletme kaydı değildir.</x:v>
      </x:c>
    </x:row>
    <x:row r="784" ht="22" customHeight="1">
      <x:c r="A784" t="str">
        <x:v>SUC-0783</x:v>
      </x:c>
      <x:c r="B784" s="36" t="n">
        <x:v>46275</x:v>
      </x:c>
      <x:c r="C784" t="str">
        <x:v>Ege</x:v>
      </x:c>
      <x:c r="D784" t="str">
        <x:v>MEB_STANDART</x:v>
      </x:c>
      <x:c r="E784" t="str">
        <x:v>Kurum içi</x:v>
      </x:c>
      <x:c r="F784" s="42" t="str">
        <x:v>SENTETİK/SİMÜLE — gerçek parti kaydı değildir</x:v>
      </x:c>
      <x:c r="G784" s="38" t="n">
        <x:v>108.34</x:v>
      </x:c>
      <x:c r="H784" s="38" t="n">
        <x:v>32.825</x:v>
      </x:c>
      <x:c r="I784" s="38" t="n">
        <x:v>7.213</x:v>
      </x:c>
      <x:c r="J784" s="38" t="n">
        <x:v>3.862</x:v>
      </x:c>
      <x:c r="K784" s="38" t="n">
        <x:v>1.604</x:v>
      </x:c>
      <x:c r="L784" s="38" t="n">
        <x:f>SUM(G784:K784)</x:f>
        <x:v>153.84400000000002</x:v>
      </x:c>
      <x:c r="M784" s="38" t="n">
        <x:v>205.199</x:v>
      </x:c>
      <x:c r="N784" s="38" t="n">
        <x:v>595.85</x:v>
      </x:c>
      <x:c r="O784" s="38" t="n">
        <x:v>461.34</x:v>
      </x:c>
      <x:c r="P784" s="38" t="n">
        <x:v>550</x:v>
      </x:c>
      <x:c r="Q784" s="38" t="n">
        <x:v>19.88</x:v>
      </x:c>
      <x:c r="R784" s="38" t="n">
        <x:v>43.7475</x:v>
      </x:c>
      <x:c r="S784" s="38" t="n">
        <x:v>80.62</x:v>
      </x:c>
      <x:c r="T784" s="40" t="n">
        <x:v>19.84</x:v>
      </x:c>
      <x:c r="U784" s="40" t="n">
        <x:v>0.71</x:v>
      </x:c>
      <x:c r="V784" s="38" t="n">
        <x:f>L784*(1-T784/100)*(1-U784/100)</x:f>
        <x:v>122.44576881216001</x:v>
      </x:c>
      <x:c r="W784" s="38" t="n">
        <x:f>G784*N784</x:f>
        <x:v>64554.389</x:v>
      </x:c>
      <x:c r="X784" s="38" t="n">
        <x:f>H784*O784</x:f>
        <x:v>15143.4855</x:v>
      </x:c>
      <x:c r="Y784" s="38" t="n">
        <x:f>I784*P784</x:f>
        <x:v>3967.15</x:v>
      </x:c>
      <x:c r="Z784" s="38" t="n">
        <x:f>J784*Q784+K784*P784</x:f>
        <x:v>958.9765600000001</x:v>
      </x:c>
      <x:c r="AA784" s="38" t="n">
        <x:f>M784*R784</x:f>
        <x:v>8976.943252500001</x:v>
      </x:c>
      <x:c r="AB784" s="38" t="n">
        <x:f>SUM(W784:AA784)</x:f>
        <x:v>93600.9443125</x:v>
      </x:c>
      <x:c r="AC784" s="38" t="n">
        <x:v>7.9</x:v>
      </x:c>
      <x:c r="AD784" s="38" t="n">
        <x:v>174.33</x:v>
      </x:c>
      <x:c r="AE784" s="38" t="n">
        <x:v>59.59</x:v>
      </x:c>
      <x:c r="AF784" s="38" t="n">
        <x:v>4.8148</x:v>
      </x:c>
      <x:c r="AG784" s="38" t="n">
        <x:v>5.18</x:v>
      </x:c>
      <x:c r="AH784" s="38" t="n">
        <x:f>IF(E784="Fason",L784*S784,0)</x:f>
        <x:v>0</x:v>
      </x:c>
      <x:c r="AI784" s="38" t="n">
        <x:f>IF(E784="Kurum içi",AC784*AD784+AE784*AF784+AB784*12%,0)</x:f>
        <x:v>12896.2342495</x:v>
      </x:c>
      <x:c r="AJ784" s="38" t="n">
        <x:f>V784*AG784</x:f>
        <x:v>634.2690824469888</x:v>
      </x:c>
      <x:c r="AK784" s="38" t="n">
        <x:f>AB784*2%</x:f>
        <x:v>1872.01888625</x:v>
      </x:c>
      <x:c r="AL784" s="38" t="n">
        <x:f>AB784+AH784+AI784+AJ784+AK784</x:f>
        <x:v>109003.46653069698</x:v>
      </x:c>
      <x:c r="AM784" s="38" t="n">
        <x:f>AL784/V784</x:f>
        <x:v>890.2183194089424</x:v>
      </x:c>
      <x:c r="AN784" s="40" t="n">
        <x:f>(W784+X784)/AL784*100</x:f>
        <x:v>73.11499077651436</x:v>
      </x:c>
      <x:c r="AO784" s="28" t="str">
        <x:v>R01-R20; ilgili satırdaki bölgesel fiyat ve maliyet varsayımları</x:v>
      </x:c>
      <x:c r="AP784" s="28" t="str">
        <x:v>Girdi miktarları, alım fiyatı değişimi, fason bedeli ve parti sonucu simüle edilmiştir; işletme kaydı değildir.</x:v>
      </x:c>
    </x:row>
    <x:row r="785" ht="22" customHeight="1">
      <x:c r="A785" t="str">
        <x:v>SUC-0784</x:v>
      </x:c>
      <x:c r="B785" s="36" t="n">
        <x:v>46315</x:v>
      </x:c>
      <x:c r="C785" t="str">
        <x:v>Güneydoğu Anadolu</x:v>
      </x:c>
      <x:c r="D785" t="str">
        <x:v>ERZURUM_CI</x:v>
      </x:c>
      <x:c r="E785" t="str">
        <x:v>Fason</x:v>
      </x:c>
      <x:c r="F785" s="42" t="str">
        <x:v>SENTETİK/SİMÜLE — gerçek parti kaydı değildir</x:v>
      </x:c>
      <x:c r="G785" s="38" t="n">
        <x:v>88.456</x:v>
      </x:c>
      <x:c r="H785" s="38" t="n">
        <x:v>16.291</x:v>
      </x:c>
      <x:c r="I785" s="38" t="n">
        <x:v>4.964</x:v>
      </x:c>
      <x:c r="J785" s="38" t="n">
        <x:v>1.931</x:v>
      </x:c>
      <x:c r="K785" s="38" t="n">
        <x:v>0.215</x:v>
      </x:c>
      <x:c r="L785" s="38" t="n">
        <x:f>SUM(G785:K785)</x:f>
        <x:v>111.857</x:v>
      </x:c>
      <x:c r="M785" s="38" t="n">
        <x:v>140.541</x:v>
      </x:c>
      <x:c r="N785" s="38" t="n">
        <x:v>587.17</x:v>
      </x:c>
      <x:c r="O785" s="38" t="n">
        <x:v>465</x:v>
      </x:c>
      <x:c r="P785" s="38" t="n">
        <x:v>669.9</x:v>
      </x:c>
      <x:c r="Q785" s="38" t="n">
        <x:v>19.88</x:v>
      </x:c>
      <x:c r="R785" s="38" t="n">
        <x:v>43.7475</x:v>
      </x:c>
      <x:c r="S785" s="38" t="n">
        <x:v>97.61</x:v>
      </x:c>
      <x:c r="T785" s="40" t="n">
        <x:v>27.59</x:v>
      </x:c>
      <x:c r="U785" s="40" t="n">
        <x:v>1.48</x:v>
      </x:c>
      <x:c r="V785" s="38" t="n">
        <x:f>L785*(1-T785/100)*(1-U785/100)</x:f>
        <x:v>79.79691802523999</x:v>
      </x:c>
      <x:c r="W785" s="38" t="n">
        <x:f>G785*N785</x:f>
        <x:v>51938.70952</x:v>
      </x:c>
      <x:c r="X785" s="38" t="n">
        <x:f>H785*O785</x:f>
        <x:v>7575.3150000000005</x:v>
      </x:c>
      <x:c r="Y785" s="38" t="n">
        <x:f>I785*P785</x:f>
        <x:v>3325.3836</x:v>
      </x:c>
      <x:c r="Z785" s="38" t="n">
        <x:f>J785*Q785+K785*P785</x:f>
        <x:v>182.41678</x:v>
      </x:c>
      <x:c r="AA785" s="38" t="n">
        <x:f>M785*R785</x:f>
        <x:v>6148.3173975</x:v>
      </x:c>
      <x:c r="AB785" s="38" t="n">
        <x:f>SUM(W785:AA785)</x:f>
        <x:v>69170.1422975</x:v>
      </x:c>
      <x:c r="AC785" s="38" t="n">
        <x:v>4.99</x:v>
      </x:c>
      <x:c r="AD785" s="38" t="n">
        <x:v>174.33</x:v>
      </x:c>
      <x:c r="AE785" s="38" t="n">
        <x:v>34.25</x:v>
      </x:c>
      <x:c r="AF785" s="38" t="n">
        <x:v>4.8148</x:v>
      </x:c>
      <x:c r="AG785" s="38" t="n">
        <x:v>5.42</x:v>
      </x:c>
      <x:c r="AH785" s="38" t="n">
        <x:f>IF(E785="Fason",L785*S785,0)</x:f>
        <x:v>10918.36177</x:v>
      </x:c>
      <x:c r="AI785" s="38" t="n">
        <x:f>IF(E785="Kurum içi",AC785*AD785+AE785*AF785+AB785*12%,0)</x:f>
        <x:v>0</x:v>
      </x:c>
      <x:c r="AJ785" s="38" t="n">
        <x:f>V785*AG785</x:f>
        <x:v>432.49929569680074</x:v>
      </x:c>
      <x:c r="AK785" s="38" t="n">
        <x:f>AB785*2%</x:f>
        <x:v>1383.40284595</x:v>
      </x:c>
      <x:c r="AL785" s="38" t="n">
        <x:f>AB785+AH785+AI785+AJ785+AK785</x:f>
        <x:v>81904.40620914681</x:v>
      </x:c>
      <x:c r="AM785" s="38" t="n">
        <x:f>AL785/V785</x:f>
        <x:v>1026.4106463765959</x:v>
      </x:c>
      <x:c r="AN785" s="40" t="n">
        <x:f>(W785+X785)/AL785*100</x:f>
        <x:v>72.66278735728588</x:v>
      </x:c>
      <x:c r="AO785" s="28" t="str">
        <x:v>R01-R20; ilgili satırdaki bölgesel fiyat ve maliyet varsayımları</x:v>
      </x:c>
      <x:c r="AP785" s="28" t="str">
        <x:v>Girdi miktarları, alım fiyatı değişimi, fason bedeli ve parti sonucu simüle edilmiştir; işletme kaydı değildir.</x:v>
      </x:c>
    </x:row>
    <x:row r="786" ht="22" customHeight="1">
      <x:c r="A786" t="str">
        <x:v>SUC-0785</x:v>
      </x:c>
      <x:c r="B786" s="36" t="n">
        <x:v>46270</x:v>
      </x:c>
      <x:c r="C786" t="str">
        <x:v>Akdeniz</x:v>
      </x:c>
      <x:c r="D786" t="str">
        <x:v>MEB_STANDART</x:v>
      </x:c>
      <x:c r="E786" t="str">
        <x:v>Kurum içi</x:v>
      </x:c>
      <x:c r="F786" s="42" t="str">
        <x:v>SENTETİK/SİMÜLE — gerçek parti kaydı değildir</x:v>
      </x:c>
      <x:c r="G786" s="38" t="n">
        <x:v>219.699</x:v>
      </x:c>
      <x:c r="H786" s="38" t="n">
        <x:v>66.475</x:v>
      </x:c>
      <x:c r="I786" s="38" t="n">
        <x:v>14.06</x:v>
      </x:c>
      <x:c r="J786" s="38" t="n">
        <x:v>7.586</x:v>
      </x:c>
      <x:c r="K786" s="38" t="n">
        <x:v>2.913</x:v>
      </x:c>
      <x:c r="L786" s="38" t="n">
        <x:f>SUM(G786:K786)</x:f>
        <x:v>310.733</x:v>
      </x:c>
      <x:c r="M786" s="38" t="n">
        <x:v>397.199</x:v>
      </x:c>
      <x:c r="N786" s="38" t="n">
        <x:v>581.95</x:v>
      </x:c>
      <x:c r="O786" s="38" t="n">
        <x:v>461.68</x:v>
      </x:c>
      <x:c r="P786" s="38" t="n">
        <x:v>550</x:v>
      </x:c>
      <x:c r="Q786" s="38" t="n">
        <x:v>19.88</x:v>
      </x:c>
      <x:c r="R786" s="38" t="n">
        <x:v>43.7475</x:v>
      </x:c>
      <x:c r="S786" s="38" t="n">
        <x:v>79.26</x:v>
      </x:c>
      <x:c r="T786" s="40" t="n">
        <x:v>22.9</x:v>
      </x:c>
      <x:c r="U786" s="40" t="n">
        <x:v>0.43</x:v>
      </x:c>
      <x:c r="V786" s="38" t="n">
        <x:f>L786*(1-T786/100)*(1-U786/100)</x:f>
        <x:v>238.54496988510002</x:v>
      </x:c>
      <x:c r="W786" s="38" t="n">
        <x:f>G786*N786</x:f>
        <x:v>127853.83305000002</x:v>
      </x:c>
      <x:c r="X786" s="38" t="n">
        <x:f>H786*O786</x:f>
        <x:v>30690.177999999996</x:v>
      </x:c>
      <x:c r="Y786" s="38" t="n">
        <x:f>I786*P786</x:f>
        <x:v>7733</x:v>
      </x:c>
      <x:c r="Z786" s="38" t="n">
        <x:f>J786*Q786+K786*P786</x:f>
        <x:v>1752.95968</x:v>
      </x:c>
      <x:c r="AA786" s="38" t="n">
        <x:f>M786*R786</x:f>
        <x:v>17376.4632525</x:v>
      </x:c>
      <x:c r="AB786" s="38" t="n">
        <x:f>SUM(W786:AA786)</x:f>
        <x:v>185406.4339825</x:v>
      </x:c>
      <x:c r="AC786" s="38" t="n">
        <x:v>20.68</x:v>
      </x:c>
      <x:c r="AD786" s="38" t="n">
        <x:v>174.33</x:v>
      </x:c>
      <x:c r="AE786" s="38" t="n">
        <x:v>82.48</x:v>
      </x:c>
      <x:c r="AF786" s="38" t="n">
        <x:v>4.8148</x:v>
      </x:c>
      <x:c r="AG786" s="38" t="n">
        <x:v>5.89</x:v>
      </x:c>
      <x:c r="AH786" s="38" t="n">
        <x:f>IF(E786="Fason",L786*S786,0)</x:f>
        <x:v>0</x:v>
      </x:c>
      <x:c r="AI786" s="38" t="n">
        <x:f>IF(E786="Kurum içi",AC786*AD786+AE786*AF786+AB786*12%,0)</x:f>
        <x:v>26251.041181899996</x:v>
      </x:c>
      <x:c r="AJ786" s="38" t="n">
        <x:f>V786*AG786</x:f>
        <x:v>1405.029872623239</x:v>
      </x:c>
      <x:c r="AK786" s="38" t="n">
        <x:f>AB786*2%</x:f>
        <x:v>3708.12867965</x:v>
      </x:c>
      <x:c r="AL786" s="38" t="n">
        <x:f>AB786+AH786+AI786+AJ786+AK786</x:f>
        <x:v>216770.6337166732</x:v>
      </x:c>
      <x:c r="AM786" s="38" t="n">
        <x:f>AL786/V786</x:f>
        <x:v>908.7202040817929</x:v>
      </x:c>
      <x:c r="AN786" s="40" t="n">
        <x:f>(W786+X786)/AL786*100</x:f>
        <x:v>73.13906331852246</x:v>
      </x:c>
      <x:c r="AO786" s="28" t="str">
        <x:v>R01-R20; ilgili satırdaki bölgesel fiyat ve maliyet varsayımları</x:v>
      </x:c>
      <x:c r="AP786" s="28" t="str">
        <x:v>Girdi miktarları, alım fiyatı değişimi, fason bedeli ve parti sonucu simüle edilmiştir; işletme kaydı değildir.</x:v>
      </x:c>
    </x:row>
    <x:row r="787" ht="22" customHeight="1">
      <x:c r="A787" t="str">
        <x:v>SUC-0786</x:v>
      </x:c>
      <x:c r="B787" s="36" t="n">
        <x:v>46280</x:v>
      </x:c>
      <x:c r="C787" t="str">
        <x:v>Doğu Anadolu</x:v>
      </x:c>
      <x:c r="D787" t="str">
        <x:v>MEB_STANDART</x:v>
      </x:c>
      <x:c r="E787" t="str">
        <x:v>Kurum içi</x:v>
      </x:c>
      <x:c r="F787" s="42" t="str">
        <x:v>SENTETİK/SİMÜLE — gerçek parti kaydı değildir</x:v>
      </x:c>
      <x:c r="G787" s="38" t="n">
        <x:v>263.676</x:v>
      </x:c>
      <x:c r="H787" s="38" t="n">
        <x:v>81.369</x:v>
      </x:c>
      <x:c r="I787" s="38" t="n">
        <x:v>16.953</x:v>
      </x:c>
      <x:c r="J787" s="38" t="n">
        <x:v>8.59</x:v>
      </x:c>
      <x:c r="K787" s="38" t="n">
        <x:v>3.667</x:v>
      </x:c>
      <x:c r="L787" s="38" t="n">
        <x:f>SUM(G787:K787)</x:f>
        <x:v>374.2549999999999</x:v>
      </x:c>
      <x:c r="M787" s="38" t="n">
        <x:v>448.945</x:v>
      </x:c>
      <x:c r="N787" s="38" t="n">
        <x:v>588.05</x:v>
      </x:c>
      <x:c r="O787" s="38" t="n">
        <x:v>409.67</x:v>
      </x:c>
      <x:c r="P787" s="38" t="n">
        <x:v>669.9</x:v>
      </x:c>
      <x:c r="Q787" s="38" t="n">
        <x:v>19.88</x:v>
      </x:c>
      <x:c r="R787" s="38" t="n">
        <x:v>43.7475</x:v>
      </x:c>
      <x:c r="S787" s="38" t="n">
        <x:v>79.58</x:v>
      </x:c>
      <x:c r="T787" s="40" t="n">
        <x:v>20.54</x:v>
      </x:c>
      <x:c r="U787" s="40" t="n">
        <x:v>1.48</x:v>
      </x:c>
      <x:c r="V787" s="38" t="n">
        <x:f>L787*(1-T787/100)*(1-U787/100)</x:f>
        <x:v>292.98175425959994</x:v>
      </x:c>
      <x:c r="W787" s="38" t="n">
        <x:f>G787*N787</x:f>
        <x:v>155054.67179999998</x:v>
      </x:c>
      <x:c r="X787" s="38" t="n">
        <x:f>H787*O787</x:f>
        <x:v>33334.43823</x:v>
      </x:c>
      <x:c r="Y787" s="38" t="n">
        <x:f>I787*P787</x:f>
        <x:v>11356.814699999999</x:v>
      </x:c>
      <x:c r="Z787" s="38" t="n">
        <x:f>J787*Q787+K787*P787</x:f>
        <x:v>2627.2925</x:v>
      </x:c>
      <x:c r="AA787" s="38" t="n">
        <x:f>M787*R787</x:f>
        <x:v>19640.2213875</x:v>
      </x:c>
      <x:c r="AB787" s="38" t="n">
        <x:f>SUM(W787:AA787)</x:f>
        <x:v>222013.43861749998</x:v>
      </x:c>
      <x:c r="AC787" s="38" t="n">
        <x:v>22.66</x:v>
      </x:c>
      <x:c r="AD787" s="38" t="n">
        <x:v>174.33</x:v>
      </x:c>
      <x:c r="AE787" s="38" t="n">
        <x:v>155.66</x:v>
      </x:c>
      <x:c r="AF787" s="38" t="n">
        <x:v>4.8148</x:v>
      </x:c>
      <x:c r="AG787" s="38" t="n">
        <x:v>5.81</x:v>
      </x:c>
      <x:c r="AH787" s="38" t="n">
        <x:f>IF(E787="Fason",L787*S787,0)</x:f>
        <x:v>0</x:v>
      </x:c>
      <x:c r="AI787" s="38" t="n">
        <x:f>IF(E787="Kurum içi",AC787*AD787+AE787*AF787+AB787*12%,0)</x:f>
        <x:v>31341.4022021</x:v>
      </x:c>
      <x:c r="AJ787" s="38" t="n">
        <x:f>V787*AG787</x:f>
        <x:v>1702.2239922482756</x:v>
      </x:c>
      <x:c r="AK787" s="38" t="n">
        <x:f>AB787*2%</x:f>
        <x:v>4440.268772349999</x:v>
      </x:c>
      <x:c r="AL787" s="38" t="n">
        <x:f>AB787+AH787+AI787+AJ787+AK787</x:f>
        <x:v>259497.33358419826</x:v>
      </x:c>
      <x:c r="AM787" s="38" t="n">
        <x:f>AL787/V787</x:f>
        <x:v>885.7115837809736</x:v>
      </x:c>
      <x:c r="AN787" s="40" t="n">
        <x:f>(W787+X787)/AL787*100</x:f>
        <x:v>72.5977055054687</x:v>
      </x:c>
      <x:c r="AO787" s="28" t="str">
        <x:v>R01-R20; ilgili satırdaki bölgesel fiyat ve maliyet varsayımları</x:v>
      </x:c>
      <x:c r="AP787" s="28" t="str">
        <x:v>Girdi miktarları, alım fiyatı değişimi, fason bedeli ve parti sonucu simüle edilmiştir; işletme kaydı değildir.</x:v>
      </x:c>
    </x:row>
    <x:row r="788" ht="22" customHeight="1">
      <x:c r="A788" t="str">
        <x:v>SUC-0787</x:v>
      </x:c>
      <x:c r="B788" s="36" t="n">
        <x:v>46310</x:v>
      </x:c>
      <x:c r="C788" t="str">
        <x:v>Karadeniz</x:v>
      </x:c>
      <x:c r="D788" t="str">
        <x:v>MEB_STANDART</x:v>
      </x:c>
      <x:c r="E788" t="str">
        <x:v>Fason</x:v>
      </x:c>
      <x:c r="F788" s="42" t="str">
        <x:v>SENTETİK/SİMÜLE — gerçek parti kaydı değildir</x:v>
      </x:c>
      <x:c r="G788" s="38" t="n">
        <x:v>62.334</x:v>
      </x:c>
      <x:c r="H788" s="38" t="n">
        <x:v>20.634</x:v>
      </x:c>
      <x:c r="I788" s="38" t="n">
        <x:v>3.893</x:v>
      </x:c>
      <x:c r="J788" s="38" t="n">
        <x:v>2.416</x:v>
      </x:c>
      <x:c r="K788" s="38" t="n">
        <x:v>0.816</x:v>
      </x:c>
      <x:c r="L788" s="38" t="n">
        <x:f>SUM(G788:K788)</x:f>
        <x:v>90.093</x:v>
      </x:c>
      <x:c r="M788" s="38" t="n">
        <x:v>118.06</x:v>
      </x:c>
      <x:c r="N788" s="38" t="n">
        <x:v>592.01</x:v>
      </x:c>
      <x:c r="O788" s="38" t="n">
        <x:v>472.42</x:v>
      </x:c>
      <x:c r="P788" s="38" t="n">
        <x:v>550</x:v>
      </x:c>
      <x:c r="Q788" s="38" t="n">
        <x:v>19.88</x:v>
      </x:c>
      <x:c r="R788" s="38" t="n">
        <x:v>43.7475</x:v>
      </x:c>
      <x:c r="S788" s="38" t="n">
        <x:v>95.02</x:v>
      </x:c>
      <x:c r="T788" s="40" t="n">
        <x:v>29.04</x:v>
      </x:c>
      <x:c r="U788" s="40" t="n">
        <x:v>1.08</x:v>
      </x:c>
      <x:c r="V788" s="38" t="n">
        <x:f>L788*(1-T788/100)*(1-U788/100)</x:f>
        <x:v>63.23954887776</x:v>
      </x:c>
      <x:c r="W788" s="38" t="n">
        <x:f>G788*N788</x:f>
        <x:v>36902.35134</x:v>
      </x:c>
      <x:c r="X788" s="38" t="n">
        <x:f>H788*O788</x:f>
        <x:v>9747.91428</x:v>
      </x:c>
      <x:c r="Y788" s="38" t="n">
        <x:f>I788*P788</x:f>
        <x:v>2141.15</x:v>
      </x:c>
      <x:c r="Z788" s="38" t="n">
        <x:f>J788*Q788+K788*P788</x:f>
        <x:v>496.83007999999995</x:v>
      </x:c>
      <x:c r="AA788" s="38" t="n">
        <x:f>M788*R788</x:f>
        <x:v>5164.82985</x:v>
      </x:c>
      <x:c r="AB788" s="38" t="n">
        <x:f>SUM(W788:AA788)</x:f>
        <x:v>54453.07555000001</x:v>
      </x:c>
      <x:c r="AC788" s="38" t="n">
        <x:v>6.07</x:v>
      </x:c>
      <x:c r="AD788" s="38" t="n">
        <x:v>174.33</x:v>
      </x:c>
      <x:c r="AE788" s="38" t="n">
        <x:v>40.25</x:v>
      </x:c>
      <x:c r="AF788" s="38" t="n">
        <x:v>4.8148</x:v>
      </x:c>
      <x:c r="AG788" s="38" t="n">
        <x:v>5.15</x:v>
      </x:c>
      <x:c r="AH788" s="38" t="n">
        <x:f>IF(E788="Fason",L788*S788,0)</x:f>
        <x:v>8560.63686</x:v>
      </x:c>
      <x:c r="AI788" s="38" t="n">
        <x:f>IF(E788="Kurum içi",AC788*AD788+AE788*AF788+AB788*12%,0)</x:f>
        <x:v>0</x:v>
      </x:c>
      <x:c r="AJ788" s="38" t="n">
        <x:f>V788*AG788</x:f>
        <x:v>325.683676720464</x:v>
      </x:c>
      <x:c r="AK788" s="38" t="n">
        <x:f>AB788*2%</x:f>
        <x:v>1089.061511</x:v>
      </x:c>
      <x:c r="AL788" s="38" t="n">
        <x:f>AB788+AH788+AI788+AJ788+AK788</x:f>
        <x:v>64428.45759772047</x:v>
      </x:c>
      <x:c r="AM788" s="38" t="n">
        <x:f>AL788/V788</x:f>
        <x:v>1018.8000822437648</x:v>
      </x:c>
      <x:c r="AN788" s="40" t="n">
        <x:f>(W788+X788)/AL788*100</x:f>
        <x:v>72.40630516296967</x:v>
      </x:c>
      <x:c r="AO788" s="28" t="str">
        <x:v>R01-R20; ilgili satırdaki bölgesel fiyat ve maliyet varsayımları</x:v>
      </x:c>
      <x:c r="AP788" s="28" t="str">
        <x:v>Girdi miktarları, alım fiyatı değişimi, fason bedeli ve parti sonucu simüle edilmiştir; işletme kaydı değildir.</x:v>
      </x:c>
    </x:row>
    <x:row r="789" ht="22" customHeight="1">
      <x:c r="A789" t="str">
        <x:v>SUC-0788</x:v>
      </x:c>
      <x:c r="B789" s="36" t="n">
        <x:v>46298</x:v>
      </x:c>
      <x:c r="C789" t="str">
        <x:v>Marmara</x:v>
      </x:c>
      <x:c r="D789" t="str">
        <x:v>ERZURUM_CI</x:v>
      </x:c>
      <x:c r="E789" t="str">
        <x:v>Kurum içi</x:v>
      </x:c>
      <x:c r="F789" s="42" t="str">
        <x:v>SENTETİK/SİMÜLE — gerçek parti kaydı değildir</x:v>
      </x:c>
      <x:c r="G789" s="38" t="n">
        <x:v>356.816</x:v>
      </x:c>
      <x:c r="H789" s="38" t="n">
        <x:v>60.509</x:v>
      </x:c>
      <x:c r="I789" s="38" t="n">
        <x:v>20.919</x:v>
      </x:c>
      <x:c r="J789" s="38" t="n">
        <x:v>7.148</x:v>
      </x:c>
      <x:c r="K789" s="38" t="n">
        <x:v>0.46</x:v>
      </x:c>
      <x:c r="L789" s="38" t="n">
        <x:f>SUM(G789:K789)</x:f>
        <x:v>445.852</x:v>
      </x:c>
      <x:c r="M789" s="38" t="n">
        <x:v>548.067</x:v>
      </x:c>
      <x:c r="N789" s="38" t="n">
        <x:v>605.2</x:v>
      </x:c>
      <x:c r="O789" s="38" t="n">
        <x:v>469.62</x:v>
      </x:c>
      <x:c r="P789" s="38" t="n">
        <x:v>550</x:v>
      </x:c>
      <x:c r="Q789" s="38" t="n">
        <x:v>19.88</x:v>
      </x:c>
      <x:c r="R789" s="38" t="n">
        <x:v>43.7475</x:v>
      </x:c>
      <x:c r="S789" s="38" t="n">
        <x:v>73.42</x:v>
      </x:c>
      <x:c r="T789" s="40" t="n">
        <x:v>19.61</x:v>
      </x:c>
      <x:c r="U789" s="40" t="n">
        <x:v>0.43</x:v>
      </x:c>
      <x:c r="V789" s="38" t="n">
        <x:f>L789*(1-T789/100)*(1-U789/100)</x:f>
        <x:v>356.87921498196</x:v>
      </x:c>
      <x:c r="W789" s="38" t="n">
        <x:f>G789*N789</x:f>
        <x:v>215945.04320000001</x:v>
      </x:c>
      <x:c r="X789" s="38" t="n">
        <x:f>H789*O789</x:f>
        <x:v>28416.23658</x:v>
      </x:c>
      <x:c r="Y789" s="38" t="n">
        <x:f>I789*P789</x:f>
        <x:v>11505.45</x:v>
      </x:c>
      <x:c r="Z789" s="38" t="n">
        <x:f>J789*Q789+K789*P789</x:f>
        <x:v>395.10224</x:v>
      </x:c>
      <x:c r="AA789" s="38" t="n">
        <x:f>M789*R789</x:f>
        <x:v>23976.5610825</x:v>
      </x:c>
      <x:c r="AB789" s="38" t="n">
        <x:f>SUM(W789:AA789)</x:f>
        <x:v>280238.3931025</x:v>
      </x:c>
      <x:c r="AC789" s="38" t="n">
        <x:v>24.27</x:v>
      </x:c>
      <x:c r="AD789" s="38" t="n">
        <x:v>174.33</x:v>
      </x:c>
      <x:c r="AE789" s="38" t="n">
        <x:v>149.53</x:v>
      </x:c>
      <x:c r="AF789" s="38" t="n">
        <x:v>4.8148</x:v>
      </x:c>
      <x:c r="AG789" s="38" t="n">
        <x:v>5.2</x:v>
      </x:c>
      <x:c r="AH789" s="38" t="n">
        <x:f>IF(E789="Fason",L789*S789,0)</x:f>
        <x:v>0</x:v>
      </x:c>
      <x:c r="AI789" s="38" t="n">
        <x:f>IF(E789="Kurum içi",AC789*AD789+AE789*AF789+AB789*12%,0)</x:f>
        <x:v>38579.5533163</x:v>
      </x:c>
      <x:c r="AJ789" s="38" t="n">
        <x:f>V789*AG789</x:f>
        <x:v>1855.771917906192</x:v>
      </x:c>
      <x:c r="AK789" s="38" t="n">
        <x:f>AB789*2%</x:f>
        <x:v>5604.76786205</x:v>
      </x:c>
      <x:c r="AL789" s="38" t="n">
        <x:f>AB789+AH789+AI789+AJ789+AK789</x:f>
        <x:v>326278.48619875615</x:v>
      </x:c>
      <x:c r="AM789" s="38" t="n">
        <x:f>AL789/V789</x:f>
        <x:v>914.2546623659473</x:v>
      </x:c>
      <x:c r="AN789" s="40" t="n">
        <x:f>(W789+X789)/AL789*100</x:f>
        <x:v>74.89346987810427</x:v>
      </x:c>
      <x:c r="AO789" s="28" t="str">
        <x:v>R01-R20; ilgili satırdaki bölgesel fiyat ve maliyet varsayımları</x:v>
      </x:c>
      <x:c r="AP789" s="28" t="str">
        <x:v>Girdi miktarları, alım fiyatı değişimi, fason bedeli ve parti sonucu simüle edilmiştir; işletme kaydı değildir.</x:v>
      </x:c>
    </x:row>
    <x:row r="790" ht="22" customHeight="1">
      <x:c r="A790" t="str">
        <x:v>SUC-0789</x:v>
      </x:c>
      <x:c r="B790" s="36" t="n">
        <x:v>46268</x:v>
      </x:c>
      <x:c r="C790" t="str">
        <x:v>Ege</x:v>
      </x:c>
      <x:c r="D790" t="str">
        <x:v>MEB_STANDART</x:v>
      </x:c>
      <x:c r="E790" t="str">
        <x:v>Kurum içi</x:v>
      </x:c>
      <x:c r="F790" s="42" t="str">
        <x:v>SENTETİK/SİMÜLE — gerçek parti kaydı değildir</x:v>
      </x:c>
      <x:c r="G790" s="38" t="n">
        <x:v>241.909</x:v>
      </x:c>
      <x:c r="H790" s="38" t="n">
        <x:v>74.757</x:v>
      </x:c>
      <x:c r="I790" s="38" t="n">
        <x:v>14.822</x:v>
      </x:c>
      <x:c r="J790" s="38" t="n">
        <x:v>9.008</x:v>
      </x:c>
      <x:c r="K790" s="38" t="n">
        <x:v>3.896</x:v>
      </x:c>
      <x:c r="L790" s="38" t="n">
        <x:f>SUM(G790:K790)</x:f>
        <x:v>344.392</x:v>
      </x:c>
      <x:c r="M790" s="38" t="n">
        <x:v>423.596</x:v>
      </x:c>
      <x:c r="N790" s="38" t="n">
        <x:v>595.97</x:v>
      </x:c>
      <x:c r="O790" s="38" t="n">
        <x:v>474.25</x:v>
      </x:c>
      <x:c r="P790" s="38" t="n">
        <x:v>550</x:v>
      </x:c>
      <x:c r="Q790" s="38" t="n">
        <x:v>19.88</x:v>
      </x:c>
      <x:c r="R790" s="38" t="n">
        <x:v>43.7475</x:v>
      </x:c>
      <x:c r="S790" s="38" t="n">
        <x:v>121.83</x:v>
      </x:c>
      <x:c r="T790" s="40" t="n">
        <x:v>27.85</x:v>
      </x:c>
      <x:c r="U790" s="40" t="n">
        <x:v>1.68</x:v>
      </x:c>
      <x:c r="V790" s="38" t="n">
        <x:f>L790*(1-T790/100)*(1-U790/100)</x:f>
        <x:v>244.3043836896</x:v>
      </x:c>
      <x:c r="W790" s="38" t="n">
        <x:f>G790*N790</x:f>
        <x:v>144170.50673</x:v>
      </x:c>
      <x:c r="X790" s="38" t="n">
        <x:f>H790*O790</x:f>
        <x:v>35453.50725</x:v>
      </x:c>
      <x:c r="Y790" s="38" t="n">
        <x:f>I790*P790</x:f>
        <x:v>8152.099999999999</x:v>
      </x:c>
      <x:c r="Z790" s="38" t="n">
        <x:f>J790*Q790+K790*P790</x:f>
        <x:v>2321.87904</x:v>
      </x:c>
      <x:c r="AA790" s="38" t="n">
        <x:f>M790*R790</x:f>
        <x:v>18531.26601</x:v>
      </x:c>
      <x:c r="AB790" s="38" t="n">
        <x:f>SUM(W790:AA790)</x:f>
        <x:v>208629.25903</x:v>
      </x:c>
      <x:c r="AC790" s="38" t="n">
        <x:v>18.89</x:v>
      </x:c>
      <x:c r="AD790" s="38" t="n">
        <x:v>174.33</x:v>
      </x:c>
      <x:c r="AE790" s="38" t="n">
        <x:v>96.09</x:v>
      </x:c>
      <x:c r="AF790" s="38" t="n">
        <x:v>4.8148</x:v>
      </x:c>
      <x:c r="AG790" s="38" t="n">
        <x:v>5.62</x:v>
      </x:c>
      <x:c r="AH790" s="38" t="n">
        <x:f>IF(E790="Fason",L790*S790,0)</x:f>
        <x:v>0</x:v>
      </x:c>
      <x:c r="AI790" s="38" t="n">
        <x:f>IF(E790="Kurum içi",AC790*AD790+AE790*AF790+AB790*12%,0)</x:f>
        <x:v>28791.2589156</x:v>
      </x:c>
      <x:c r="AJ790" s="38" t="n">
        <x:f>V790*AG790</x:f>
        <x:v>1372.990636335552</x:v>
      </x:c>
      <x:c r="AK790" s="38" t="n">
        <x:f>AB790*2%</x:f>
        <x:v>4172.5851806</x:v>
      </x:c>
      <x:c r="AL790" s="38" t="n">
        <x:f>AB790+AH790+AI790+AJ790+AK790</x:f>
        <x:v>242966.0937625355</x:v>
      </x:c>
      <x:c r="AM790" s="38" t="n">
        <x:f>AL790/V790</x:f>
        <x:v>994.5220388318335</x:v>
      </x:c>
      <x:c r="AN790" s="40" t="n">
        <x:f>(W790+X790)/AL790*100</x:f>
        <x:v>73.92966285886651</x:v>
      </x:c>
      <x:c r="AO790" s="28" t="str">
        <x:v>R01-R20; ilgili satırdaki bölgesel fiyat ve maliyet varsayımları</x:v>
      </x:c>
      <x:c r="AP790" s="28" t="str">
        <x:v>Girdi miktarları, alım fiyatı değişimi, fason bedeli ve parti sonucu simüle edilmiştir; işletme kaydı değildir.</x:v>
      </x:c>
    </x:row>
    <x:row r="791" ht="22" customHeight="1">
      <x:c r="A791" t="str">
        <x:v>SUC-0790</x:v>
      </x:c>
      <x:c r="B791" s="36" t="n">
        <x:v>46275</x:v>
      </x:c>
      <x:c r="C791" t="str">
        <x:v>Akdeniz</x:v>
      </x:c>
      <x:c r="D791" t="str">
        <x:v>MEB_STANDART</x:v>
      </x:c>
      <x:c r="E791" t="str">
        <x:v>Fason</x:v>
      </x:c>
      <x:c r="F791" s="42" t="str">
        <x:v>SENTETİK/SİMÜLE — gerçek parti kaydı değildir</x:v>
      </x:c>
      <x:c r="G791" s="38" t="n">
        <x:v>143.135</x:v>
      </x:c>
      <x:c r="H791" s="38" t="n">
        <x:v>43.207</x:v>
      </x:c>
      <x:c r="I791" s="38" t="n">
        <x:v>9.616</x:v>
      </x:c>
      <x:c r="J791" s="38" t="n">
        <x:v>5.187</x:v>
      </x:c>
      <x:c r="K791" s="38" t="n">
        <x:v>2.336</x:v>
      </x:c>
      <x:c r="L791" s="38" t="n">
        <x:f>SUM(G791:K791)</x:f>
        <x:v>203.481</x:v>
      </x:c>
      <x:c r="M791" s="38" t="n">
        <x:v>262.623</x:v>
      </x:c>
      <x:c r="N791" s="38" t="n">
        <x:v>582.69</x:v>
      </x:c>
      <x:c r="O791" s="38" t="n">
        <x:v>472.19</x:v>
      </x:c>
      <x:c r="P791" s="38" t="n">
        <x:v>550</x:v>
      </x:c>
      <x:c r="Q791" s="38" t="n">
        <x:v>19.88</x:v>
      </x:c>
      <x:c r="R791" s="38" t="n">
        <x:v>43.7475</x:v>
      </x:c>
      <x:c r="S791" s="38" t="n">
        <x:v>77.69</x:v>
      </x:c>
      <x:c r="T791" s="40" t="n">
        <x:v>26.12</x:v>
      </x:c>
      <x:c r="U791" s="40" t="n">
        <x:v>0.56</x:v>
      </x:c>
      <x:c r="V791" s="38" t="n">
        <x:f>L791*(1-T791/100)*(1-U791/100)</x:f>
        <x:v>149.48990492832</x:v>
      </x:c>
      <x:c r="W791" s="38" t="n">
        <x:f>G791*N791</x:f>
        <x:v>83403.33315</x:v>
      </x:c>
      <x:c r="X791" s="38" t="n">
        <x:f>H791*O791</x:f>
        <x:v>20401.91333</x:v>
      </x:c>
      <x:c r="Y791" s="38" t="n">
        <x:f>I791*P791</x:f>
        <x:v>5288.8</x:v>
      </x:c>
      <x:c r="Z791" s="38" t="n">
        <x:f>J791*Q791+K791*P791</x:f>
        <x:v>1387.9175599999999</x:v>
      </x:c>
      <x:c r="AA791" s="38" t="n">
        <x:f>M791*R791</x:f>
        <x:v>11489.0996925</x:v>
      </x:c>
      <x:c r="AB791" s="38" t="n">
        <x:f>SUM(W791:AA791)</x:f>
        <x:v>121971.06373250001</x:v>
      </x:c>
      <x:c r="AC791" s="38" t="n">
        <x:v>7.43</x:v>
      </x:c>
      <x:c r="AD791" s="38" t="n">
        <x:v>174.33</x:v>
      </x:c>
      <x:c r="AE791" s="38" t="n">
        <x:v>94.73</x:v>
      </x:c>
      <x:c r="AF791" s="38" t="n">
        <x:v>4.8148</x:v>
      </x:c>
      <x:c r="AG791" s="38" t="n">
        <x:v>5.76</x:v>
      </x:c>
      <x:c r="AH791" s="38" t="n">
        <x:f>IF(E791="Fason",L791*S791,0)</x:f>
        <x:v>15808.43889</x:v>
      </x:c>
      <x:c r="AI791" s="38" t="n">
        <x:f>IF(E791="Kurum içi",AC791*AD791+AE791*AF791+AB791*12%,0)</x:f>
        <x:v>0</x:v>
      </x:c>
      <x:c r="AJ791" s="38" t="n">
        <x:f>V791*AG791</x:f>
        <x:v>861.061852387123</x:v>
      </x:c>
      <x:c r="AK791" s="38" t="n">
        <x:f>AB791*2%</x:f>
        <x:v>2439.42127465</x:v>
      </x:c>
      <x:c r="AL791" s="38" t="n">
        <x:f>AB791+AH791+AI791+AJ791+AK791</x:f>
        <x:v>141079.98574953713</x:v>
      </x:c>
      <x:c r="AM791" s="38" t="n">
        <x:f>AL791/V791</x:f>
        <x:v>943.7425611929086</x:v>
      </x:c>
      <x:c r="AN791" s="40" t="n">
        <x:f>(W791+X791)/AL791*100</x:f>
        <x:v>73.5790026689456</x:v>
      </x:c>
      <x:c r="AO791" s="28" t="str">
        <x:v>R01-R20; ilgili satırdaki bölgesel fiyat ve maliyet varsayımları</x:v>
      </x:c>
      <x:c r="AP791" s="28" t="str">
        <x:v>Girdi miktarları, alım fiyatı değişimi, fason bedeli ve parti sonucu simüle edilmiştir; işletme kaydı değildir.</x:v>
      </x:c>
    </x:row>
    <x:row r="792" ht="22" customHeight="1">
      <x:c r="A792" t="str">
        <x:v>SUC-0791</x:v>
      </x:c>
      <x:c r="B792" s="36" t="n">
        <x:v>46272</x:v>
      </x:c>
      <x:c r="C792" t="str">
        <x:v>Güneydoğu Anadolu</x:v>
      </x:c>
      <x:c r="D792" t="str">
        <x:v>ERZURUM_CI</x:v>
      </x:c>
      <x:c r="E792" t="str">
        <x:v>Kurum içi</x:v>
      </x:c>
      <x:c r="F792" s="42" t="str">
        <x:v>SENTETİK/SİMÜLE — gerçek parti kaydı değildir</x:v>
      </x:c>
      <x:c r="G792" s="38" t="n">
        <x:v>158.932</x:v>
      </x:c>
      <x:c r="H792" s="38" t="n">
        <x:v>27.504</x:v>
      </x:c>
      <x:c r="I792" s="38" t="n">
        <x:v>9.003</x:v>
      </x:c>
      <x:c r="J792" s="38" t="n">
        <x:v>3.007</x:v>
      </x:c>
      <x:c r="K792" s="38" t="n">
        <x:v>0.121</x:v>
      </x:c>
      <x:c r="L792" s="38" t="n">
        <x:f>SUM(G792:K792)</x:f>
        <x:v>198.56699999999998</x:v>
      </x:c>
      <x:c r="M792" s="38" t="n">
        <x:v>234.141</x:v>
      </x:c>
      <x:c r="N792" s="38" t="n">
        <x:v>585.25</x:v>
      </x:c>
      <x:c r="O792" s="38" t="n">
        <x:v>411.05</x:v>
      </x:c>
      <x:c r="P792" s="38" t="n">
        <x:v>400</x:v>
      </x:c>
      <x:c r="Q792" s="38" t="n">
        <x:v>19.88</x:v>
      </x:c>
      <x:c r="R792" s="38" t="n">
        <x:v>43.7475</x:v>
      </x:c>
      <x:c r="S792" s="38" t="n">
        <x:v>120.92</x:v>
      </x:c>
      <x:c r="T792" s="40" t="n">
        <x:v>19.44</x:v>
      </x:c>
      <x:c r="U792" s="40" t="n">
        <x:v>0.86</x:v>
      </x:c>
      <x:c r="V792" s="38" t="n">
        <x:f>L792*(1-T792/100)*(1-U792/100)</x:f>
        <x:v>158.58987125328</x:v>
      </x:c>
      <x:c r="W792" s="38" t="n">
        <x:f>G792*N792</x:f>
        <x:v>93014.953</x:v>
      </x:c>
      <x:c r="X792" s="38" t="n">
        <x:f>H792*O792</x:f>
        <x:v>11305.5192</x:v>
      </x:c>
      <x:c r="Y792" s="38" t="n">
        <x:f>I792*P792</x:f>
        <x:v>3601.2</x:v>
      </x:c>
      <x:c r="Z792" s="38" t="n">
        <x:f>J792*Q792+K792*P792</x:f>
        <x:v>108.17916</x:v>
      </x:c>
      <x:c r="AA792" s="38" t="n">
        <x:f>M792*R792</x:f>
        <x:v>10243.0833975</x:v>
      </x:c>
      <x:c r="AB792" s="38" t="n">
        <x:f>SUM(W792:AA792)</x:f>
        <x:v>118272.93475749998</x:v>
      </x:c>
      <x:c r="AC792" s="38" t="n">
        <x:v>10.65</x:v>
      </x:c>
      <x:c r="AD792" s="38" t="n">
        <x:v>174.33</x:v>
      </x:c>
      <x:c r="AE792" s="38" t="n">
        <x:v>63.65</x:v>
      </x:c>
      <x:c r="AF792" s="38" t="n">
        <x:v>4.8148</x:v>
      </x:c>
      <x:c r="AG792" s="38" t="n">
        <x:v>5.54</x:v>
      </x:c>
      <x:c r="AH792" s="38" t="n">
        <x:f>IF(E792="Fason",L792*S792,0)</x:f>
        <x:v>0</x:v>
      </x:c>
      <x:c r="AI792" s="38" t="n">
        <x:f>IF(E792="Kurum içi",AC792*AD792+AE792*AF792+AB792*12%,0)</x:f>
        <x:v>16355.828690899998</x:v>
      </x:c>
      <x:c r="AJ792" s="38" t="n">
        <x:f>V792*AG792</x:f>
        <x:v>878.5878867431712</x:v>
      </x:c>
      <x:c r="AK792" s="38" t="n">
        <x:f>AB792*2%</x:f>
        <x:v>2365.4586951499996</x:v>
      </x:c>
      <x:c r="AL792" s="38" t="n">
        <x:f>AB792+AH792+AI792+AJ792+AK792</x:f>
        <x:v>137872.81003029316</x:v>
      </x:c>
      <x:c r="AM792" s="38" t="n">
        <x:f>AL792/V792</x:f>
        <x:v>869.3670594517342</x:v>
      </x:c>
      <x:c r="AN792" s="40" t="n">
        <x:f>(W792+X792)/AL792*100</x:f>
        <x:v>75.66428230270994</x:v>
      </x:c>
      <x:c r="AO792" s="28" t="str">
        <x:v>R01-R20; ilgili satırdaki bölgesel fiyat ve maliyet varsayımları</x:v>
      </x:c>
      <x:c r="AP792" s="28" t="str">
        <x:v>Girdi miktarları, alım fiyatı değişimi, fason bedeli ve parti sonucu simüle edilmiştir; işletme kaydı değildir.</x:v>
      </x:c>
    </x:row>
    <x:row r="793" ht="22" customHeight="1">
      <x:c r="A793" t="str">
        <x:v>SUC-0792</x:v>
      </x:c>
      <x:c r="B793" s="36" t="n">
        <x:v>46307</x:v>
      </x:c>
      <x:c r="C793" t="str">
        <x:v>Marmara</x:v>
      </x:c>
      <x:c r="D793" t="str">
        <x:v>MEB_STANDART</x:v>
      </x:c>
      <x:c r="E793" t="str">
        <x:v>Kurum içi</x:v>
      </x:c>
      <x:c r="F793" s="42" t="str">
        <x:v>SENTETİK/SİMÜLE — gerçek parti kaydı değildir</x:v>
      </x:c>
      <x:c r="G793" s="38" t="n">
        <x:v>315.609</x:v>
      </x:c>
      <x:c r="H793" s="38" t="n">
        <x:v>102.497</x:v>
      </x:c>
      <x:c r="I793" s="38" t="n">
        <x:v>19.615</x:v>
      </x:c>
      <x:c r="J793" s="38" t="n">
        <x:v>12.252</x:v>
      </x:c>
      <x:c r="K793" s="38" t="n">
        <x:v>4.451</x:v>
      </x:c>
      <x:c r="L793" s="38" t="n">
        <x:f>SUM(G793:K793)</x:f>
        <x:v>454.42400000000004</x:v>
      </x:c>
      <x:c r="M793" s="38" t="n">
        <x:v>561.909</x:v>
      </x:c>
      <x:c r="N793" s="38" t="n">
        <x:v>598.92</x:v>
      </x:c>
      <x:c r="O793" s="38" t="n">
        <x:v>452.15</x:v>
      </x:c>
      <x:c r="P793" s="38" t="n">
        <x:v>550</x:v>
      </x:c>
      <x:c r="Q793" s="38" t="n">
        <x:v>19.88</x:v>
      </x:c>
      <x:c r="R793" s="38" t="n">
        <x:v>43.7475</x:v>
      </x:c>
      <x:c r="S793" s="38" t="n">
        <x:v>92.29</x:v>
      </x:c>
      <x:c r="T793" s="40" t="n">
        <x:v>26.22</x:v>
      </x:c>
      <x:c r="U793" s="40" t="n">
        <x:v>0.96</x:v>
      </x:c>
      <x:c r="V793" s="38" t="n">
        <x:f>L793*(1-T793/100)*(1-U793/100)</x:f>
        <x:v>332.05539653888</x:v>
      </x:c>
      <x:c r="W793" s="38" t="n">
        <x:f>G793*N793</x:f>
        <x:v>189024.54227999997</x:v>
      </x:c>
      <x:c r="X793" s="38" t="n">
        <x:f>H793*O793</x:f>
        <x:v>46344.01855</x:v>
      </x:c>
      <x:c r="Y793" s="38" t="n">
        <x:f>I793*P793</x:f>
        <x:v>10788.25</x:v>
      </x:c>
      <x:c r="Z793" s="38" t="n">
        <x:f>J793*Q793+K793*P793</x:f>
        <x:v>2691.6197599999996</x:v>
      </x:c>
      <x:c r="AA793" s="38" t="n">
        <x:f>M793*R793</x:f>
        <x:v>24582.1139775</x:v>
      </x:c>
      <x:c r="AB793" s="38" t="n">
        <x:f>SUM(W793:AA793)</x:f>
        <x:v>273430.54456749995</x:v>
      </x:c>
      <x:c r="AC793" s="38" t="n">
        <x:v>19.39</x:v>
      </x:c>
      <x:c r="AD793" s="38" t="n">
        <x:v>174.33</x:v>
      </x:c>
      <x:c r="AE793" s="38" t="n">
        <x:v>165.48</x:v>
      </x:c>
      <x:c r="AF793" s="38" t="n">
        <x:v>4.8148</x:v>
      </x:c>
      <x:c r="AG793" s="38" t="n">
        <x:v>5.26</x:v>
      </x:c>
      <x:c r="AH793" s="38" t="n">
        <x:f>IF(E793="Fason",L793*S793,0)</x:f>
        <x:v>0</x:v>
      </x:c>
      <x:c r="AI793" s="38" t="n">
        <x:f>IF(E793="Kurum içi",AC793*AD793+AE793*AF793+AB793*12%,0)</x:f>
        <x:v>36988.6771521</x:v>
      </x:c>
      <x:c r="AJ793" s="38" t="n">
        <x:f>V793*AG793</x:f>
        <x:v>1746.6113857945088</x:v>
      </x:c>
      <x:c r="AK793" s="38" t="n">
        <x:f>AB793*2%</x:f>
        <x:v>5468.610891349999</x:v>
      </x:c>
      <x:c r="AL793" s="38" t="n">
        <x:f>AB793+AH793+AI793+AJ793+AK793</x:f>
        <x:v>317634.4439967445</x:v>
      </x:c>
      <x:c r="AM793" s="38" t="n">
        <x:f>AL793/V793</x:f>
        <x:v>956.5706424516821</x:v>
      </x:c>
      <x:c r="AN793" s="40" t="n">
        <x:f>(W793+X793)/AL793*100</x:f>
        <x:v>74.1004526676623</x:v>
      </x:c>
      <x:c r="AO793" s="28" t="str">
        <x:v>R01-R20; ilgili satırdaki bölgesel fiyat ve maliyet varsayımları</x:v>
      </x:c>
      <x:c r="AP793" s="28" t="str">
        <x:v>Girdi miktarları, alım fiyatı değişimi, fason bedeli ve parti sonucu simüle edilmiştir; işletme kaydı değildir.</x:v>
      </x:c>
    </x:row>
    <x:row r="794" ht="22" customHeight="1">
      <x:c r="A794" t="str">
        <x:v>SUC-0793</x:v>
      </x:c>
      <x:c r="B794" s="36" t="n">
        <x:v>46307</x:v>
      </x:c>
      <x:c r="C794" t="str">
        <x:v>Marmara</x:v>
      </x:c>
      <x:c r="D794" t="str">
        <x:v>MEB_STANDART</x:v>
      </x:c>
      <x:c r="E794" t="str">
        <x:v>Fason</x:v>
      </x:c>
      <x:c r="F794" s="42" t="str">
        <x:v>SENTETİK/SİMÜLE — gerçek parti kaydı değildir</x:v>
      </x:c>
      <x:c r="G794" s="38" t="n">
        <x:v>175.102</x:v>
      </x:c>
      <x:c r="H794" s="38" t="n">
        <x:v>54.735</x:v>
      </x:c>
      <x:c r="I794" s="38" t="n">
        <x:v>10.753</x:v>
      </x:c>
      <x:c r="J794" s="38" t="n">
        <x:v>6.466</x:v>
      </x:c>
      <x:c r="K794" s="38" t="n">
        <x:v>2.902</x:v>
      </x:c>
      <x:c r="L794" s="38" t="n">
        <x:f>SUM(G794:K794)</x:f>
        <x:v>249.95799999999997</x:v>
      </x:c>
      <x:c r="M794" s="38" t="n">
        <x:v>332.744</x:v>
      </x:c>
      <x:c r="N794" s="38" t="n">
        <x:v>603.06</x:v>
      </x:c>
      <x:c r="O794" s="38" t="n">
        <x:v>480.61</x:v>
      </x:c>
      <x:c r="P794" s="38" t="n">
        <x:v>400</x:v>
      </x:c>
      <x:c r="Q794" s="38" t="n">
        <x:v>19.88</x:v>
      </x:c>
      <x:c r="R794" s="38" t="n">
        <x:v>43.7475</x:v>
      </x:c>
      <x:c r="S794" s="38" t="n">
        <x:v>121.69</x:v>
      </x:c>
      <x:c r="T794" s="40" t="n">
        <x:v>17.74</x:v>
      </x:c>
      <x:c r="U794" s="40" t="n">
        <x:v>1.42</x:v>
      </x:c>
      <x:c r="V794" s="38" t="n">
        <x:f>L794*(1-T794/100)*(1-U794/100)</x:f>
        <x:v>202.69571139863996</x:v>
      </x:c>
      <x:c r="W794" s="38" t="n">
        <x:f>G794*N794</x:f>
        <x:v>105597.01212</x:v>
      </x:c>
      <x:c r="X794" s="38" t="n">
        <x:f>H794*O794</x:f>
        <x:v>26306.18835</x:v>
      </x:c>
      <x:c r="Y794" s="38" t="n">
        <x:f>I794*P794</x:f>
        <x:v>4301.2</x:v>
      </x:c>
      <x:c r="Z794" s="38" t="n">
        <x:f>J794*Q794+K794*P794</x:f>
        <x:v>1289.3440799999998</x:v>
      </x:c>
      <x:c r="AA794" s="38" t="n">
        <x:f>M794*R794</x:f>
        <x:v>14556.718140000003</x:v>
      </x:c>
      <x:c r="AB794" s="38" t="n">
        <x:f>SUM(W794:AA794)</x:f>
        <x:v>152050.46269000004</x:v>
      </x:c>
      <x:c r="AC794" s="38" t="n">
        <x:v>14.54</x:v>
      </x:c>
      <x:c r="AD794" s="38" t="n">
        <x:v>174.33</x:v>
      </x:c>
      <x:c r="AE794" s="38" t="n">
        <x:v>104.76</x:v>
      </x:c>
      <x:c r="AF794" s="38" t="n">
        <x:v>4.8148</x:v>
      </x:c>
      <x:c r="AG794" s="38" t="n">
        <x:v>5.43</x:v>
      </x:c>
      <x:c r="AH794" s="38" t="n">
        <x:f>IF(E794="Fason",L794*S794,0)</x:f>
        <x:v>30417.389019999995</x:v>
      </x:c>
      <x:c r="AI794" s="38" t="n">
        <x:f>IF(E794="Kurum içi",AC794*AD794+AE794*AF794+AB794*12%,0)</x:f>
        <x:v>0</x:v>
      </x:c>
      <x:c r="AJ794" s="38" t="n">
        <x:f>V794*AG794</x:f>
        <x:v>1100.6377128946149</x:v>
      </x:c>
      <x:c r="AK794" s="38" t="n">
        <x:f>AB794*2%</x:f>
        <x:v>3041.009253800001</x:v>
      </x:c>
      <x:c r="AL794" s="38" t="n">
        <x:f>AB794+AH794+AI794+AJ794+AK794</x:f>
        <x:v>186609.49867669467</x:v>
      </x:c>
      <x:c r="AM794" s="38" t="n">
        <x:f>AL794/V794</x:f>
        <x:v>920.6386133631181</x:v>
      </x:c>
      <x:c r="AN794" s="40" t="n">
        <x:f>(W794+X794)/AL794*100</x:f>
        <x:v>70.68407632267713</x:v>
      </x:c>
      <x:c r="AO794" s="28" t="str">
        <x:v>R01-R20; ilgili satırdaki bölgesel fiyat ve maliyet varsayımları</x:v>
      </x:c>
      <x:c r="AP794" s="28" t="str">
        <x:v>Girdi miktarları, alım fiyatı değişimi, fason bedeli ve parti sonucu simüle edilmiştir; işletme kaydı değildir.</x:v>
      </x:c>
    </x:row>
    <x:row r="795" ht="22" customHeight="1">
      <x:c r="A795" t="str">
        <x:v>SUC-0794</x:v>
      </x:c>
      <x:c r="B795" s="36" t="n">
        <x:v>46309</x:v>
      </x:c>
      <x:c r="C795" t="str">
        <x:v>Doğu Anadolu</x:v>
      </x:c>
      <x:c r="D795" t="str">
        <x:v>MEB_STANDART</x:v>
      </x:c>
      <x:c r="E795" t="str">
        <x:v>Kurum içi</x:v>
      </x:c>
      <x:c r="F795" s="42" t="str">
        <x:v>SENTETİK/SİMÜLE — gerçek parti kaydı değildir</x:v>
      </x:c>
      <x:c r="G795" s="38" t="n">
        <x:v>112.533</x:v>
      </x:c>
      <x:c r="H795" s="38" t="n">
        <x:v>36.442</x:v>
      </x:c>
      <x:c r="I795" s="38" t="n">
        <x:v>6.969</x:v>
      </x:c>
      <x:c r="J795" s="38" t="n">
        <x:v>4.032</x:v>
      </x:c>
      <x:c r="K795" s="38" t="n">
        <x:v>1.468</x:v>
      </x:c>
      <x:c r="L795" s="38" t="n">
        <x:f>SUM(G795:K795)</x:f>
        <x:v>161.444</x:v>
      </x:c>
      <x:c r="M795" s="38" t="n">
        <x:v>196.323</x:v>
      </x:c>
      <x:c r="N795" s="38" t="n">
        <x:v>603.36</x:v>
      </x:c>
      <x:c r="O795" s="38" t="n">
        <x:v>463.01</x:v>
      </x:c>
      <x:c r="P795" s="38" t="n">
        <x:v>400</x:v>
      </x:c>
      <x:c r="Q795" s="38" t="n">
        <x:v>19.88</x:v>
      </x:c>
      <x:c r="R795" s="38" t="n">
        <x:v>43.7475</x:v>
      </x:c>
      <x:c r="S795" s="38" t="n">
        <x:v>81.93</x:v>
      </x:c>
      <x:c r="T795" s="40" t="n">
        <x:v>24.93</x:v>
      </x:c>
      <x:c r="U795" s="40" t="n">
        <x:v>1.46</x:v>
      </x:c>
      <x:c r="V795" s="38" t="n">
        <x:f>L795*(1-T795/100)*(1-U795/100)</x:f>
        <x:v>119.42654904232</x:v>
      </x:c>
      <x:c r="W795" s="38" t="n">
        <x:f>G795*N795</x:f>
        <x:v>67897.91088</x:v>
      </x:c>
      <x:c r="X795" s="38" t="n">
        <x:f>H795*O795</x:f>
        <x:v>16873.01042</x:v>
      </x:c>
      <x:c r="Y795" s="38" t="n">
        <x:f>I795*P795</x:f>
        <x:v>2787.6</x:v>
      </x:c>
      <x:c r="Z795" s="38" t="n">
        <x:f>J795*Q795+K795*P795</x:f>
        <x:v>667.35616</x:v>
      </x:c>
      <x:c r="AA795" s="38" t="n">
        <x:f>M795*R795</x:f>
        <x:v>8588.6404425</x:v>
      </x:c>
      <x:c r="AB795" s="38" t="n">
        <x:f>SUM(W795:AA795)</x:f>
        <x:v>96814.5179025</x:v>
      </x:c>
      <x:c r="AC795" s="38" t="n">
        <x:v>8.63</x:v>
      </x:c>
      <x:c r="AD795" s="38" t="n">
        <x:v>174.33</x:v>
      </x:c>
      <x:c r="AE795" s="38" t="n">
        <x:v>37.9</x:v>
      </x:c>
      <x:c r="AF795" s="38" t="n">
        <x:v>4.8148</x:v>
      </x:c>
      <x:c r="AG795" s="38" t="n">
        <x:v>5.6</x:v>
      </x:c>
      <x:c r="AH795" s="38" t="n">
        <x:f>IF(E795="Fason",L795*S795,0)</x:f>
        <x:v>0</x:v>
      </x:c>
      <x:c r="AI795" s="38" t="n">
        <x:f>IF(E795="Kurum içi",AC795*AD795+AE795*AF795+AB795*12%,0)</x:f>
        <x:v>13304.6909683</x:v>
      </x:c>
      <x:c r="AJ795" s="38" t="n">
        <x:f>V795*AG795</x:f>
        <x:v>668.788674636992</x:v>
      </x:c>
      <x:c r="AK795" s="38" t="n">
        <x:f>AB795*2%</x:f>
        <x:v>1936.29035805</x:v>
      </x:c>
      <x:c r="AL795" s="38" t="n">
        <x:f>AB795+AH795+AI795+AJ795+AK795</x:f>
        <x:v>112724.28790348698</x:v>
      </x:c>
      <x:c r="AM795" s="38" t="n">
        <x:f>AL795/V795</x:f>
        <x:v>943.8796382163065</x:v>
      </x:c>
      <x:c r="AN795" s="40" t="n">
        <x:f>(W795+X795)/AL795*100</x:f>
        <x:v>75.202002049975</x:v>
      </x:c>
      <x:c r="AO795" s="28" t="str">
        <x:v>R01-R20; ilgili satırdaki bölgesel fiyat ve maliyet varsayımları</x:v>
      </x:c>
      <x:c r="AP795" s="28" t="str">
        <x:v>Girdi miktarları, alım fiyatı değişimi, fason bedeli ve parti sonucu simüle edilmiştir; işletme kaydı değildir.</x:v>
      </x:c>
    </x:row>
    <x:row r="796" ht="22" customHeight="1">
      <x:c r="A796" t="str">
        <x:v>SUC-0795</x:v>
      </x:c>
      <x:c r="B796" s="36" t="n">
        <x:v>46306</x:v>
      </x:c>
      <x:c r="C796" t="str">
        <x:v>Karadeniz</x:v>
      </x:c>
      <x:c r="D796" t="str">
        <x:v>ERZURUM_CI</x:v>
      </x:c>
      <x:c r="E796" t="str">
        <x:v>Fason</x:v>
      </x:c>
      <x:c r="F796" s="42" t="str">
        <x:v>SENTETİK/SİMÜLE — gerçek parti kaydı değildir</x:v>
      </x:c>
      <x:c r="G796" s="38" t="n">
        <x:v>215.302</x:v>
      </x:c>
      <x:c r="H796" s="38" t="n">
        <x:v>35.83</x:v>
      </x:c>
      <x:c r="I796" s="38" t="n">
        <x:v>12.023</x:v>
      </x:c>
      <x:c r="J796" s="38" t="n">
        <x:v>4.837</x:v>
      </x:c>
      <x:c r="K796" s="38" t="n">
        <x:v>0.136</x:v>
      </x:c>
      <x:c r="L796" s="38" t="n">
        <x:f>SUM(G796:K796)</x:f>
        <x:v>268.12800000000004</x:v>
      </x:c>
      <x:c r="M796" s="38" t="n">
        <x:v>333.939</x:v>
      </x:c>
      <x:c r="N796" s="38" t="n">
        <x:v>593.65</x:v>
      </x:c>
      <x:c r="O796" s="38" t="n">
        <x:v>409.54</x:v>
      </x:c>
      <x:c r="P796" s="38" t="n">
        <x:v>669.9</x:v>
      </x:c>
      <x:c r="Q796" s="38" t="n">
        <x:v>19.88</x:v>
      </x:c>
      <x:c r="R796" s="38" t="n">
        <x:v>43.7475</x:v>
      </x:c>
      <x:c r="S796" s="38" t="n">
        <x:v>86.75</x:v>
      </x:c>
      <x:c r="T796" s="40" t="n">
        <x:v>19.98</x:v>
      </x:c>
      <x:c r="U796" s="40" t="n">
        <x:v>1.2</x:v>
      </x:c>
      <x:c r="V796" s="38" t="n">
        <x:f>L796*(1-T796/100)*(1-U796/100)</x:f>
        <x:v>211.98135329280004</x:v>
      </x:c>
      <x:c r="W796" s="38" t="n">
        <x:f>G796*N796</x:f>
        <x:v>127814.03229999999</x:v>
      </x:c>
      <x:c r="X796" s="38" t="n">
        <x:f>H796*O796</x:f>
        <x:v>14673.8182</x:v>
      </x:c>
      <x:c r="Y796" s="38" t="n">
        <x:f>I796*P796</x:f>
        <x:v>8054.2077</x:v>
      </x:c>
      <x:c r="Z796" s="38" t="n">
        <x:f>J796*Q796+K796*P796</x:f>
        <x:v>187.26596</x:v>
      </x:c>
      <x:c r="AA796" s="38" t="n">
        <x:f>M796*R796</x:f>
        <x:v>14608.9964025</x:v>
      </x:c>
      <x:c r="AB796" s="38" t="n">
        <x:f>SUM(W796:AA796)</x:f>
        <x:v>165338.32056249998</x:v>
      </x:c>
      <x:c r="AC796" s="38" t="n">
        <x:v>16.09</x:v>
      </x:c>
      <x:c r="AD796" s="38" t="n">
        <x:v>174.33</x:v>
      </x:c>
      <x:c r="AE796" s="38" t="n">
        <x:v>84.53</x:v>
      </x:c>
      <x:c r="AF796" s="38" t="n">
        <x:v>4.8148</x:v>
      </x:c>
      <x:c r="AG796" s="38" t="n">
        <x:v>5.35</x:v>
      </x:c>
      <x:c r="AH796" s="38" t="n">
        <x:f>IF(E796="Fason",L796*S796,0)</x:f>
        <x:v>23260.104000000003</x:v>
      </x:c>
      <x:c r="AI796" s="38" t="n">
        <x:f>IF(E796="Kurum içi",AC796*AD796+AE796*AF796+AB796*12%,0)</x:f>
        <x:v>0</x:v>
      </x:c>
      <x:c r="AJ796" s="38" t="n">
        <x:f>V796*AG796</x:f>
        <x:v>1134.10024011648</x:v>
      </x:c>
      <x:c r="AK796" s="38" t="n">
        <x:f>AB796*2%</x:f>
        <x:v>3306.7664112499997</x:v>
      </x:c>
      <x:c r="AL796" s="38" t="n">
        <x:f>AB796+AH796+AI796+AJ796+AK796</x:f>
        <x:v>193039.29121386644</x:v>
      </x:c>
      <x:c r="AM796" s="38" t="n">
        <x:f>AL796/V796</x:f>
        <x:v>910.6427910535612</x:v>
      </x:c>
      <x:c r="AN796" s="40" t="n">
        <x:f>(W796+X796)/AL796*100</x:f>
        <x:v>73.81287488366243</x:v>
      </x:c>
      <x:c r="AO796" s="28" t="str">
        <x:v>R01-R20; ilgili satırdaki bölgesel fiyat ve maliyet varsayımları</x:v>
      </x:c>
      <x:c r="AP796" s="28" t="str">
        <x:v>Girdi miktarları, alım fiyatı değişimi, fason bedeli ve parti sonucu simüle edilmiştir; işletme kaydı değildir.</x:v>
      </x:c>
    </x:row>
    <x:row r="797" ht="22" customHeight="1">
      <x:c r="A797" t="str">
        <x:v>SUC-0796</x:v>
      </x:c>
      <x:c r="B797" s="36" t="n">
        <x:v>46306</x:v>
      </x:c>
      <x:c r="C797" t="str">
        <x:v>Doğu Anadolu</x:v>
      </x:c>
      <x:c r="D797" t="str">
        <x:v>MEB_STANDART</x:v>
      </x:c>
      <x:c r="E797" t="str">
        <x:v>Kurum içi</x:v>
      </x:c>
      <x:c r="F797" s="42" t="str">
        <x:v>SENTETİK/SİMÜLE — gerçek parti kaydı değildir</x:v>
      </x:c>
      <x:c r="G797" s="38" t="n">
        <x:v>103.327</x:v>
      </x:c>
      <x:c r="H797" s="38" t="n">
        <x:v>33.359</x:v>
      </x:c>
      <x:c r="I797" s="38" t="n">
        <x:v>6.61</x:v>
      </x:c>
      <x:c r="J797" s="38" t="n">
        <x:v>3.412</x:v>
      </x:c>
      <x:c r="K797" s="38" t="n">
        <x:v>1.654</x:v>
      </x:c>
      <x:c r="L797" s="38" t="n">
        <x:f>SUM(G797:K797)</x:f>
        <x:v>148.36200000000002</x:v>
      </x:c>
      <x:c r="M797" s="38" t="n">
        <x:v>198.34</x:v>
      </x:c>
      <x:c r="N797" s="38" t="n">
        <x:v>608.22</x:v>
      </x:c>
      <x:c r="O797" s="38" t="n">
        <x:v>468.75</x:v>
      </x:c>
      <x:c r="P797" s="38" t="n">
        <x:v>669.9</x:v>
      </x:c>
      <x:c r="Q797" s="38" t="n">
        <x:v>19.88</x:v>
      </x:c>
      <x:c r="R797" s="38" t="n">
        <x:v>43.7475</x:v>
      </x:c>
      <x:c r="S797" s="38" t="n">
        <x:v>117.31</x:v>
      </x:c>
      <x:c r="T797" s="40" t="n">
        <x:v>16.2</x:v>
      </x:c>
      <x:c r="U797" s="40" t="n">
        <x:v>1.5</x:v>
      </x:c>
      <x:c r="V797" s="38" t="n">
        <x:f>L797*(1-T797/100)*(1-U797/100)</x:f>
        <x:v>122.46244566</x:v>
      </x:c>
      <x:c r="W797" s="38" t="n">
        <x:f>G797*N797</x:f>
        <x:v>62845.547940000004</x:v>
      </x:c>
      <x:c r="X797" s="38" t="n">
        <x:f>H797*O797</x:f>
        <x:v>15637.03125</x:v>
      </x:c>
      <x:c r="Y797" s="38" t="n">
        <x:f>I797*P797</x:f>
        <x:v>4428.039</x:v>
      </x:c>
      <x:c r="Z797" s="38" t="n">
        <x:f>J797*Q797+K797*P797</x:f>
        <x:v>1175.8451599999999</x:v>
      </x:c>
      <x:c r="AA797" s="38" t="n">
        <x:f>M797*R797</x:f>
        <x:v>8676.87915</x:v>
      </x:c>
      <x:c r="AB797" s="38" t="n">
        <x:f>SUM(W797:AA797)</x:f>
        <x:v>92763.3425</x:v>
      </x:c>
      <x:c r="AC797" s="38" t="n">
        <x:v>8.29</x:v>
      </x:c>
      <x:c r="AD797" s="38" t="n">
        <x:v>174.33</x:v>
      </x:c>
      <x:c r="AE797" s="38" t="n">
        <x:v>54.6</x:v>
      </x:c>
      <x:c r="AF797" s="38" t="n">
        <x:v>4.8148</x:v>
      </x:c>
      <x:c r="AG797" s="38" t="n">
        <x:v>5.58</x:v>
      </x:c>
      <x:c r="AH797" s="38" t="n">
        <x:f>IF(E797="Fason",L797*S797,0)</x:f>
        <x:v>0</x:v>
      </x:c>
      <x:c r="AI797" s="38" t="n">
        <x:f>IF(E797="Kurum içi",AC797*AD797+AE797*AF797+AB797*12%,0)</x:f>
        <x:v>12839.68488</x:v>
      </x:c>
      <x:c r="AJ797" s="38" t="n">
        <x:f>V797*AG797</x:f>
        <x:v>683.3404467828</x:v>
      </x:c>
      <x:c r="AK797" s="38" t="n">
        <x:f>AB797*2%</x:f>
        <x:v>1855.26685</x:v>
      </x:c>
      <x:c r="AL797" s="38" t="n">
        <x:f>AB797+AH797+AI797+AJ797+AK797</x:f>
        <x:v>108141.63467678279</x:v>
      </x:c>
      <x:c r="AM797" s="38" t="n">
        <x:f>AL797/V797</x:f>
        <x:v>883.0595705807073</x:v>
      </x:c>
      <x:c r="AN797" s="40" t="n">
        <x:f>(W797+X797)/AL797*100</x:f>
        <x:v>72.57387908419479</x:v>
      </x:c>
      <x:c r="AO797" s="28" t="str">
        <x:v>R01-R20; ilgili satırdaki bölgesel fiyat ve maliyet varsayımları</x:v>
      </x:c>
      <x:c r="AP797" s="28" t="str">
        <x:v>Girdi miktarları, alım fiyatı değişimi, fason bedeli ve parti sonucu simüle edilmiştir; işletme kaydı değildir.</x:v>
      </x:c>
    </x:row>
    <x:row r="798" ht="22" customHeight="1">
      <x:c r="A798" t="str">
        <x:v>SUC-0797</x:v>
      </x:c>
      <x:c r="B798" s="36" t="n">
        <x:v>46308</x:v>
      </x:c>
      <x:c r="C798" t="str">
        <x:v>Ege</x:v>
      </x:c>
      <x:c r="D798" t="str">
        <x:v>MEB_STANDART</x:v>
      </x:c>
      <x:c r="E798" t="str">
        <x:v>Kurum içi</x:v>
      </x:c>
      <x:c r="F798" s="42" t="str">
        <x:v>SENTETİK/SİMÜLE — gerçek parti kaydı değildir</x:v>
      </x:c>
      <x:c r="G798" s="38" t="n">
        <x:v>283.115</x:v>
      </x:c>
      <x:c r="H798" s="38" t="n">
        <x:v>89.458</x:v>
      </x:c>
      <x:c r="I798" s="38" t="n">
        <x:v>18.677</x:v>
      </x:c>
      <x:c r="J798" s="38" t="n">
        <x:v>9.844</x:v>
      </x:c>
      <x:c r="K798" s="38" t="n">
        <x:v>4.433</x:v>
      </x:c>
      <x:c r="L798" s="38" t="n">
        <x:f>SUM(G798:K798)</x:f>
        <x:v>405.527</x:v>
      </x:c>
      <x:c r="M798" s="38" t="n">
        <x:v>534.097</x:v>
      </x:c>
      <x:c r="N798" s="38" t="n">
        <x:v>610.9</x:v>
      </x:c>
      <x:c r="O798" s="38" t="n">
        <x:v>420.58</x:v>
      </x:c>
      <x:c r="P798" s="38" t="n">
        <x:v>550</x:v>
      </x:c>
      <x:c r="Q798" s="38" t="n">
        <x:v>19.88</x:v>
      </x:c>
      <x:c r="R798" s="38" t="n">
        <x:v>43.7475</x:v>
      </x:c>
      <x:c r="S798" s="38" t="n">
        <x:v>115.52</x:v>
      </x:c>
      <x:c r="T798" s="40" t="n">
        <x:v>16.35</x:v>
      </x:c>
      <x:c r="U798" s="40" t="n">
        <x:v>1.53</x:v>
      </x:c>
      <x:c r="V798" s="38" t="n">
        <x:f>L798*(1-T798/100)*(1-U798/100)</x:f>
        <x:v>334.03321846685003</x:v>
      </x:c>
      <x:c r="W798" s="38" t="n">
        <x:f>G798*N798</x:f>
        <x:v>172954.9535</x:v>
      </x:c>
      <x:c r="X798" s="38" t="n">
        <x:f>H798*O798</x:f>
        <x:v>37624.24564</x:v>
      </x:c>
      <x:c r="Y798" s="38" t="n">
        <x:f>I798*P798</x:f>
        <x:v>10272.35</x:v>
      </x:c>
      <x:c r="Z798" s="38" t="n">
        <x:f>J798*Q798+K798*P798</x:f>
        <x:v>2633.84872</x:v>
      </x:c>
      <x:c r="AA798" s="38" t="n">
        <x:f>M798*R798</x:f>
        <x:v>23365.4085075</x:v>
      </x:c>
      <x:c r="AB798" s="38" t="n">
        <x:f>SUM(W798:AA798)</x:f>
        <x:v>246850.80636750002</x:v>
      </x:c>
      <x:c r="AC798" s="38" t="n">
        <x:v>15.31</x:v>
      </x:c>
      <x:c r="AD798" s="38" t="n">
        <x:v>174.33</x:v>
      </x:c>
      <x:c r="AE798" s="38" t="n">
        <x:v>180.57</x:v>
      </x:c>
      <x:c r="AF798" s="38" t="n">
        <x:v>4.8148</x:v>
      </x:c>
      <x:c r="AG798" s="38" t="n">
        <x:v>5.15</x:v>
      </x:c>
      <x:c r="AH798" s="38" t="n">
        <x:f>IF(E798="Fason",L798*S798,0)</x:f>
        <x:v>0</x:v>
      </x:c>
      <x:c r="AI798" s="38" t="n">
        <x:f>IF(E798="Kurum içi",AC798*AD798+AE798*AF798+AB798*12%,0)</x:f>
        <x:v>33160.497500100006</x:v>
      </x:c>
      <x:c r="AJ798" s="38" t="n">
        <x:f>V798*AG798</x:f>
        <x:v>1720.2710751042778</x:v>
      </x:c>
      <x:c r="AK798" s="38" t="n">
        <x:f>AB798*2%</x:f>
        <x:v>4937.016127350001</x:v>
      </x:c>
      <x:c r="AL798" s="38" t="n">
        <x:f>AB798+AH798+AI798+AJ798+AK798</x:f>
        <x:v>286668.59107005433</x:v>
      </x:c>
      <x:c r="AM798" s="38" t="n">
        <x:f>AL798/V798</x:f>
        <x:v>858.2038408808846</x:v>
      </x:c>
      <x:c r="AN798" s="40" t="n">
        <x:f>(W798+X798)/AL798*100</x:f>
        <x:v>73.45736704323494</x:v>
      </x:c>
      <x:c r="AO798" s="28" t="str">
        <x:v>R01-R20; ilgili satırdaki bölgesel fiyat ve maliyet varsayımları</x:v>
      </x:c>
      <x:c r="AP798" s="28" t="str">
        <x:v>Girdi miktarları, alım fiyatı değişimi, fason bedeli ve parti sonucu simüle edilmiştir; işletme kaydı değildir.</x:v>
      </x:c>
    </x:row>
    <x:row r="799" ht="22" customHeight="1">
      <x:c r="A799" t="str">
        <x:v>SUC-0798</x:v>
      </x:c>
      <x:c r="B799" s="36" t="n">
        <x:v>46282</x:v>
      </x:c>
      <x:c r="C799" t="str">
        <x:v>Ege</x:v>
      </x:c>
      <x:c r="D799" t="str">
        <x:v>ERZURUM_CI</x:v>
      </x:c>
      <x:c r="E799" t="str">
        <x:v>Kurum içi</x:v>
      </x:c>
      <x:c r="F799" s="42" t="str">
        <x:v>SENTETİK/SİMÜLE — gerçek parti kaydı değildir</x:v>
      </x:c>
      <x:c r="G799" s="38" t="n">
        <x:v>91.988</x:v>
      </x:c>
      <x:c r="H799" s="38" t="n">
        <x:v>16.212</x:v>
      </x:c>
      <x:c r="I799" s="38" t="n">
        <x:v>5.793</x:v>
      </x:c>
      <x:c r="J799" s="38" t="n">
        <x:v>1.934</x:v>
      </x:c>
      <x:c r="K799" s="38" t="n">
        <x:v>0.012</x:v>
      </x:c>
      <x:c r="L799" s="38" t="n">
        <x:f>SUM(G799:K799)</x:f>
        <x:v>115.93900000000001</x:v>
      </x:c>
      <x:c r="M799" s="38" t="n">
        <x:v>138.766</x:v>
      </x:c>
      <x:c r="N799" s="38" t="n">
        <x:v>584.67</x:v>
      </x:c>
      <x:c r="O799" s="38" t="n">
        <x:v>450.64</x:v>
      </x:c>
      <x:c r="P799" s="38" t="n">
        <x:v>400</x:v>
      </x:c>
      <x:c r="Q799" s="38" t="n">
        <x:v>19.88</x:v>
      </x:c>
      <x:c r="R799" s="38" t="n">
        <x:v>43.7475</x:v>
      </x:c>
      <x:c r="S799" s="38" t="n">
        <x:v>108.65</x:v>
      </x:c>
      <x:c r="T799" s="40" t="n">
        <x:v>17.08</x:v>
      </x:c>
      <x:c r="U799" s="40" t="n">
        <x:v>1.47</x:v>
      </x:c>
      <x:c r="V799" s="38" t="n">
        <x:f>L799*(1-T799/100)*(1-U799/100)</x:f>
        <x:v>94.72341050364</x:v>
      </x:c>
      <x:c r="W799" s="38" t="n">
        <x:f>G799*N799</x:f>
        <x:v>53782.62396</x:v>
      </x:c>
      <x:c r="X799" s="38" t="n">
        <x:f>H799*O799</x:f>
        <x:v>7305.77568</x:v>
      </x:c>
      <x:c r="Y799" s="38" t="n">
        <x:f>I799*P799</x:f>
        <x:v>2317.2000000000003</x:v>
      </x:c>
      <x:c r="Z799" s="38" t="n">
        <x:f>J799*Q799+K799*P799</x:f>
        <x:v>43.24791999999999</x:v>
      </x:c>
      <x:c r="AA799" s="38" t="n">
        <x:f>M799*R799</x:f>
        <x:v>6070.665585</x:v>
      </x:c>
      <x:c r="AB799" s="38" t="n">
        <x:f>SUM(W799:AA799)</x:f>
        <x:v>69519.51314499999</x:v>
      </x:c>
      <x:c r="AC799" s="38" t="n">
        <x:v>4.85</x:v>
      </x:c>
      <x:c r="AD799" s="38" t="n">
        <x:v>174.33</x:v>
      </x:c>
      <x:c r="AE799" s="38" t="n">
        <x:v>55.64</x:v>
      </x:c>
      <x:c r="AF799" s="38" t="n">
        <x:v>4.8148</x:v>
      </x:c>
      <x:c r="AG799" s="38" t="n">
        <x:v>5.63</x:v>
      </x:c>
      <x:c r="AH799" s="38" t="n">
        <x:f>IF(E799="Fason",L799*S799,0)</x:f>
        <x:v>0</x:v>
      </x:c>
      <x:c r="AI799" s="38" t="n">
        <x:f>IF(E799="Kurum içi",AC799*AD799+AE799*AF799+AB799*12%,0)</x:f>
        <x:v>9455.737549399999</x:v>
      </x:c>
      <x:c r="AJ799" s="38" t="n">
        <x:f>V799*AG799</x:f>
        <x:v>533.2928011354932</x:v>
      </x:c>
      <x:c r="AK799" s="38" t="n">
        <x:f>AB799*2%</x:f>
        <x:v>1390.3902629</x:v>
      </x:c>
      <x:c r="AL799" s="38" t="n">
        <x:f>AB799+AH799+AI799+AJ799+AK799</x:f>
        <x:v>80898.93375843548</x:v>
      </x:c>
      <x:c r="AM799" s="38" t="n">
        <x:f>AL799/V799</x:f>
        <x:v>854.0542757941208</x:v>
      </x:c>
      <x:c r="AN799" s="40" t="n">
        <x:f>(W799+X799)/AL799*100</x:f>
        <x:v>75.5119960201332</x:v>
      </x:c>
      <x:c r="AO799" s="28" t="str">
        <x:v>R01-R20; ilgili satırdaki bölgesel fiyat ve maliyet varsayımları</x:v>
      </x:c>
      <x:c r="AP799" s="28" t="str">
        <x:v>Girdi miktarları, alım fiyatı değişimi, fason bedeli ve parti sonucu simüle edilmiştir; işletme kaydı değildir.</x:v>
      </x:c>
    </x:row>
    <x:row r="800" ht="22" customHeight="1">
      <x:c r="A800" t="str">
        <x:v>SUC-0799</x:v>
      </x:c>
      <x:c r="B800" s="36" t="n">
        <x:v>46298</x:v>
      </x:c>
      <x:c r="C800" t="str">
        <x:v>Ege</x:v>
      </x:c>
      <x:c r="D800" t="str">
        <x:v>MEB_STANDART</x:v>
      </x:c>
      <x:c r="E800" t="str">
        <x:v>Kurum içi</x:v>
      </x:c>
      <x:c r="F800" s="42" t="str">
        <x:v>SENTETİK/SİMÜLE — gerçek parti kaydı değildir</x:v>
      </x:c>
      <x:c r="G800" s="38" t="n">
        <x:v>299.037</x:v>
      </x:c>
      <x:c r="H800" s="38" t="n">
        <x:v>93.178</x:v>
      </x:c>
      <x:c r="I800" s="38" t="n">
        <x:v>20.03</x:v>
      </x:c>
      <x:c r="J800" s="38" t="n">
        <x:v>9.879</x:v>
      </x:c>
      <x:c r="K800" s="38" t="n">
        <x:v>3.906</x:v>
      </x:c>
      <x:c r="L800" s="38" t="n">
        <x:f>SUM(G800:K800)</x:f>
        <x:v>426.03000000000003</x:v>
      </x:c>
      <x:c r="M800" s="38" t="n">
        <x:v>573.749</x:v>
      </x:c>
      <x:c r="N800" s="38" t="n">
        <x:v>611.07</x:v>
      </x:c>
      <x:c r="O800" s="38" t="n">
        <x:v>427.63</x:v>
      </x:c>
      <x:c r="P800" s="38" t="n">
        <x:v>550</x:v>
      </x:c>
      <x:c r="Q800" s="38" t="n">
        <x:v>19.88</x:v>
      </x:c>
      <x:c r="R800" s="38" t="n">
        <x:v>43.7475</x:v>
      </x:c>
      <x:c r="S800" s="38" t="n">
        <x:v>76.53</x:v>
      </x:c>
      <x:c r="T800" s="40" t="n">
        <x:v>20.04</x:v>
      </x:c>
      <x:c r="U800" s="40" t="n">
        <x:v>1.3</x:v>
      </x:c>
      <x:c r="V800" s="38" t="n">
        <x:f>L800*(1-T800/100)*(1-U800/100)</x:f>
        <x:v>336.225091356</x:v>
      </x:c>
      <x:c r="W800" s="38" t="n">
        <x:f>G800*N800</x:f>
        <x:v>182732.53959</x:v>
      </x:c>
      <x:c r="X800" s="38" t="n">
        <x:f>H800*O800</x:f>
        <x:v>39845.708139999995</x:v>
      </x:c>
      <x:c r="Y800" s="38" t="n">
        <x:f>I800*P800</x:f>
        <x:v>11016.5</x:v>
      </x:c>
      <x:c r="Z800" s="38" t="n">
        <x:f>J800*Q800+K800*P800</x:f>
        <x:v>2344.69452</x:v>
      </x:c>
      <x:c r="AA800" s="38" t="n">
        <x:f>M800*R800</x:f>
        <x:v>25100.084377500003</x:v>
      </x:c>
      <x:c r="AB800" s="38" t="n">
        <x:f>SUM(W800:AA800)</x:f>
        <x:v>261039.5266275</x:v>
      </x:c>
      <x:c r="AC800" s="38" t="n">
        <x:v>19.83</x:v>
      </x:c>
      <x:c r="AD800" s="38" t="n">
        <x:v>174.33</x:v>
      </x:c>
      <x:c r="AE800" s="38" t="n">
        <x:v>187.4</x:v>
      </x:c>
      <x:c r="AF800" s="38" t="n">
        <x:v>4.8148</x:v>
      </x:c>
      <x:c r="AG800" s="38" t="n">
        <x:v>5.25</x:v>
      </x:c>
      <x:c r="AH800" s="38" t="n">
        <x:f>IF(E800="Fason",L800*S800,0)</x:f>
        <x:v>0</x:v>
      </x:c>
      <x:c r="AI800" s="38" t="n">
        <x:f>IF(E800="Kurum içi",AC800*AD800+AE800*AF800+AB800*12%,0)</x:f>
        <x:v>35684.0006153</x:v>
      </x:c>
      <x:c r="AJ800" s="38" t="n">
        <x:f>V800*AG800</x:f>
        <x:v>1765.181729619</x:v>
      </x:c>
      <x:c r="AK800" s="38" t="n">
        <x:f>AB800*2%</x:f>
        <x:v>5220.79053255</x:v>
      </x:c>
      <x:c r="AL800" s="38" t="n">
        <x:f>AB800+AH800+AI800+AJ800+AK800</x:f>
        <x:v>303709.499504969</x:v>
      </x:c>
      <x:c r="AM800" s="38" t="n">
        <x:f>AL800/V800</x:f>
        <x:v>903.2921911928249</x:v>
      </x:c>
      <x:c r="AN800" s="40" t="n">
        <x:f>(W800+X800)/AL800*100</x:f>
        <x:v>73.28656103704073</x:v>
      </x:c>
      <x:c r="AO800" s="28" t="str">
        <x:v>R01-R20; ilgili satırdaki bölgesel fiyat ve maliyet varsayımları</x:v>
      </x:c>
      <x:c r="AP800" s="28" t="str">
        <x:v>Girdi miktarları, alım fiyatı değişimi, fason bedeli ve parti sonucu simüle edilmiştir; işletme kaydı değildir.</x:v>
      </x:c>
    </x:row>
    <x:row r="801" ht="22" customHeight="1">
      <x:c r="A801" t="str">
        <x:v>SUC-0800</x:v>
      </x:c>
      <x:c r="B801" s="36" t="n">
        <x:v>46284</x:v>
      </x:c>
      <x:c r="C801" t="str">
        <x:v>Karadeniz</x:v>
      </x:c>
      <x:c r="D801" t="str">
        <x:v>ERZURUM_CI</x:v>
      </x:c>
      <x:c r="E801" t="str">
        <x:v>Kurum içi</x:v>
      </x:c>
      <x:c r="F801" s="42" t="str">
        <x:v>SENTETİK/SİMÜLE — gerçek parti kaydı değildir</x:v>
      </x:c>
      <x:c r="G801" s="38" t="n">
        <x:v>61.796</x:v>
      </x:c>
      <x:c r="H801" s="38" t="n">
        <x:v>10.808</x:v>
      </x:c>
      <x:c r="I801" s="38" t="n">
        <x:v>3.877</x:v>
      </x:c>
      <x:c r="J801" s="38" t="n">
        <x:v>1.381</x:v>
      </x:c>
      <x:c r="K801" s="38" t="n">
        <x:v>0.012</x:v>
      </x:c>
      <x:c r="L801" s="38" t="n">
        <x:f>SUM(G801:K801)</x:f>
        <x:v>77.874</x:v>
      </x:c>
      <x:c r="M801" s="38" t="n">
        <x:v>98.344</x:v>
      </x:c>
      <x:c r="N801" s="38" t="n">
        <x:v>617.08</x:v>
      </x:c>
      <x:c r="O801" s="38" t="n">
        <x:v>450.45</x:v>
      </x:c>
      <x:c r="P801" s="38" t="n">
        <x:v>400</x:v>
      </x:c>
      <x:c r="Q801" s="38" t="n">
        <x:v>19.88</x:v>
      </x:c>
      <x:c r="R801" s="38" t="n">
        <x:v>43.7475</x:v>
      </x:c>
      <x:c r="S801" s="38" t="n">
        <x:v>77.77</x:v>
      </x:c>
      <x:c r="T801" s="40" t="n">
        <x:v>33.71</x:v>
      </x:c>
      <x:c r="U801" s="40" t="n">
        <x:v>0.54</x:v>
      </x:c>
      <x:c r="V801" s="38" t="n">
        <x:f>L801*(1-T801/100)*(1-U801/100)</x:f>
        <x:v>51.343912157160005</x:v>
      </x:c>
      <x:c r="W801" s="38" t="n">
        <x:f>G801*N801</x:f>
        <x:v>38133.07568</x:v>
      </x:c>
      <x:c r="X801" s="38" t="n">
        <x:f>H801*O801</x:f>
        <x:v>4868.4636</x:v>
      </x:c>
      <x:c r="Y801" s="38" t="n">
        <x:f>I801*P801</x:f>
        <x:v>1550.8</x:v>
      </x:c>
      <x:c r="Z801" s="38" t="n">
        <x:f>J801*Q801+K801*P801</x:f>
        <x:v>32.254279999999994</x:v>
      </x:c>
      <x:c r="AA801" s="38" t="n">
        <x:f>M801*R801</x:f>
        <x:v>4302.30414</x:v>
      </x:c>
      <x:c r="AB801" s="38" t="n">
        <x:f>SUM(W801:AA801)</x:f>
        <x:v>48886.89770000001</x:v>
      </x:c>
      <x:c r="AC801" s="38" t="n">
        <x:v>4.69</x:v>
      </x:c>
      <x:c r="AD801" s="38" t="n">
        <x:v>174.33</x:v>
      </x:c>
      <x:c r="AE801" s="38" t="n">
        <x:v>18.04</x:v>
      </x:c>
      <x:c r="AF801" s="38" t="n">
        <x:v>4.8148</x:v>
      </x:c>
      <x:c r="AG801" s="38" t="n">
        <x:v>5.88</x:v>
      </x:c>
      <x:c r="AH801" s="38" t="n">
        <x:f>IF(E801="Fason",L801*S801,0)</x:f>
        <x:v>0</x:v>
      </x:c>
      <x:c r="AI801" s="38" t="n">
        <x:f>IF(E801="Kurum içi",AC801*AD801+AE801*AF801+AB801*12%,0)</x:f>
        <x:v>6770.894416000001</x:v>
      </x:c>
      <x:c r="AJ801" s="38" t="n">
        <x:f>V801*AG801</x:f>
        <x:v>301.9022034841008</x:v>
      </x:c>
      <x:c r="AK801" s="38" t="n">
        <x:f>AB801*2%</x:f>
        <x:v>977.7379540000002</x:v>
      </x:c>
      <x:c r="AL801" s="38" t="n">
        <x:f>AB801+AH801+AI801+AJ801+AK801</x:f>
        <x:v>56937.43227348411</x:v>
      </x:c>
      <x:c r="AM801" s="38" t="n">
        <x:f>AL801/V801</x:f>
        <x:v>1108.9422266694978</x:v>
      </x:c>
      <x:c r="AN801" s="40" t="n">
        <x:f>(W801+X801)/AL801*100</x:f>
        <x:v>75.52419834012416</x:v>
      </x:c>
      <x:c r="AO801" s="28" t="str">
        <x:v>R01-R20; ilgili satırdaki bölgesel fiyat ve maliyet varsayımları</x:v>
      </x:c>
      <x:c r="AP801" s="28" t="str">
        <x:v>Girdi miktarları, alım fiyatı değişimi, fason bedeli ve parti sonucu simüle edilmiştir; işletme kaydı değildir.</x:v>
      </x:c>
    </x:row>
    <x:row r="802" ht="22" customHeight="1">
      <x:c r="A802" t="str">
        <x:v>SUC-0801</x:v>
      </x:c>
      <x:c r="B802" s="36" t="n">
        <x:v>46310</x:v>
      </x:c>
      <x:c r="C802" t="str">
        <x:v>Karadeniz</x:v>
      </x:c>
      <x:c r="D802" t="str">
        <x:v>MEB_STANDART</x:v>
      </x:c>
      <x:c r="E802" t="str">
        <x:v>Fason</x:v>
      </x:c>
      <x:c r="F802" s="42" t="str">
        <x:v>SENTETİK/SİMÜLE — gerçek parti kaydı değildir</x:v>
      </x:c>
      <x:c r="G802" s="38" t="n">
        <x:v>219.17</x:v>
      </x:c>
      <x:c r="H802" s="38" t="n">
        <x:v>66.078</x:v>
      </x:c>
      <x:c r="I802" s="38" t="n">
        <x:v>13.164</x:v>
      </x:c>
      <x:c r="J802" s="38" t="n">
        <x:v>8.31</x:v>
      </x:c>
      <x:c r="K802" s="38" t="n">
        <x:v>2.948</x:v>
      </x:c>
      <x:c r="L802" s="38" t="n">
        <x:f>SUM(G802:K802)</x:f>
        <x:v>309.66999999999996</x:v>
      </x:c>
      <x:c r="M802" s="38" t="n">
        <x:v>411.147</x:v>
      </x:c>
      <x:c r="N802" s="38" t="n">
        <x:v>614.29</x:v>
      </x:c>
      <x:c r="O802" s="38" t="n">
        <x:v>433</x:v>
      </x:c>
      <x:c r="P802" s="38" t="n">
        <x:v>669.9</x:v>
      </x:c>
      <x:c r="Q802" s="38" t="n">
        <x:v>19.88</x:v>
      </x:c>
      <x:c r="R802" s="38" t="n">
        <x:v>43.7475</x:v>
      </x:c>
      <x:c r="S802" s="38" t="n">
        <x:v>80.62</x:v>
      </x:c>
      <x:c r="T802" s="40" t="n">
        <x:v>23.59</x:v>
      </x:c>
      <x:c r="U802" s="40" t="n">
        <x:v>0.6</x:v>
      </x:c>
      <x:c r="V802" s="38" t="n">
        <x:f>L802*(1-T802/100)*(1-U802/100)</x:f>
        <x:v>235.19913391799997</x:v>
      </x:c>
      <x:c r="W802" s="38" t="n">
        <x:f>G802*N802</x:f>
        <x:v>134633.9393</x:v>
      </x:c>
      <x:c r="X802" s="38" t="n">
        <x:f>H802*O802</x:f>
        <x:v>28611.774</x:v>
      </x:c>
      <x:c r="Y802" s="38" t="n">
        <x:f>I802*P802</x:f>
        <x:v>8818.5636</x:v>
      </x:c>
      <x:c r="Z802" s="38" t="n">
        <x:f>J802*Q802+K802*P802</x:f>
        <x:v>2140.0679999999998</x:v>
      </x:c>
      <x:c r="AA802" s="38" t="n">
        <x:f>M802*R802</x:f>
        <x:v>17986.6533825</x:v>
      </x:c>
      <x:c r="AB802" s="38" t="n">
        <x:f>SUM(W802:AA802)</x:f>
        <x:v>192190.9982825</x:v>
      </x:c>
      <x:c r="AC802" s="38" t="n">
        <x:v>12.82</x:v>
      </x:c>
      <x:c r="AD802" s="38" t="n">
        <x:v>174.33</x:v>
      </x:c>
      <x:c r="AE802" s="38" t="n">
        <x:v>143.07</x:v>
      </x:c>
      <x:c r="AF802" s="38" t="n">
        <x:v>4.8148</x:v>
      </x:c>
      <x:c r="AG802" s="38" t="n">
        <x:v>5.54</x:v>
      </x:c>
      <x:c r="AH802" s="38" t="n">
        <x:f>IF(E802="Fason",L802*S802,0)</x:f>
        <x:v>24965.5954</x:v>
      </x:c>
      <x:c r="AI802" s="38" t="n">
        <x:f>IF(E802="Kurum içi",AC802*AD802+AE802*AF802+AB802*12%,0)</x:f>
        <x:v>0</x:v>
      </x:c>
      <x:c r="AJ802" s="38" t="n">
        <x:f>V802*AG802</x:f>
        <x:v>1303.0032019057198</x:v>
      </x:c>
      <x:c r="AK802" s="38" t="n">
        <x:f>AB802*2%</x:f>
        <x:v>3843.81996565</x:v>
      </x:c>
      <x:c r="AL802" s="38" t="n">
        <x:f>AB802+AH802+AI802+AJ802+AK802</x:f>
        <x:v>222303.4168500557</x:v>
      </x:c>
      <x:c r="AM802" s="38" t="n">
        <x:f>AL802/V802</x:f>
        <x:v>945.1710690718775</x:v>
      </x:c>
      <x:c r="AN802" s="40" t="n">
        <x:f>(W802+X802)/AL802*100</x:f>
        <x:v>73.4337400716201</x:v>
      </x:c>
      <x:c r="AO802" s="28" t="str">
        <x:v>R01-R20; ilgili satırdaki bölgesel fiyat ve maliyet varsayımları</x:v>
      </x:c>
      <x:c r="AP802" s="28" t="str">
        <x:v>Girdi miktarları, alım fiyatı değişimi, fason bedeli ve parti sonucu simüle edilmiştir; işletme kaydı değildir.</x:v>
      </x:c>
    </x:row>
    <x:row r="803" ht="22" customHeight="1">
      <x:c r="A803" t="str">
        <x:v>SUC-0802</x:v>
      </x:c>
      <x:c r="B803" s="36" t="n">
        <x:v>46315</x:v>
      </x:c>
      <x:c r="C803" t="str">
        <x:v>İç Anadolu</x:v>
      </x:c>
      <x:c r="D803" t="str">
        <x:v>MEB_STANDART</x:v>
      </x:c>
      <x:c r="E803" t="str">
        <x:v>Fason</x:v>
      </x:c>
      <x:c r="F803" s="42" t="str">
        <x:v>SENTETİK/SİMÜLE — gerçek parti kaydı değildir</x:v>
      </x:c>
      <x:c r="G803" s="38" t="n">
        <x:v>342.143</x:v>
      </x:c>
      <x:c r="H803" s="38" t="n">
        <x:v>107.018</x:v>
      </x:c>
      <x:c r="I803" s="38" t="n">
        <x:v>23.068</x:v>
      </x:c>
      <x:c r="J803" s="38" t="n">
        <x:v>11.552</x:v>
      </x:c>
      <x:c r="K803" s="38" t="n">
        <x:v>4.25</x:v>
      </x:c>
      <x:c r="L803" s="38" t="n">
        <x:f>SUM(G803:K803)</x:f>
        <x:v>488.03099999999995</x:v>
      </x:c>
      <x:c r="M803" s="38" t="n">
        <x:v>646.698</x:v>
      </x:c>
      <x:c r="N803" s="38" t="n">
        <x:v>583.2</x:v>
      </x:c>
      <x:c r="O803" s="38" t="n">
        <x:v>442.4</x:v>
      </x:c>
      <x:c r="P803" s="38" t="n">
        <x:v>400</x:v>
      </x:c>
      <x:c r="Q803" s="38" t="n">
        <x:v>19.88</x:v>
      </x:c>
      <x:c r="R803" s="38" t="n">
        <x:v>43.7475</x:v>
      </x:c>
      <x:c r="S803" s="38" t="n">
        <x:v>120.47</x:v>
      </x:c>
      <x:c r="T803" s="40" t="n">
        <x:v>22.92</x:v>
      </x:c>
      <x:c r="U803" s="40" t="n">
        <x:v>1.03</x:v>
      </x:c>
      <x:c r="V803" s="38" t="n">
        <x:f>L803*(1-T803/100)*(1-U803/100)</x:f>
        <x:v>372.29969956355995</x:v>
      </x:c>
      <x:c r="W803" s="38" t="n">
        <x:f>G803*N803</x:f>
        <x:v>199537.7976</x:v>
      </x:c>
      <x:c r="X803" s="38" t="n">
        <x:f>H803*O803</x:f>
        <x:v>47344.7632</x:v>
      </x:c>
      <x:c r="Y803" s="38" t="n">
        <x:f>I803*P803</x:f>
        <x:v>9227.2</x:v>
      </x:c>
      <x:c r="Z803" s="38" t="n">
        <x:f>J803*Q803+K803*P803</x:f>
        <x:v>1929.65376</x:v>
      </x:c>
      <x:c r="AA803" s="38" t="n">
        <x:f>M803*R803</x:f>
        <x:v>28291.420755</x:v>
      </x:c>
      <x:c r="AB803" s="38" t="n">
        <x:f>SUM(W803:AA803)</x:f>
        <x:v>286330.835315</x:v>
      </x:c>
      <x:c r="AC803" s="38" t="n">
        <x:v>26.56</x:v>
      </x:c>
      <x:c r="AD803" s="38" t="n">
        <x:v>174.33</x:v>
      </x:c>
      <x:c r="AE803" s="38" t="n">
        <x:v>216.76</x:v>
      </x:c>
      <x:c r="AF803" s="38" t="n">
        <x:v>4.8148</x:v>
      </x:c>
      <x:c r="AG803" s="38" t="n">
        <x:v>5.26</x:v>
      </x:c>
      <x:c r="AH803" s="38" t="n">
        <x:f>IF(E803="Fason",L803*S803,0)</x:f>
        <x:v>58793.094569999994</x:v>
      </x:c>
      <x:c r="AI803" s="38" t="n">
        <x:f>IF(E803="Kurum içi",AC803*AD803+AE803*AF803+AB803*12%,0)</x:f>
        <x:v>0</x:v>
      </x:c>
      <x:c r="AJ803" s="38" t="n">
        <x:f>V803*AG803</x:f>
        <x:v>1958.2964197043252</x:v>
      </x:c>
      <x:c r="AK803" s="38" t="n">
        <x:f>AB803*2%</x:f>
        <x:v>5726.616706299999</x:v>
      </x:c>
      <x:c r="AL803" s="38" t="n">
        <x:f>AB803+AH803+AI803+AJ803+AK803</x:f>
        <x:v>352808.8430110043</x:v>
      </x:c>
      <x:c r="AM803" s="38" t="n">
        <x:f>AL803/V803</x:f>
        <x:v>947.6474018770243</x:v>
      </x:c>
      <x:c r="AN803" s="40" t="n">
        <x:f>(W803+X803)/AL803*100</x:f>
        <x:v>69.97629614184572</x:v>
      </x:c>
      <x:c r="AO803" s="28" t="str">
        <x:v>R01-R20; ilgili satırdaki bölgesel fiyat ve maliyet varsayımları</x:v>
      </x:c>
      <x:c r="AP803" s="28" t="str">
        <x:v>Girdi miktarları, alım fiyatı değişimi, fason bedeli ve parti sonucu simüle edilmiştir; işletme kaydı değildir.</x:v>
      </x:c>
    </x:row>
    <x:row r="804" ht="22" customHeight="1">
      <x:c r="A804" t="str">
        <x:v>SUC-0803</x:v>
      </x:c>
      <x:c r="B804" s="36" t="n">
        <x:v>46317</x:v>
      </x:c>
      <x:c r="C804" t="str">
        <x:v>İç Anadolu</x:v>
      </x:c>
      <x:c r="D804" t="str">
        <x:v>ERZURUM_CI</x:v>
      </x:c>
      <x:c r="E804" t="str">
        <x:v>Kurum içi</x:v>
      </x:c>
      <x:c r="F804" s="42" t="str">
        <x:v>SENTETİK/SİMÜLE — gerçek parti kaydı değildir</x:v>
      </x:c>
      <x:c r="G804" s="38" t="n">
        <x:v>66.793</x:v>
      </x:c>
      <x:c r="H804" s="38" t="n">
        <x:v>12.214</x:v>
      </x:c>
      <x:c r="I804" s="38" t="n">
        <x:v>3.825</x:v>
      </x:c>
      <x:c r="J804" s="38" t="n">
        <x:v>1.292</x:v>
      </x:c>
      <x:c r="K804" s="38" t="n">
        <x:v>0.084</x:v>
      </x:c>
      <x:c r="L804" s="38" t="n">
        <x:f>SUM(G804:K804)</x:f>
        <x:v>84.20800000000001</x:v>
      </x:c>
      <x:c r="M804" s="38" t="n">
        <x:v>102.801</x:v>
      </x:c>
      <x:c r="N804" s="38" t="n">
        <x:v>574.94</x:v>
      </x:c>
      <x:c r="O804" s="38" t="n">
        <x:v>411.21</x:v>
      </x:c>
      <x:c r="P804" s="38" t="n">
        <x:v>400</x:v>
      </x:c>
      <x:c r="Q804" s="38" t="n">
        <x:v>19.88</x:v>
      </x:c>
      <x:c r="R804" s="38" t="n">
        <x:v>43.7475</x:v>
      </x:c>
      <x:c r="S804" s="38" t="n">
        <x:v>107.6</x:v>
      </x:c>
      <x:c r="T804" s="40" t="n">
        <x:v>17.97</x:v>
      </x:c>
      <x:c r="U804" s="40" t="n">
        <x:v>1.61</x:v>
      </x:c>
      <x:c r="V804" s="38" t="n">
        <x:f>L804*(1-T804/100)*(1-U804/100)</x:f>
        <x:v>67.96370165936001</x:v>
      </x:c>
      <x:c r="W804" s="38" t="n">
        <x:f>G804*N804</x:f>
        <x:v>38401.96742000001</x:v>
      </x:c>
      <x:c r="X804" s="38" t="n">
        <x:f>H804*O804</x:f>
        <x:v>5022.51894</x:v>
      </x:c>
      <x:c r="Y804" s="38" t="n">
        <x:f>I804*P804</x:f>
        <x:v>1530</x:v>
      </x:c>
      <x:c r="Z804" s="38" t="n">
        <x:f>J804*Q804+K804*P804</x:f>
        <x:v>59.28496</x:v>
      </x:c>
      <x:c r="AA804" s="38" t="n">
        <x:f>M804*R804</x:f>
        <x:v>4497.2867475</x:v>
      </x:c>
      <x:c r="AB804" s="38" t="n">
        <x:f>SUM(W804:AA804)</x:f>
        <x:v>49511.05806750001</x:v>
      </x:c>
      <x:c r="AC804" s="38" t="n">
        <x:v>3.14</x:v>
      </x:c>
      <x:c r="AD804" s="38" t="n">
        <x:v>174.33</x:v>
      </x:c>
      <x:c r="AE804" s="38" t="n">
        <x:v>23.93</x:v>
      </x:c>
      <x:c r="AF804" s="38" t="n">
        <x:v>4.8148</x:v>
      </x:c>
      <x:c r="AG804" s="38" t="n">
        <x:v>5.51</x:v>
      </x:c>
      <x:c r="AH804" s="38" t="n">
        <x:f>IF(E804="Fason",L804*S804,0)</x:f>
        <x:v>0</x:v>
      </x:c>
      <x:c r="AI804" s="38" t="n">
        <x:f>IF(E804="Kurum içi",AC804*AD804+AE804*AF804+AB804*12%,0)</x:f>
        <x:v>6603.941332100001</x:v>
      </x:c>
      <x:c r="AJ804" s="38" t="n">
        <x:f>V804*AG804</x:f>
        <x:v>374.47999614307366</x:v>
      </x:c>
      <x:c r="AK804" s="38" t="n">
        <x:f>AB804*2%</x:f>
        <x:v>990.2211613500002</x:v>
      </x:c>
      <x:c r="AL804" s="38" t="n">
        <x:f>AB804+AH804+AI804+AJ804+AK804</x:f>
        <x:v>57479.700557093085</x:v>
      </x:c>
      <x:c r="AM804" s="38" t="n">
        <x:f>AL804/V804</x:f>
        <x:v>845.7411699731475</x:v>
      </x:c>
      <x:c r="AN804" s="40" t="n">
        <x:f>(W804+X804)/AL804*100</x:f>
        <x:v>75.54751666958947</x:v>
      </x:c>
      <x:c r="AO804" s="28" t="str">
        <x:v>R01-R20; ilgili satırdaki bölgesel fiyat ve maliyet varsayımları</x:v>
      </x:c>
      <x:c r="AP804" s="28" t="str">
        <x:v>Girdi miktarları, alım fiyatı değişimi, fason bedeli ve parti sonucu simüle edilmiştir; işletme kaydı değildir.</x:v>
      </x:c>
    </x:row>
    <x:row r="805" ht="22" customHeight="1">
      <x:c r="A805" t="str">
        <x:v>SUC-0804</x:v>
      </x:c>
      <x:c r="B805" s="36" t="n">
        <x:v>46299</x:v>
      </x:c>
      <x:c r="C805" t="str">
        <x:v>Güneydoğu Anadolu</x:v>
      </x:c>
      <x:c r="D805" t="str">
        <x:v>ERZURUM_CI</x:v>
      </x:c>
      <x:c r="E805" t="str">
        <x:v>Kurum içi</x:v>
      </x:c>
      <x:c r="F805" s="42" t="str">
        <x:v>SENTETİK/SİMÜLE — gerçek parti kaydı değildir</x:v>
      </x:c>
      <x:c r="G805" s="38" t="n">
        <x:v>298.208</x:v>
      </x:c>
      <x:c r="H805" s="38" t="n">
        <x:v>53.903</x:v>
      </x:c>
      <x:c r="I805" s="38" t="n">
        <x:v>17.957</x:v>
      </x:c>
      <x:c r="J805" s="38" t="n">
        <x:v>6.154</x:v>
      </x:c>
      <x:c r="K805" s="38" t="n">
        <x:v>0.291</x:v>
      </x:c>
      <x:c r="L805" s="38" t="n">
        <x:f>SUM(G805:K805)</x:f>
        <x:v>376.51300000000003</x:v>
      </x:c>
      <x:c r="M805" s="38" t="n">
        <x:v>443.734</x:v>
      </x:c>
      <x:c r="N805" s="38" t="n">
        <x:v>600.36</x:v>
      </x:c>
      <x:c r="O805" s="38" t="n">
        <x:v>433.38</x:v>
      </x:c>
      <x:c r="P805" s="38" t="n">
        <x:v>400</x:v>
      </x:c>
      <x:c r="Q805" s="38" t="n">
        <x:v>19.88</x:v>
      </x:c>
      <x:c r="R805" s="38" t="n">
        <x:v>43.7475</x:v>
      </x:c>
      <x:c r="S805" s="38" t="n">
        <x:v>98.14</x:v>
      </x:c>
      <x:c r="T805" s="40" t="n">
        <x:v>19.34</x:v>
      </x:c>
      <x:c r="U805" s="40" t="n">
        <x:v>1</x:v>
      </x:c>
      <x:c r="V805" s="38" t="n">
        <x:f>L805*(1-T805/100)*(1-U805/100)</x:f>
        <x:v>300.658431942</x:v>
      </x:c>
      <x:c r="W805" s="38" t="n">
        <x:f>G805*N805</x:f>
        <x:v>179032.15488000002</x:v>
      </x:c>
      <x:c r="X805" s="38" t="n">
        <x:f>H805*O805</x:f>
        <x:v>23360.48214</x:v>
      </x:c>
      <x:c r="Y805" s="38" t="n">
        <x:f>I805*P805</x:f>
        <x:v>7182.8</x:v>
      </x:c>
      <x:c r="Z805" s="38" t="n">
        <x:f>J805*Q805+K805*P805</x:f>
        <x:v>238.74151999999998</x:v>
      </x:c>
      <x:c r="AA805" s="38" t="n">
        <x:f>M805*R805</x:f>
        <x:v>19412.253165000002</x:v>
      </x:c>
      <x:c r="AB805" s="38" t="n">
        <x:f>SUM(W805:AA805)</x:f>
        <x:v>229226.43170500002</x:v>
      </x:c>
      <x:c r="AC805" s="38" t="n">
        <x:v>18.36</x:v>
      </x:c>
      <x:c r="AD805" s="38" t="n">
        <x:v>174.33</x:v>
      </x:c>
      <x:c r="AE805" s="38" t="n">
        <x:v>148.94</x:v>
      </x:c>
      <x:c r="AF805" s="38" t="n">
        <x:v>4.8148</x:v>
      </x:c>
      <x:c r="AG805" s="38" t="n">
        <x:v>5.13</x:v>
      </x:c>
      <x:c r="AH805" s="38" t="n">
        <x:f>IF(E805="Fason",L805*S805,0)</x:f>
        <x:v>0</x:v>
      </x:c>
      <x:c r="AI805" s="38" t="n">
        <x:f>IF(E805="Kurum içi",AC805*AD805+AE805*AF805+AB805*12%,0)</x:f>
        <x:v>31424.986916600003</x:v>
      </x:c>
      <x:c r="AJ805" s="38" t="n">
        <x:f>V805*AG805</x:f>
        <x:v>1542.37775586246</x:v>
      </x:c>
      <x:c r="AK805" s="38" t="n">
        <x:f>AB805*2%</x:f>
        <x:v>4584.528634100001</x:v>
      </x:c>
      <x:c r="AL805" s="38" t="n">
        <x:f>AB805+AH805+AI805+AJ805+AK805</x:f>
        <x:v>266778.3250115625</x:v>
      </x:c>
      <x:c r="AM805" s="38" t="n">
        <x:f>AL805/V805</x:f>
        <x:v>887.3136312472577</x:v>
      </x:c>
      <x:c r="AN805" s="40" t="n">
        <x:f>(W805+X805)/AL805*100</x:f>
        <x:v>75.86547258336228</x:v>
      </x:c>
      <x:c r="AO805" s="28" t="str">
        <x:v>R01-R20; ilgili satırdaki bölgesel fiyat ve maliyet varsayımları</x:v>
      </x:c>
      <x:c r="AP805" s="28" t="str">
        <x:v>Girdi miktarları, alım fiyatı değişimi, fason bedeli ve parti sonucu simüle edilmiştir; işletme kaydı değildir.</x:v>
      </x:c>
    </x:row>
    <x:row r="806" ht="22" customHeight="1">
      <x:c r="A806" t="str">
        <x:v>SUC-0805</x:v>
      </x:c>
      <x:c r="B806" s="36" t="n">
        <x:v>46314</x:v>
      </x:c>
      <x:c r="C806" t="str">
        <x:v>Güneydoğu Anadolu</x:v>
      </x:c>
      <x:c r="D806" t="str">
        <x:v>MEB_STANDART</x:v>
      </x:c>
      <x:c r="E806" t="str">
        <x:v>Kurum içi</x:v>
      </x:c>
      <x:c r="F806" s="42" t="str">
        <x:v>SENTETİK/SİMÜLE — gerçek parti kaydı değildir</x:v>
      </x:c>
      <x:c r="G806" s="38" t="n">
        <x:v>105.617</x:v>
      </x:c>
      <x:c r="H806" s="38" t="n">
        <x:v>34.946</x:v>
      </x:c>
      <x:c r="I806" s="38" t="n">
        <x:v>6.596</x:v>
      </x:c>
      <x:c r="J806" s="38" t="n">
        <x:v>3.762</x:v>
      </x:c>
      <x:c r="K806" s="38" t="n">
        <x:v>1.532</x:v>
      </x:c>
      <x:c r="L806" s="38" t="n">
        <x:f>SUM(G806:K806)</x:f>
        <x:v>152.453</x:v>
      </x:c>
      <x:c r="M806" s="38" t="n">
        <x:v>207.102</x:v>
      </x:c>
      <x:c r="N806" s="38" t="n">
        <x:v>585.03</x:v>
      </x:c>
      <x:c r="O806" s="38" t="n">
        <x:v>433.3</x:v>
      </x:c>
      <x:c r="P806" s="38" t="n">
        <x:v>550</x:v>
      </x:c>
      <x:c r="Q806" s="38" t="n">
        <x:v>19.88</x:v>
      </x:c>
      <x:c r="R806" s="38" t="n">
        <x:v>43.7475</x:v>
      </x:c>
      <x:c r="S806" s="38" t="n">
        <x:v>67.69</x:v>
      </x:c>
      <x:c r="T806" s="40" t="n">
        <x:v>32.73</x:v>
      </x:c>
      <x:c r="U806" s="40" t="n">
        <x:v>1.59</x:v>
      </x:c>
      <x:c r="V806" s="38" t="n">
        <x:f>L806*(1-T806/100)*(1-U806/100)</x:f>
        <x:v>100.92450648371002</x:v>
      </x:c>
      <x:c r="W806" s="38" t="n">
        <x:f>G806*N806</x:f>
        <x:v>61789.11351</x:v>
      </x:c>
      <x:c r="X806" s="38" t="n">
        <x:f>H806*O806</x:f>
        <x:v>15142.1018</x:v>
      </x:c>
      <x:c r="Y806" s="38" t="n">
        <x:f>I806*P806</x:f>
        <x:v>3627.8</x:v>
      </x:c>
      <x:c r="Z806" s="38" t="n">
        <x:f>J806*Q806+K806*P806</x:f>
        <x:v>917.38856</x:v>
      </x:c>
      <x:c r="AA806" s="38" t="n">
        <x:f>M806*R806</x:f>
        <x:v>9060.194745</x:v>
      </x:c>
      <x:c r="AB806" s="38" t="n">
        <x:f>SUM(W806:AA806)</x:f>
        <x:v>90536.59861500001</x:v>
      </x:c>
      <x:c r="AC806" s="38" t="n">
        <x:v>7.81</x:v>
      </x:c>
      <x:c r="AD806" s="38" t="n">
        <x:v>174.33</x:v>
      </x:c>
      <x:c r="AE806" s="38" t="n">
        <x:v>54.04</x:v>
      </x:c>
      <x:c r="AF806" s="38" t="n">
        <x:v>4.8148</x:v>
      </x:c>
      <x:c r="AG806" s="38" t="n">
        <x:v>5.47</x:v>
      </x:c>
      <x:c r="AH806" s="38" t="n">
        <x:f>IF(E806="Fason",L806*S806,0)</x:f>
        <x:v>0</x:v>
      </x:c>
      <x:c r="AI806" s="38" t="n">
        <x:f>IF(E806="Kurum içi",AC806*AD806+AE806*AF806+AB806*12%,0)</x:f>
        <x:v>12486.100925800001</x:v>
      </x:c>
      <x:c r="AJ806" s="38" t="n">
        <x:f>V806*AG806</x:f>
        <x:v>552.0570504658938</x:v>
      </x:c>
      <x:c r="AK806" s="38" t="n">
        <x:f>AB806*2%</x:f>
        <x:v>1810.7319723000003</x:v>
      </x:c>
      <x:c r="AL806" s="38" t="n">
        <x:f>AB806+AH806+AI806+AJ806+AK806</x:f>
        <x:v>105385.4885635659</x:v>
      </x:c>
      <x:c r="AM806" s="38" t="n">
        <x:f>AL806/V806</x:f>
        <x:v>1044.2011780416872</x:v>
      </x:c>
      <x:c r="AN806" s="40" t="n">
        <x:f>(W806+X806)/AL806*100</x:f>
        <x:v>72.9998184366693</x:v>
      </x:c>
      <x:c r="AO806" s="28" t="str">
        <x:v>R01-R20; ilgili satırdaki bölgesel fiyat ve maliyet varsayımları</x:v>
      </x:c>
      <x:c r="AP806" s="28" t="str">
        <x:v>Girdi miktarları, alım fiyatı değişimi, fason bedeli ve parti sonucu simüle edilmiştir; işletme kaydı değildir.</x:v>
      </x:c>
    </x:row>
    <x:row r="807" ht="22" customHeight="1">
      <x:c r="A807" t="str">
        <x:v>SUC-0806</x:v>
      </x:c>
      <x:c r="B807" s="36" t="n">
        <x:v>46279</x:v>
      </x:c>
      <x:c r="C807" t="str">
        <x:v>Ege</x:v>
      </x:c>
      <x:c r="D807" t="str">
        <x:v>MEB_STANDART</x:v>
      </x:c>
      <x:c r="E807" t="str">
        <x:v>Kurum içi</x:v>
      </x:c>
      <x:c r="F807" s="42" t="str">
        <x:v>SENTETİK/SİMÜLE — gerçek parti kaydı değildir</x:v>
      </x:c>
      <x:c r="G807" s="38" t="n">
        <x:v>214.506</x:v>
      </x:c>
      <x:c r="H807" s="38" t="n">
        <x:v>64.208</x:v>
      </x:c>
      <x:c r="I807" s="38" t="n">
        <x:v>14.219</x:v>
      </x:c>
      <x:c r="J807" s="38" t="n">
        <x:v>7.656</x:v>
      </x:c>
      <x:c r="K807" s="38" t="n">
        <x:v>3.512</x:v>
      </x:c>
      <x:c r="L807" s="38" t="n">
        <x:f>SUM(G807:K807)</x:f>
        <x:v>304.101</x:v>
      </x:c>
      <x:c r="M807" s="38" t="n">
        <x:v>379.844</x:v>
      </x:c>
      <x:c r="N807" s="38" t="n">
        <x:v>598.51</x:v>
      </x:c>
      <x:c r="O807" s="38" t="n">
        <x:v>467.9</x:v>
      </x:c>
      <x:c r="P807" s="38" t="n">
        <x:v>550</x:v>
      </x:c>
      <x:c r="Q807" s="38" t="n">
        <x:v>19.88</x:v>
      </x:c>
      <x:c r="R807" s="38" t="n">
        <x:v>43.7475</x:v>
      </x:c>
      <x:c r="S807" s="38" t="n">
        <x:v>122.76</x:v>
      </x:c>
      <x:c r="T807" s="40" t="n">
        <x:v>17.43</x:v>
      </x:c>
      <x:c r="U807" s="40" t="n">
        <x:v>0.92</x:v>
      </x:c>
      <x:c r="V807" s="38" t="n">
        <x:f>L807*(1-T807/100)*(1-U807/100)</x:f>
        <x:v>248.78611069956003</x:v>
      </x:c>
      <x:c r="W807" s="38" t="n">
        <x:f>G807*N807</x:f>
        <x:v>128383.98606</x:v>
      </x:c>
      <x:c r="X807" s="38" t="n">
        <x:f>H807*O807</x:f>
        <x:v>30042.923199999997</x:v>
      </x:c>
      <x:c r="Y807" s="38" t="n">
        <x:f>I807*P807</x:f>
        <x:v>7820.45</x:v>
      </x:c>
      <x:c r="Z807" s="38" t="n">
        <x:f>J807*Q807+K807*P807</x:f>
        <x:v>2083.8012799999997</x:v>
      </x:c>
      <x:c r="AA807" s="38" t="n">
        <x:f>M807*R807</x:f>
        <x:v>16617.22539</x:v>
      </x:c>
      <x:c r="AB807" s="38" t="n">
        <x:f>SUM(W807:AA807)</x:f>
        <x:v>184948.38593000002</x:v>
      </x:c>
      <x:c r="AC807" s="38" t="n">
        <x:v>10.87</x:v>
      </x:c>
      <x:c r="AD807" s="38" t="n">
        <x:v>174.33</x:v>
      </x:c>
      <x:c r="AE807" s="38" t="n">
        <x:v>115.69</x:v>
      </x:c>
      <x:c r="AF807" s="38" t="n">
        <x:v>4.8148</x:v>
      </x:c>
      <x:c r="AG807" s="38" t="n">
        <x:v>5.87</x:v>
      </x:c>
      <x:c r="AH807" s="38" t="n">
        <x:f>IF(E807="Fason",L807*S807,0)</x:f>
        <x:v>0</x:v>
      </x:c>
      <x:c r="AI807" s="38" t="n">
        <x:f>IF(E807="Kurum içi",AC807*AD807+AE807*AF807+AB807*12%,0)</x:f>
        <x:v>24645.797623600003</x:v>
      </x:c>
      <x:c r="AJ807" s="38" t="n">
        <x:f>V807*AG807</x:f>
        <x:v>1460.3744698064174</x:v>
      </x:c>
      <x:c r="AK807" s="38" t="n">
        <x:f>AB807*2%</x:f>
        <x:v>3698.9677186000004</x:v>
      </x:c>
      <x:c r="AL807" s="38" t="n">
        <x:f>AB807+AH807+AI807+AJ807+AK807</x:f>
        <x:v>214753.52574200643</x:v>
      </x:c>
      <x:c r="AM807" s="38" t="n">
        <x:f>AL807/V807</x:f>
        <x:v>863.2054463898423</x:v>
      </x:c>
      <x:c r="AN807" s="40" t="n">
        <x:f>(W807+X807)/AL807*100</x:f>
        <x:v>73.77150559582697</x:v>
      </x:c>
      <x:c r="AO807" s="28" t="str">
        <x:v>R01-R20; ilgili satırdaki bölgesel fiyat ve maliyet varsayımları</x:v>
      </x:c>
      <x:c r="AP807" s="28" t="str">
        <x:v>Girdi miktarları, alım fiyatı değişimi, fason bedeli ve parti sonucu simüle edilmiştir; işletme kaydı değildir.</x:v>
      </x:c>
    </x:row>
    <x:row r="808" ht="22" customHeight="1">
      <x:c r="A808" t="str">
        <x:v>SUC-0807</x:v>
      </x:c>
      <x:c r="B808" s="36" t="n">
        <x:v>46310</x:v>
      </x:c>
      <x:c r="C808" t="str">
        <x:v>Akdeniz</x:v>
      </x:c>
      <x:c r="D808" t="str">
        <x:v>ERZURUM_CI</x:v>
      </x:c>
      <x:c r="E808" t="str">
        <x:v>Kurum içi</x:v>
      </x:c>
      <x:c r="F808" s="42" t="str">
        <x:v>SENTETİK/SİMÜLE — gerçek parti kaydı değildir</x:v>
      </x:c>
      <x:c r="G808" s="38" t="n">
        <x:v>129.573</x:v>
      </x:c>
      <x:c r="H808" s="38" t="n">
        <x:v>21.935</x:v>
      </x:c>
      <x:c r="I808" s="38" t="n">
        <x:v>7.743</x:v>
      </x:c>
      <x:c r="J808" s="38" t="n">
        <x:v>2.884</x:v>
      </x:c>
      <x:c r="K808" s="38" t="n">
        <x:v>0.016</x:v>
      </x:c>
      <x:c r="L808" s="38" t="n">
        <x:f>SUM(G808:K808)</x:f>
        <x:v>162.15099999999998</x:v>
      </x:c>
      <x:c r="M808" s="38" t="n">
        <x:v>198.302</x:v>
      </x:c>
      <x:c r="N808" s="38" t="n">
        <x:v>606.96</x:v>
      </x:c>
      <x:c r="O808" s="38" t="n">
        <x:v>478.65</x:v>
      </x:c>
      <x:c r="P808" s="38" t="n">
        <x:v>550</x:v>
      </x:c>
      <x:c r="Q808" s="38" t="n">
        <x:v>19.88</x:v>
      </x:c>
      <x:c r="R808" s="38" t="n">
        <x:v>43.7475</x:v>
      </x:c>
      <x:c r="S808" s="38" t="n">
        <x:v>80.28</x:v>
      </x:c>
      <x:c r="T808" s="40" t="n">
        <x:v>30.37</x:v>
      </x:c>
      <x:c r="U808" s="40" t="n">
        <x:v>1.66</x:v>
      </x:c>
      <x:c r="V808" s="38" t="n">
        <x:f>L808*(1-T808/100)*(1-U808/100)</x:f>
        <x:v>111.03150599441999</x:v>
      </x:c>
      <x:c r="W808" s="38" t="n">
        <x:f>G808*N808</x:f>
        <x:v>78645.62808000001</x:v>
      </x:c>
      <x:c r="X808" s="38" t="n">
        <x:f>H808*O808</x:f>
        <x:v>10499.18775</x:v>
      </x:c>
      <x:c r="Y808" s="38" t="n">
        <x:f>I808*P808</x:f>
        <x:v>4258.650000000001</x:v>
      </x:c>
      <x:c r="Z808" s="38" t="n">
        <x:f>J808*Q808+K808*P808</x:f>
        <x:v>66.13391999999999</x:v>
      </x:c>
      <x:c r="AA808" s="38" t="n">
        <x:f>M808*R808</x:f>
        <x:v>8675.216745</x:v>
      </x:c>
      <x:c r="AB808" s="38" t="n">
        <x:f>SUM(W808:AA808)</x:f>
        <x:v>102144.81649499999</x:v>
      </x:c>
      <x:c r="AC808" s="38" t="n">
        <x:v>6.27</x:v>
      </x:c>
      <x:c r="AD808" s="38" t="n">
        <x:v>174.33</x:v>
      </x:c>
      <x:c r="AE808" s="38" t="n">
        <x:v>69.3</x:v>
      </x:c>
      <x:c r="AF808" s="38" t="n">
        <x:v>4.8148</x:v>
      </x:c>
      <x:c r="AG808" s="38" t="n">
        <x:v>5.21</x:v>
      </x:c>
      <x:c r="AH808" s="38" t="n">
        <x:f>IF(E808="Fason",L808*S808,0)</x:f>
        <x:v>0</x:v>
      </x:c>
      <x:c r="AI808" s="38" t="n">
        <x:f>IF(E808="Kurum içi",AC808*AD808+AE808*AF808+AB808*12%,0)</x:f>
        <x:v>13684.092719399998</x:v>
      </x:c>
      <x:c r="AJ808" s="38" t="n">
        <x:f>V808*AG808</x:f>
        <x:v>578.4741462309281</x:v>
      </x:c>
      <x:c r="AK808" s="38" t="n">
        <x:f>AB808*2%</x:f>
        <x:v>2042.8963299</x:v>
      </x:c>
      <x:c r="AL808" s="38" t="n">
        <x:f>AB808+AH808+AI808+AJ808+AK808</x:f>
        <x:v>118450.27969053092</x:v>
      </x:c>
      <x:c r="AM808" s="38" t="n">
        <x:f>AL808/V808</x:f>
        <x:v>1066.8168339217498</x:v>
      </x:c>
      <x:c r="AN808" s="40" t="n">
        <x:f>(W808+X808)/AL808*100</x:f>
        <x:v>75.25927001852945</x:v>
      </x:c>
      <x:c r="AO808" s="28" t="str">
        <x:v>R01-R20; ilgili satırdaki bölgesel fiyat ve maliyet varsayımları</x:v>
      </x:c>
      <x:c r="AP808" s="28" t="str">
        <x:v>Girdi miktarları, alım fiyatı değişimi, fason bedeli ve parti sonucu simüle edilmiştir; işletme kaydı değildir.</x:v>
      </x:c>
    </x:row>
    <x:row r="809" ht="22" customHeight="1">
      <x:c r="A809" t="str">
        <x:v>SUC-0808</x:v>
      </x:c>
      <x:c r="B809" s="36" t="n">
        <x:v>46291</x:v>
      </x:c>
      <x:c r="C809" t="str">
        <x:v>Güneydoğu Anadolu</x:v>
      </x:c>
      <x:c r="D809" t="str">
        <x:v>ERZURUM_CI</x:v>
      </x:c>
      <x:c r="E809" t="str">
        <x:v>Kurum içi</x:v>
      </x:c>
      <x:c r="F809" s="42" t="str">
        <x:v>SENTETİK/SİMÜLE — gerçek parti kaydı değildir</x:v>
      </x:c>
      <x:c r="G809" s="38" t="n">
        <x:v>262.824</x:v>
      </x:c>
      <x:c r="H809" s="38" t="n">
        <x:v>45.942</x:v>
      </x:c>
      <x:c r="I809" s="38" t="n">
        <x:v>14.9</x:v>
      </x:c>
      <x:c r="J809" s="38" t="n">
        <x:v>4.658</x:v>
      </x:c>
      <x:c r="K809" s="38" t="n">
        <x:v>0.332</x:v>
      </x:c>
      <x:c r="L809" s="38" t="n">
        <x:f>SUM(G809:K809)</x:f>
        <x:v>328.656</x:v>
      </x:c>
      <x:c r="M809" s="38" t="n">
        <x:v>407.315</x:v>
      </x:c>
      <x:c r="N809" s="38" t="n">
        <x:v>592.29</x:v>
      </x:c>
      <x:c r="O809" s="38" t="n">
        <x:v>442.94</x:v>
      </x:c>
      <x:c r="P809" s="38" t="n">
        <x:v>669.9</x:v>
      </x:c>
      <x:c r="Q809" s="38" t="n">
        <x:v>19.88</x:v>
      </x:c>
      <x:c r="R809" s="38" t="n">
        <x:v>43.7475</x:v>
      </x:c>
      <x:c r="S809" s="38" t="n">
        <x:v>79.4</x:v>
      </x:c>
      <x:c r="T809" s="40" t="n">
        <x:v>15.91</x:v>
      </x:c>
      <x:c r="U809" s="40" t="n">
        <x:v>1.26</x:v>
      </x:c>
      <x:c r="V809" s="38" t="n">
        <x:f>L809*(1-T809/100)*(1-U809/100)</x:f>
        <x:v>272.88460833696</x:v>
      </x:c>
      <x:c r="W809" s="38" t="n">
        <x:f>G809*N809</x:f>
        <x:v>155668.02696</x:v>
      </x:c>
      <x:c r="X809" s="38" t="n">
        <x:f>H809*O809</x:f>
        <x:v>20349.54948</x:v>
      </x:c>
      <x:c r="Y809" s="38" t="n">
        <x:f>I809*P809</x:f>
        <x:v>9981.51</x:v>
      </x:c>
      <x:c r="Z809" s="38" t="n">
        <x:f>J809*Q809+K809*P809</x:f>
        <x:v>315.00784</x:v>
      </x:c>
      <x:c r="AA809" s="38" t="n">
        <x:f>M809*R809</x:f>
        <x:v>17819.0129625</x:v>
      </x:c>
      <x:c r="AB809" s="38" t="n">
        <x:f>SUM(W809:AA809)</x:f>
        <x:v>204133.1072425</x:v>
      </x:c>
      <x:c r="AC809" s="38" t="n">
        <x:v>14.26</x:v>
      </x:c>
      <x:c r="AD809" s="38" t="n">
        <x:v>174.33</x:v>
      </x:c>
      <x:c r="AE809" s="38" t="n">
        <x:v>141.62</x:v>
      </x:c>
      <x:c r="AF809" s="38" t="n">
        <x:v>4.8148</x:v>
      </x:c>
      <x:c r="AG809" s="38" t="n">
        <x:v>5.23</x:v>
      </x:c>
      <x:c r="AH809" s="38" t="n">
        <x:f>IF(E809="Fason",L809*S809,0)</x:f>
        <x:v>0</x:v>
      </x:c>
      <x:c r="AI809" s="38" t="n">
        <x:f>IF(E809="Kurum içi",AC809*AD809+AE809*AF809+AB809*12%,0)</x:f>
        <x:v>27663.790645099998</x:v>
      </x:c>
      <x:c r="AJ809" s="38" t="n">
        <x:f>V809*AG809</x:f>
        <x:v>1427.186501602301</x:v>
      </x:c>
      <x:c r="AK809" s="38" t="n">
        <x:f>AB809*2%</x:f>
        <x:v>4082.66214485</x:v>
      </x:c>
      <x:c r="AL809" s="38" t="n">
        <x:f>AB809+AH809+AI809+AJ809+AK809</x:f>
        <x:v>237306.7465340523</x:v>
      </x:c>
      <x:c r="AM809" s="38" t="n">
        <x:f>AL809/V809</x:f>
        <x:v>869.6230541556382</x:v>
      </x:c>
      <x:c r="AN809" s="40" t="n">
        <x:f>(W809+X809)/AL809*100</x:f>
        <x:v>74.1730182604574</x:v>
      </x:c>
      <x:c r="AO809" s="28" t="str">
        <x:v>R01-R20; ilgili satırdaki bölgesel fiyat ve maliyet varsayımları</x:v>
      </x:c>
      <x:c r="AP809" s="28" t="str">
        <x:v>Girdi miktarları, alım fiyatı değişimi, fason bedeli ve parti sonucu simüle edilmiştir; işletme kaydı değildir.</x:v>
      </x:c>
    </x:row>
    <x:row r="810" ht="22" customHeight="1">
      <x:c r="A810" t="str">
        <x:v>SUC-0809</x:v>
      </x:c>
      <x:c r="B810" s="36" t="n">
        <x:v>46294</x:v>
      </x:c>
      <x:c r="C810" t="str">
        <x:v>Marmara</x:v>
      </x:c>
      <x:c r="D810" t="str">
        <x:v>ERZURUM_CI</x:v>
      </x:c>
      <x:c r="E810" t="str">
        <x:v>Fason</x:v>
      </x:c>
      <x:c r="F810" s="42" t="str">
        <x:v>SENTETİK/SİMÜLE — gerçek parti kaydı değildir</x:v>
      </x:c>
      <x:c r="G810" s="38" t="n">
        <x:v>93.626</x:v>
      </x:c>
      <x:c r="H810" s="38" t="n">
        <x:v>15.548</x:v>
      </x:c>
      <x:c r="I810" s="38" t="n">
        <x:v>5.221</x:v>
      </x:c>
      <x:c r="J810" s="38" t="n">
        <x:v>1.726</x:v>
      </x:c>
      <x:c r="K810" s="38" t="n">
        <x:v>0.143</x:v>
      </x:c>
      <x:c r="L810" s="38" t="n">
        <x:f>SUM(G810:K810)</x:f>
        <x:v>116.26400000000001</x:v>
      </x:c>
      <x:c r="M810" s="38" t="n">
        <x:v>150.304</x:v>
      </x:c>
      <x:c r="N810" s="38" t="n">
        <x:v>602.44</x:v>
      </x:c>
      <x:c r="O810" s="38" t="n">
        <x:v>442.06</x:v>
      </x:c>
      <x:c r="P810" s="38" t="n">
        <x:v>550</x:v>
      </x:c>
      <x:c r="Q810" s="38" t="n">
        <x:v>19.88</x:v>
      </x:c>
      <x:c r="R810" s="38" t="n">
        <x:v>43.7475</x:v>
      </x:c>
      <x:c r="S810" s="38" t="n">
        <x:v>105.47</x:v>
      </x:c>
      <x:c r="T810" s="40" t="n">
        <x:v>21.42</x:v>
      </x:c>
      <x:c r="U810" s="40" t="n">
        <x:v>0.75</x:v>
      </x:c>
      <x:c r="V810" s="38" t="n">
        <x:f>L810*(1-T810/100)*(1-U810/100)</x:f>
        <x:v>90.67504931600001</x:v>
      </x:c>
      <x:c r="W810" s="38" t="n">
        <x:f>G810*N810</x:f>
        <x:v>56404.04744000001</x:v>
      </x:c>
      <x:c r="X810" s="38" t="n">
        <x:f>H810*O810</x:f>
        <x:v>6873.14888</x:v>
      </x:c>
      <x:c r="Y810" s="38" t="n">
        <x:f>I810*P810</x:f>
        <x:v>2871.55</x:v>
      </x:c>
      <x:c r="Z810" s="38" t="n">
        <x:f>J810*Q810+K810*P810</x:f>
        <x:v>112.96287999999998</x:v>
      </x:c>
      <x:c r="AA810" s="38" t="n">
        <x:f>M810*R810</x:f>
        <x:v>6575.42424</x:v>
      </x:c>
      <x:c r="AB810" s="38" t="n">
        <x:f>SUM(W810:AA810)</x:f>
        <x:v>72837.13344</x:v>
      </x:c>
      <x:c r="AC810" s="38" t="n">
        <x:v>4.29</x:v>
      </x:c>
      <x:c r="AD810" s="38" t="n">
        <x:v>174.33</x:v>
      </x:c>
      <x:c r="AE810" s="38" t="n">
        <x:v>28.67</x:v>
      </x:c>
      <x:c r="AF810" s="38" t="n">
        <x:v>4.8148</x:v>
      </x:c>
      <x:c r="AG810" s="38" t="n">
        <x:v>5.48</x:v>
      </x:c>
      <x:c r="AH810" s="38" t="n">
        <x:f>IF(E810="Fason",L810*S810,0)</x:f>
        <x:v>12262.364080000001</x:v>
      </x:c>
      <x:c r="AI810" s="38" t="n">
        <x:f>IF(E810="Kurum içi",AC810*AD810+AE810*AF810+AB810*12%,0)</x:f>
        <x:v>0</x:v>
      </x:c>
      <x:c r="AJ810" s="38" t="n">
        <x:f>V810*AG810</x:f>
        <x:v>496.8992702516801</x:v>
      </x:c>
      <x:c r="AK810" s="38" t="n">
        <x:f>AB810*2%</x:f>
        <x:v>1456.7426688</x:v>
      </x:c>
      <x:c r="AL810" s="38" t="n">
        <x:f>AB810+AH810+AI810+AJ810+AK810</x:f>
        <x:v>87053.13945905169</x:v>
      </x:c>
      <x:c r="AM810" s="38" t="n">
        <x:f>AL810/V810</x:f>
        <x:v>960.0561578486042</x:v>
      </x:c>
      <x:c r="AN810" s="40" t="n">
        <x:f>(W810+X810)/AL810*100</x:f>
        <x:v>72.68801184334602</x:v>
      </x:c>
      <x:c r="AO810" s="28" t="str">
        <x:v>R01-R20; ilgili satırdaki bölgesel fiyat ve maliyet varsayımları</x:v>
      </x:c>
      <x:c r="AP810" s="28" t="str">
        <x:v>Girdi miktarları, alım fiyatı değişimi, fason bedeli ve parti sonucu simüle edilmiştir; işletme kaydı değildir.</x:v>
      </x:c>
    </x:row>
    <x:row r="811" ht="22" customHeight="1">
      <x:c r="A811" t="str">
        <x:v>SUC-0810</x:v>
      </x:c>
      <x:c r="B811" s="36" t="n">
        <x:v>46289</x:v>
      </x:c>
      <x:c r="C811" t="str">
        <x:v>İç Anadolu</x:v>
      </x:c>
      <x:c r="D811" t="str">
        <x:v>ERZURUM_CI</x:v>
      </x:c>
      <x:c r="E811" t="str">
        <x:v>Kurum içi</x:v>
      </x:c>
      <x:c r="F811" s="42" t="str">
        <x:v>SENTETİK/SİMÜLE — gerçek parti kaydı değildir</x:v>
      </x:c>
      <x:c r="G811" s="38" t="n">
        <x:v>139.644</x:v>
      </x:c>
      <x:c r="H811" s="38" t="n">
        <x:v>23.29</x:v>
      </x:c>
      <x:c r="I811" s="38" t="n">
        <x:v>8.321</x:v>
      </x:c>
      <x:c r="J811" s="38" t="n">
        <x:v>2.509</x:v>
      </x:c>
      <x:c r="K811" s="38" t="n">
        <x:v>0.281</x:v>
      </x:c>
      <x:c r="L811" s="38" t="n">
        <x:f>SUM(G811:K811)</x:f>
        <x:v>174.045</x:v>
      </x:c>
      <x:c r="M811" s="38" t="n">
        <x:v>220.617</x:v>
      </x:c>
      <x:c r="N811" s="38" t="n">
        <x:v>598.11</x:v>
      </x:c>
      <x:c r="O811" s="38" t="n">
        <x:v>444.67</x:v>
      </x:c>
      <x:c r="P811" s="38" t="n">
        <x:v>400</x:v>
      </x:c>
      <x:c r="Q811" s="38" t="n">
        <x:v>19.88</x:v>
      </x:c>
      <x:c r="R811" s="38" t="n">
        <x:v>43.7475</x:v>
      </x:c>
      <x:c r="S811" s="38" t="n">
        <x:v>100.12</x:v>
      </x:c>
      <x:c r="T811" s="40" t="n">
        <x:v>22.87</x:v>
      </x:c>
      <x:c r="U811" s="40" t="n">
        <x:v>1.48</x:v>
      </x:c>
      <x:c r="V811" s="38" t="n">
        <x:f>L811*(1-T811/100)*(1-U811/100)</x:f>
        <x:v>132.25414305419997</x:v>
      </x:c>
      <x:c r="W811" s="38" t="n">
        <x:f>G811*N811</x:f>
        <x:v>83522.47284</x:v>
      </x:c>
      <x:c r="X811" s="38" t="n">
        <x:f>H811*O811</x:f>
        <x:v>10356.3643</x:v>
      </x:c>
      <x:c r="Y811" s="38" t="n">
        <x:f>I811*P811</x:f>
        <x:v>3328.4</x:v>
      </x:c>
      <x:c r="Z811" s="38" t="n">
        <x:f>J811*Q811+K811*P811</x:f>
        <x:v>162.27892</x:v>
      </x:c>
      <x:c r="AA811" s="38" t="n">
        <x:f>M811*R811</x:f>
        <x:v>9651.4422075</x:v>
      </x:c>
      <x:c r="AB811" s="38" t="n">
        <x:f>SUM(W811:AA811)</x:f>
        <x:v>107020.9582675</x:v>
      </x:c>
      <x:c r="AC811" s="38" t="n">
        <x:v>10.3</x:v>
      </x:c>
      <x:c r="AD811" s="38" t="n">
        <x:v>174.33</x:v>
      </x:c>
      <x:c r="AE811" s="38" t="n">
        <x:v>78.9</x:v>
      </x:c>
      <x:c r="AF811" s="38" t="n">
        <x:v>4.8148</x:v>
      </x:c>
      <x:c r="AG811" s="38" t="n">
        <x:v>5.26</x:v>
      </x:c>
      <x:c r="AH811" s="38" t="n">
        <x:f>IF(E811="Fason",L811*S811,0)</x:f>
        <x:v>0</x:v>
      </x:c>
      <x:c r="AI811" s="38" t="n">
        <x:f>IF(E811="Kurum içi",AC811*AD811+AE811*AF811+AB811*12%,0)</x:f>
        <x:v>15018.0017121</x:v>
      </x:c>
      <x:c r="AJ811" s="38" t="n">
        <x:f>V811*AG811</x:f>
        <x:v>695.6567924650918</x:v>
      </x:c>
      <x:c r="AK811" s="38" t="n">
        <x:f>AB811*2%</x:f>
        <x:v>2140.41916535</x:v>
      </x:c>
      <x:c r="AL811" s="38" t="n">
        <x:f>AB811+AH811+AI811+AJ811+AK811</x:f>
        <x:v>124875.03593741509</x:v>
      </x:c>
      <x:c r="AM811" s="38" t="n">
        <x:f>AL811/V811</x:f>
        <x:v>944.2050967449783</x:v>
      </x:c>
      <x:c r="AN811" s="40" t="n">
        <x:f>(W811+X811)/AL811*100</x:f>
        <x:v>75.17822632463565</x:v>
      </x:c>
      <x:c r="AO811" s="28" t="str">
        <x:v>R01-R20; ilgili satırdaki bölgesel fiyat ve maliyet varsayımları</x:v>
      </x:c>
      <x:c r="AP811" s="28" t="str">
        <x:v>Girdi miktarları, alım fiyatı değişimi, fason bedeli ve parti sonucu simüle edilmiştir; işletme kaydı değildir.</x:v>
      </x:c>
    </x:row>
    <x:row r="812" ht="22" customHeight="1">
      <x:c r="A812" t="str">
        <x:v>SUC-0811</x:v>
      </x:c>
      <x:c r="B812" s="36" t="n">
        <x:v>46292</x:v>
      </x:c>
      <x:c r="C812" t="str">
        <x:v>Ege</x:v>
      </x:c>
      <x:c r="D812" t="str">
        <x:v>ERZURUM_CI</x:v>
      </x:c>
      <x:c r="E812" t="str">
        <x:v>Kurum içi</x:v>
      </x:c>
      <x:c r="F812" s="42" t="str">
        <x:v>SENTETİK/SİMÜLE — gerçek parti kaydı değildir</x:v>
      </x:c>
      <x:c r="G812" s="38" t="n">
        <x:v>244.651</x:v>
      </x:c>
      <x:c r="H812" s="38" t="n">
        <x:v>40.206</x:v>
      </x:c>
      <x:c r="I812" s="38" t="n">
        <x:v>14.192</x:v>
      </x:c>
      <x:c r="J812" s="38" t="n">
        <x:v>5.452</x:v>
      </x:c>
      <x:c r="K812" s="38" t="n">
        <x:v>0.031</x:v>
      </x:c>
      <x:c r="L812" s="38" t="n">
        <x:f>SUM(G812:K812)</x:f>
        <x:v>304.53200000000004</x:v>
      </x:c>
      <x:c r="M812" s="38" t="n">
        <x:v>384.248</x:v>
      </x:c>
      <x:c r="N812" s="38" t="n">
        <x:v>580.86</x:v>
      </x:c>
      <x:c r="O812" s="38" t="n">
        <x:v>472.9</x:v>
      </x:c>
      <x:c r="P812" s="38" t="n">
        <x:v>550</x:v>
      </x:c>
      <x:c r="Q812" s="38" t="n">
        <x:v>19.88</x:v>
      </x:c>
      <x:c r="R812" s="38" t="n">
        <x:v>43.7475</x:v>
      </x:c>
      <x:c r="S812" s="38" t="n">
        <x:v>123.06</x:v>
      </x:c>
      <x:c r="T812" s="40" t="n">
        <x:v>25.03</x:v>
      </x:c>
      <x:c r="U812" s="40" t="n">
        <x:v>1.57</x:v>
      </x:c>
      <x:c r="V812" s="38" t="n">
        <x:f>L812*(1-T812/100)*(1-U812/100)</x:f>
        <x:v>224.72321044572</x:v>
      </x:c>
      <x:c r="W812" s="38" t="n">
        <x:f>G812*N812</x:f>
        <x:v>142107.97986000002</x:v>
      </x:c>
      <x:c r="X812" s="38" t="n">
        <x:f>H812*O812</x:f>
        <x:v>19013.417400000002</x:v>
      </x:c>
      <x:c r="Y812" s="38" t="n">
        <x:f>I812*P812</x:f>
        <x:v>7805.6</x:v>
      </x:c>
      <x:c r="Z812" s="38" t="n">
        <x:f>J812*Q812+K812*P812</x:f>
        <x:v>125.43575999999999</x:v>
      </x:c>
      <x:c r="AA812" s="38" t="n">
        <x:f>M812*R812</x:f>
        <x:v>16809.88938</x:v>
      </x:c>
      <x:c r="AB812" s="38" t="n">
        <x:f>SUM(W812:AA812)</x:f>
        <x:v>185862.32240000003</x:v>
      </x:c>
      <x:c r="AC812" s="38" t="n">
        <x:v>13.35</x:v>
      </x:c>
      <x:c r="AD812" s="38" t="n">
        <x:v>174.33</x:v>
      </x:c>
      <x:c r="AE812" s="38" t="n">
        <x:v>133.79</x:v>
      </x:c>
      <x:c r="AF812" s="38" t="n">
        <x:v>4.8148</x:v>
      </x:c>
      <x:c r="AG812" s="38" t="n">
        <x:v>5.62</x:v>
      </x:c>
      <x:c r="AH812" s="38" t="n">
        <x:f>IF(E812="Fason",L812*S812,0)</x:f>
        <x:v>0</x:v>
      </x:c>
      <x:c r="AI812" s="38" t="n">
        <x:f>IF(E812="Kurum içi",AC812*AD812+AE812*AF812+AB812*12%,0)</x:f>
        <x:v>25274.956280000002</x:v>
      </x:c>
      <x:c r="AJ812" s="38" t="n">
        <x:f>V812*AG812</x:f>
        <x:v>1262.9444427049466</x:v>
      </x:c>
      <x:c r="AK812" s="38" t="n">
        <x:f>AB812*2%</x:f>
        <x:v>3717.246448000001</x:v>
      </x:c>
      <x:c r="AL812" s="38" t="n">
        <x:f>AB812+AH812+AI812+AJ812+AK812</x:f>
        <x:v>216117.469570705</x:v>
      </x:c>
      <x:c r="AM812" s="38" t="n">
        <x:f>AL812/V812</x:f>
        <x:v>961.7051533842622</x:v>
      </x:c>
      <x:c r="AN812" s="40" t="n">
        <x:f>(W812+X812)/AL812*100</x:f>
        <x:v>74.55269468962922</x:v>
      </x:c>
      <x:c r="AO812" s="28" t="str">
        <x:v>R01-R20; ilgili satırdaki bölgesel fiyat ve maliyet varsayımları</x:v>
      </x:c>
      <x:c r="AP812" s="28" t="str">
        <x:v>Girdi miktarları, alım fiyatı değişimi, fason bedeli ve parti sonucu simüle edilmiştir; işletme kaydı değildir.</x:v>
      </x:c>
    </x:row>
    <x:row r="813" ht="22" customHeight="1">
      <x:c r="A813" t="str">
        <x:v>SUC-0812</x:v>
      </x:c>
      <x:c r="B813" s="36" t="n">
        <x:v>46311</x:v>
      </x:c>
      <x:c r="C813" t="str">
        <x:v>Güneydoğu Anadolu</x:v>
      </x:c>
      <x:c r="D813" t="str">
        <x:v>MEB_STANDART</x:v>
      </x:c>
      <x:c r="E813" t="str">
        <x:v>Kurum içi</x:v>
      </x:c>
      <x:c r="F813" s="42" t="str">
        <x:v>SENTETİK/SİMÜLE — gerçek parti kaydı değildir</x:v>
      </x:c>
      <x:c r="G813" s="38" t="n">
        <x:v>147.771</x:v>
      </x:c>
      <x:c r="H813" s="38" t="n">
        <x:v>45.101</x:v>
      </x:c>
      <x:c r="I813" s="38" t="n">
        <x:v>9.583</x:v>
      </x:c>
      <x:c r="J813" s="38" t="n">
        <x:v>5.109</x:v>
      </x:c>
      <x:c r="K813" s="38" t="n">
        <x:v>2.265</x:v>
      </x:c>
      <x:c r="L813" s="38" t="n">
        <x:f>SUM(G813:K813)</x:f>
        <x:v>209.82899999999998</x:v>
      </x:c>
      <x:c r="M813" s="38" t="n">
        <x:v>252.659</x:v>
      </x:c>
      <x:c r="N813" s="38" t="n">
        <x:v>586.83</x:v>
      </x:c>
      <x:c r="O813" s="38" t="n">
        <x:v>430.04</x:v>
      </x:c>
      <x:c r="P813" s="38" t="n">
        <x:v>669.9</x:v>
      </x:c>
      <x:c r="Q813" s="38" t="n">
        <x:v>19.88</x:v>
      </x:c>
      <x:c r="R813" s="38" t="n">
        <x:v>43.7475</x:v>
      </x:c>
      <x:c r="S813" s="38" t="n">
        <x:v>106.58</x:v>
      </x:c>
      <x:c r="T813" s="40" t="n">
        <x:v>19.4</x:v>
      </x:c>
      <x:c r="U813" s="40" t="n">
        <x:v>0.93</x:v>
      </x:c>
      <x:c r="V813" s="38" t="n">
        <x:f>L813*(1-T813/100)*(1-U813/100)</x:f>
        <x:v>167.5493377818</x:v>
      </x:c>
      <x:c r="W813" s="38" t="n">
        <x:f>G813*N813</x:f>
        <x:v>86716.45593</x:v>
      </x:c>
      <x:c r="X813" s="38" t="n">
        <x:f>H813*O813</x:f>
        <x:v>19395.23404</x:v>
      </x:c>
      <x:c r="Y813" s="38" t="n">
        <x:f>I813*P813</x:f>
        <x:v>6419.6517</x:v>
      </x:c>
      <x:c r="Z813" s="38" t="n">
        <x:f>J813*Q813+K813*P813</x:f>
        <x:v>1618.89042</x:v>
      </x:c>
      <x:c r="AA813" s="38" t="n">
        <x:f>M813*R813</x:f>
        <x:v>11053.1996025</x:v>
      </x:c>
      <x:c r="AB813" s="38" t="n">
        <x:f>SUM(W813:AA813)</x:f>
        <x:v>125203.43169249999</x:v>
      </x:c>
      <x:c r="AC813" s="38" t="n">
        <x:v>10.45</x:v>
      </x:c>
      <x:c r="AD813" s="38" t="n">
        <x:v>174.33</x:v>
      </x:c>
      <x:c r="AE813" s="38" t="n">
        <x:v>80.79</x:v>
      </x:c>
      <x:c r="AF813" s="38" t="n">
        <x:v>4.8148</x:v>
      </x:c>
      <x:c r="AG813" s="38" t="n">
        <x:v>5.6</x:v>
      </x:c>
      <x:c r="AH813" s="38" t="n">
        <x:f>IF(E813="Fason",L813*S813,0)</x:f>
        <x:v>0</x:v>
      </x:c>
      <x:c r="AI813" s="38" t="n">
        <x:f>IF(E813="Kurum içi",AC813*AD813+AE813*AF813+AB813*12%,0)</x:f>
        <x:v>17235.147995099996</x:v>
      </x:c>
      <x:c r="AJ813" s="38" t="n">
        <x:f>V813*AG813</x:f>
        <x:v>938.27629157808</x:v>
      </x:c>
      <x:c r="AK813" s="38" t="n">
        <x:f>AB813*2%</x:f>
        <x:v>2504.06863385</x:v>
      </x:c>
      <x:c r="AL813" s="38" t="n">
        <x:f>AB813+AH813+AI813+AJ813+AK813</x:f>
        <x:v>145880.92461302807</x:v>
      </x:c>
      <x:c r="AM813" s="38" t="n">
        <x:f>AL813/V813</x:f>
        <x:v>870.6744326438892</x:v>
      </x:c>
      <x:c r="AN813" s="40" t="n">
        <x:f>(W813+X813)/AL813*100</x:f>
        <x:v>72.73856417587002</x:v>
      </x:c>
      <x:c r="AO813" s="28" t="str">
        <x:v>R01-R20; ilgili satırdaki bölgesel fiyat ve maliyet varsayımları</x:v>
      </x:c>
      <x:c r="AP813" s="28" t="str">
        <x:v>Girdi miktarları, alım fiyatı değişimi, fason bedeli ve parti sonucu simüle edilmiştir; işletme kaydı değildir.</x:v>
      </x:c>
    </x:row>
    <x:row r="814" ht="22" customHeight="1">
      <x:c r="A814" t="str">
        <x:v>SUC-0813</x:v>
      </x:c>
      <x:c r="B814" s="36" t="n">
        <x:v>46309</x:v>
      </x:c>
      <x:c r="C814" t="str">
        <x:v>Güneydoğu Anadolu</x:v>
      </x:c>
      <x:c r="D814" t="str">
        <x:v>ERZURUM_CI</x:v>
      </x:c>
      <x:c r="E814" t="str">
        <x:v>Kurum içi</x:v>
      </x:c>
      <x:c r="F814" s="42" t="str">
        <x:v>SENTETİK/SİMÜLE — gerçek parti kaydı değildir</x:v>
      </x:c>
      <x:c r="G814" s="38" t="n">
        <x:v>226.557</x:v>
      </x:c>
      <x:c r="H814" s="38" t="n">
        <x:v>41.807</x:v>
      </x:c>
      <x:c r="I814" s="38" t="n">
        <x:v>13.751</x:v>
      </x:c>
      <x:c r="J814" s="38" t="n">
        <x:v>4.215</x:v>
      </x:c>
      <x:c r="K814" s="38" t="n">
        <x:v>0.623</x:v>
      </x:c>
      <x:c r="L814" s="38" t="n">
        <x:f>SUM(G814:K814)</x:f>
        <x:v>286.9529999999999</x:v>
      </x:c>
      <x:c r="M814" s="38" t="n">
        <x:v>356.697</x:v>
      </x:c>
      <x:c r="N814" s="38" t="n">
        <x:v>581.03</x:v>
      </x:c>
      <x:c r="O814" s="38" t="n">
        <x:v>468.59</x:v>
      </x:c>
      <x:c r="P814" s="38" t="n">
        <x:v>400</x:v>
      </x:c>
      <x:c r="Q814" s="38" t="n">
        <x:v>19.88</x:v>
      </x:c>
      <x:c r="R814" s="38" t="n">
        <x:v>43.7475</x:v>
      </x:c>
      <x:c r="S814" s="38" t="n">
        <x:v>97.22</x:v>
      </x:c>
      <x:c r="T814" s="40" t="n">
        <x:v>16.11</x:v>
      </x:c>
      <x:c r="U814" s="40" t="n">
        <x:v>0.33</x:v>
      </x:c>
      <x:c r="V814" s="38" t="n">
        <x:f>L814*(1-T814/100)*(1-U814/100)</x:f>
        <x:v>239.93047962338994</x:v>
      </x:c>
      <x:c r="W814" s="38" t="n">
        <x:f>G814*N814</x:f>
        <x:v>131636.41371</x:v>
      </x:c>
      <x:c r="X814" s="38" t="n">
        <x:f>H814*O814</x:f>
        <x:v>19590.34213</x:v>
      </x:c>
      <x:c r="Y814" s="38" t="n">
        <x:f>I814*P814</x:f>
        <x:v>5500.4</x:v>
      </x:c>
      <x:c r="Z814" s="38" t="n">
        <x:f>J814*Q814+K814*P814</x:f>
        <x:v>332.9942</x:v>
      </x:c>
      <x:c r="AA814" s="38" t="n">
        <x:f>M814*R814</x:f>
        <x:v>15604.602007500001</x:v>
      </x:c>
      <x:c r="AB814" s="38" t="n">
        <x:f>SUM(W814:AA814)</x:f>
        <x:v>172664.7520475</x:v>
      </x:c>
      <x:c r="AC814" s="38" t="n">
        <x:v>10.8</x:v>
      </x:c>
      <x:c r="AD814" s="38" t="n">
        <x:v>174.33</x:v>
      </x:c>
      <x:c r="AE814" s="38" t="n">
        <x:v>65.42</x:v>
      </x:c>
      <x:c r="AF814" s="38" t="n">
        <x:v>4.8148</x:v>
      </x:c>
      <x:c r="AG814" s="38" t="n">
        <x:v>5.66</x:v>
      </x:c>
      <x:c r="AH814" s="38" t="n">
        <x:f>IF(E814="Fason",L814*S814,0)</x:f>
        <x:v>0</x:v>
      </x:c>
      <x:c r="AI814" s="38" t="n">
        <x:f>IF(E814="Kurum içi",AC814*AD814+AE814*AF814+AB814*12%,0)</x:f>
        <x:v>22917.518461699998</x:v>
      </x:c>
      <x:c r="AJ814" s="38" t="n">
        <x:f>V814*AG814</x:f>
        <x:v>1358.0065146683871</x:v>
      </x:c>
      <x:c r="AK814" s="38" t="n">
        <x:f>AB814*2%</x:f>
        <x:v>3453.29504095</x:v>
      </x:c>
      <x:c r="AL814" s="38" t="n">
        <x:f>AB814+AH814+AI814+AJ814+AK814</x:f>
        <x:v>200393.57206481838</x:v>
      </x:c>
      <x:c r="AM814" s="38" t="n">
        <x:f>AL814/V814</x:f>
        <x:v>835.2151522364678</x:v>
      </x:c>
      <x:c r="AN814" s="40" t="n">
        <x:f>(W814+X814)/AL814*100</x:f>
        <x:v>75.46487358940081</x:v>
      </x:c>
      <x:c r="AO814" s="28" t="str">
        <x:v>R01-R20; ilgili satırdaki bölgesel fiyat ve maliyet varsayımları</x:v>
      </x:c>
      <x:c r="AP814" s="28" t="str">
        <x:v>Girdi miktarları, alım fiyatı değişimi, fason bedeli ve parti sonucu simüle edilmiştir; işletme kaydı değildir.</x:v>
      </x:c>
    </x:row>
    <x:row r="815" ht="22" customHeight="1">
      <x:c r="A815" t="str">
        <x:v>SUC-0814</x:v>
      </x:c>
      <x:c r="B815" s="36" t="n">
        <x:v>46314</x:v>
      </x:c>
      <x:c r="C815" t="str">
        <x:v>Ege</x:v>
      </x:c>
      <x:c r="D815" t="str">
        <x:v>ERZURUM_CI</x:v>
      </x:c>
      <x:c r="E815" t="str">
        <x:v>Fason</x:v>
      </x:c>
      <x:c r="F815" s="42" t="str">
        <x:v>SENTETİK/SİMÜLE — gerçek parti kaydı değildir</x:v>
      </x:c>
      <x:c r="G815" s="38" t="n">
        <x:v>396.43</x:v>
      </x:c>
      <x:c r="H815" s="38" t="n">
        <x:v>69.39</x:v>
      </x:c>
      <x:c r="I815" s="38" t="n">
        <x:v>21.717</x:v>
      </x:c>
      <x:c r="J815" s="38" t="n">
        <x:v>7.111</x:v>
      </x:c>
      <x:c r="K815" s="38" t="n">
        <x:v>0.123</x:v>
      </x:c>
      <x:c r="L815" s="38" t="n">
        <x:f>SUM(G815:K815)</x:f>
        <x:v>494.77099999999996</x:v>
      </x:c>
      <x:c r="M815" s="38" t="n">
        <x:v>592.11</x:v>
      </x:c>
      <x:c r="N815" s="38" t="n">
        <x:v>608.06</x:v>
      </x:c>
      <x:c r="O815" s="38" t="n">
        <x:v>480.4</x:v>
      </x:c>
      <x:c r="P815" s="38" t="n">
        <x:v>550</x:v>
      </x:c>
      <x:c r="Q815" s="38" t="n">
        <x:v>19.88</x:v>
      </x:c>
      <x:c r="R815" s="38" t="n">
        <x:v>43.7475</x:v>
      </x:c>
      <x:c r="S815" s="38" t="n">
        <x:v>118.41</x:v>
      </x:c>
      <x:c r="T815" s="40" t="n">
        <x:v>18.49</x:v>
      </x:c>
      <x:c r="U815" s="40" t="n">
        <x:v>0.36</x:v>
      </x:c>
      <x:c r="V815" s="38" t="n">
        <x:f>L815*(1-T815/100)*(1-U815/100)</x:f>
        <x:v>401.83600586843994</x:v>
      </x:c>
      <x:c r="W815" s="38" t="n">
        <x:f>G815*N815</x:f>
        <x:v>241053.2258</x:v>
      </x:c>
      <x:c r="X815" s="38" t="n">
        <x:f>H815*O815</x:f>
        <x:v>33334.956</x:v>
      </x:c>
      <x:c r="Y815" s="38" t="n">
        <x:f>I815*P815</x:f>
        <x:v>11944.349999999999</x:v>
      </x:c>
      <x:c r="Z815" s="38" t="n">
        <x:f>J815*Q815+K815*P815</x:f>
        <x:v>209.01668</x:v>
      </x:c>
      <x:c r="AA815" s="38" t="n">
        <x:f>M815*R815</x:f>
        <x:v>25903.332225000002</x:v>
      </x:c>
      <x:c r="AB815" s="38" t="n">
        <x:f>SUM(W815:AA815)</x:f>
        <x:v>312444.88070499996</x:v>
      </x:c>
      <x:c r="AC815" s="38" t="n">
        <x:v>23.72</x:v>
      </x:c>
      <x:c r="AD815" s="38" t="n">
        <x:v>174.33</x:v>
      </x:c>
      <x:c r="AE815" s="38" t="n">
        <x:v>150.52</x:v>
      </x:c>
      <x:c r="AF815" s="38" t="n">
        <x:v>4.8148</x:v>
      </x:c>
      <x:c r="AG815" s="38" t="n">
        <x:v>5.59</x:v>
      </x:c>
      <x:c r="AH815" s="38" t="n">
        <x:f>IF(E815="Fason",L815*S815,0)</x:f>
        <x:v>58585.834109999996</x:v>
      </x:c>
      <x:c r="AI815" s="38" t="n">
        <x:f>IF(E815="Kurum içi",AC815*AD815+AE815*AF815+AB815*12%,0)</x:f>
        <x:v>0</x:v>
      </x:c>
      <x:c r="AJ815" s="38" t="n">
        <x:f>V815*AG815</x:f>
        <x:v>2246.263272804579</x:v>
      </x:c>
      <x:c r="AK815" s="38" t="n">
        <x:f>AB815*2%</x:f>
        <x:v>6248.897614099999</x:v>
      </x:c>
      <x:c r="AL815" s="38" t="n">
        <x:f>AB815+AH815+AI815+AJ815+AK815</x:f>
        <x:v>379525.87570190453</x:v>
      </x:c>
      <x:c r="AM815" s="38" t="n">
        <x:f>AL815/V815</x:f>
        <x:v>944.4795144269882</x:v>
      </x:c>
      <x:c r="AN815" s="40" t="n">
        <x:f>(W815+X815)/AL815*100</x:f>
        <x:v>72.29762168193136</x:v>
      </x:c>
      <x:c r="AO815" s="28" t="str">
        <x:v>R01-R20; ilgili satırdaki bölgesel fiyat ve maliyet varsayımları</x:v>
      </x:c>
      <x:c r="AP815" s="28" t="str">
        <x:v>Girdi miktarları, alım fiyatı değişimi, fason bedeli ve parti sonucu simüle edilmiştir; işletme kaydı değildir.</x:v>
      </x:c>
    </x:row>
    <x:row r="816" ht="22" customHeight="1">
      <x:c r="A816" t="str">
        <x:v>SUC-0815</x:v>
      </x:c>
      <x:c r="B816" s="36" t="n">
        <x:v>46296</x:v>
      </x:c>
      <x:c r="C816" t="str">
        <x:v>Doğu Anadolu</x:v>
      </x:c>
      <x:c r="D816" t="str">
        <x:v>MEB_STANDART</x:v>
      </x:c>
      <x:c r="E816" t="str">
        <x:v>Fason</x:v>
      </x:c>
      <x:c r="F816" s="42" t="str">
        <x:v>SENTETİK/SİMÜLE — gerçek parti kaydı değildir</x:v>
      </x:c>
      <x:c r="G816" s="38" t="n">
        <x:v>273.91</x:v>
      </x:c>
      <x:c r="H816" s="38" t="n">
        <x:v>86.741</x:v>
      </x:c>
      <x:c r="I816" s="38" t="n">
        <x:v>17.619</x:v>
      </x:c>
      <x:c r="J816" s="38" t="n">
        <x:v>9.986</x:v>
      </x:c>
      <x:c r="K816" s="38" t="n">
        <x:v>3.502</x:v>
      </x:c>
      <x:c r="L816" s="38" t="n">
        <x:f>SUM(G816:K816)</x:f>
        <x:v>391.758</x:v>
      </x:c>
      <x:c r="M816" s="38" t="n">
        <x:v>475.903</x:v>
      </x:c>
      <x:c r="N816" s="38" t="n">
        <x:v>609.35</x:v>
      </x:c>
      <x:c r="O816" s="38" t="n">
        <x:v>471.23</x:v>
      </x:c>
      <x:c r="P816" s="38" t="n">
        <x:v>669.9</x:v>
      </x:c>
      <x:c r="Q816" s="38" t="n">
        <x:v>19.88</x:v>
      </x:c>
      <x:c r="R816" s="38" t="n">
        <x:v>43.7475</x:v>
      </x:c>
      <x:c r="S816" s="38" t="n">
        <x:v>116.78</x:v>
      </x:c>
      <x:c r="T816" s="40" t="n">
        <x:v>20.3</x:v>
      </x:c>
      <x:c r="U816" s="40" t="n">
        <x:v>0.32</x:v>
      </x:c>
      <x:c r="V816" s="38" t="n">
        <x:f>L816*(1-T816/100)*(1-U816/100)</x:f>
        <x:v>311.2319863968</x:v>
      </x:c>
      <x:c r="W816" s="38" t="n">
        <x:f>G816*N816</x:f>
        <x:v>166907.0585</x:v>
      </x:c>
      <x:c r="X816" s="38" t="n">
        <x:f>H816*O816</x:f>
        <x:v>40874.96143</x:v>
      </x:c>
      <x:c r="Y816" s="38" t="n">
        <x:f>I816*P816</x:f>
        <x:v>11802.9681</x:v>
      </x:c>
      <x:c r="Z816" s="38" t="n">
        <x:f>J816*Q816+K816*P816</x:f>
        <x:v>2544.5114799999997</x:v>
      </x:c>
      <x:c r="AA816" s="38" t="n">
        <x:f>M816*R816</x:f>
        <x:v>20819.566492500002</x:v>
      </x:c>
      <x:c r="AB816" s="38" t="n">
        <x:f>SUM(W816:AA816)</x:f>
        <x:v>242949.0660025</x:v>
      </x:c>
      <x:c r="AC816" s="38" t="n">
        <x:v>20.26</x:v>
      </x:c>
      <x:c r="AD816" s="38" t="n">
        <x:v>174.33</x:v>
      </x:c>
      <x:c r="AE816" s="38" t="n">
        <x:v>94.24</x:v>
      </x:c>
      <x:c r="AF816" s="38" t="n">
        <x:v>4.8148</x:v>
      </x:c>
      <x:c r="AG816" s="38" t="n">
        <x:v>5.79</x:v>
      </x:c>
      <x:c r="AH816" s="38" t="n">
        <x:f>IF(E816="Fason",L816*S816,0)</x:f>
        <x:v>45749.49924</x:v>
      </x:c>
      <x:c r="AI816" s="38" t="n">
        <x:f>IF(E816="Kurum içi",AC816*AD816+AE816*AF816+AB816*12%,0)</x:f>
        <x:v>0</x:v>
      </x:c>
      <x:c r="AJ816" s="38" t="n">
        <x:f>V816*AG816</x:f>
        <x:v>1802.033201237472</x:v>
      </x:c>
      <x:c r="AK816" s="38" t="n">
        <x:f>AB816*2%</x:f>
        <x:v>4858.98132005</x:v>
      </x:c>
      <x:c r="AL816" s="38" t="n">
        <x:f>AB816+AH816+AI816+AJ816+AK816</x:f>
        <x:v>295359.5797637875</x:v>
      </x:c>
      <x:c r="AM816" s="38" t="n">
        <x:f>AL816/V816</x:f>
        <x:v>949.0013644909357</x:v>
      </x:c>
      <x:c r="AN816" s="40" t="n">
        <x:f>(W816+X816)/AL816*100</x:f>
        <x:v>70.3488338167913</x:v>
      </x:c>
      <x:c r="AO816" s="28" t="str">
        <x:v>R01-R20; ilgili satırdaki bölgesel fiyat ve maliyet varsayımları</x:v>
      </x:c>
      <x:c r="AP816" s="28" t="str">
        <x:v>Girdi miktarları, alım fiyatı değişimi, fason bedeli ve parti sonucu simüle edilmiştir; işletme kaydı değildir.</x:v>
      </x:c>
    </x:row>
    <x:row r="817" ht="22" customHeight="1">
      <x:c r="A817" t="str">
        <x:v>SUC-0816</x:v>
      </x:c>
      <x:c r="B817" s="36" t="n">
        <x:v>46311</x:v>
      </x:c>
      <x:c r="C817" t="str">
        <x:v>Doğu Anadolu</x:v>
      </x:c>
      <x:c r="D817" t="str">
        <x:v>MEB_STANDART</x:v>
      </x:c>
      <x:c r="E817" t="str">
        <x:v>Kurum içi</x:v>
      </x:c>
      <x:c r="F817" s="42" t="str">
        <x:v>SENTETİK/SİMÜLE — gerçek parti kaydı değildir</x:v>
      </x:c>
      <x:c r="G817" s="38" t="n">
        <x:v>141.781</x:v>
      </x:c>
      <x:c r="H817" s="38" t="n">
        <x:v>42.433</x:v>
      </x:c>
      <x:c r="I817" s="38" t="n">
        <x:v>9.136</x:v>
      </x:c>
      <x:c r="J817" s="38" t="n">
        <x:v>4.803</x:v>
      </x:c>
      <x:c r="K817" s="38" t="n">
        <x:v>1.947</x:v>
      </x:c>
      <x:c r="L817" s="38" t="n">
        <x:f>SUM(G817:K817)</x:f>
        <x:v>200.1</x:v>
      </x:c>
      <x:c r="M817" s="38" t="n">
        <x:v>239.232</x:v>
      </x:c>
      <x:c r="N817" s="38" t="n">
        <x:v>575.05</x:v>
      </x:c>
      <x:c r="O817" s="38" t="n">
        <x:v>468.65</x:v>
      </x:c>
      <x:c r="P817" s="38" t="n">
        <x:v>550</x:v>
      </x:c>
      <x:c r="Q817" s="38" t="n">
        <x:v>19.88</x:v>
      </x:c>
      <x:c r="R817" s="38" t="n">
        <x:v>43.7475</x:v>
      </x:c>
      <x:c r="S817" s="38" t="n">
        <x:v>112.17</x:v>
      </x:c>
      <x:c r="T817" s="40" t="n">
        <x:v>18.66</x:v>
      </x:c>
      <x:c r="U817" s="40" t="n">
        <x:v>0.42</x:v>
      </x:c>
      <x:c r="V817" s="38" t="n">
        <x:f>L817*(1-T817/100)*(1-U817/100)</x:f>
        <x:v>162.077742372</x:v>
      </x:c>
      <x:c r="W817" s="38" t="n">
        <x:f>G817*N817</x:f>
        <x:v>81531.16404999999</x:v>
      </x:c>
      <x:c r="X817" s="38" t="n">
        <x:f>H817*O817</x:f>
        <x:v>19886.225449999998</x:v>
      </x:c>
      <x:c r="Y817" s="38" t="n">
        <x:f>I817*P817</x:f>
        <x:v>5024.799999999999</x:v>
      </x:c>
      <x:c r="Z817" s="38" t="n">
        <x:f>J817*Q817+K817*P817</x:f>
        <x:v>1166.33364</x:v>
      </x:c>
      <x:c r="AA817" s="38" t="n">
        <x:f>M817*R817</x:f>
        <x:v>10465.80192</x:v>
      </x:c>
      <x:c r="AB817" s="38" t="n">
        <x:f>SUM(W817:AA817)</x:f>
        <x:v>118074.32505999999</x:v>
      </x:c>
      <x:c r="AC817" s="38" t="n">
        <x:v>9.6</x:v>
      </x:c>
      <x:c r="AD817" s="38" t="n">
        <x:v>174.33</x:v>
      </x:c>
      <x:c r="AE817" s="38" t="n">
        <x:v>48.95</x:v>
      </x:c>
      <x:c r="AF817" s="38" t="n">
        <x:v>4.8148</x:v>
      </x:c>
      <x:c r="AG817" s="38" t="n">
        <x:v>5.21</x:v>
      </x:c>
      <x:c r="AH817" s="38" t="n">
        <x:f>IF(E817="Fason",L817*S817,0)</x:f>
        <x:v>0</x:v>
      </x:c>
      <x:c r="AI817" s="38" t="n">
        <x:f>IF(E817="Kurum içi",AC817*AD817+AE817*AF817+AB817*12%,0)</x:f>
        <x:v>16078.171467199998</x:v>
      </x:c>
      <x:c r="AJ817" s="38" t="n">
        <x:f>V817*AG817</x:f>
        <x:v>844.42503775812</x:v>
      </x:c>
      <x:c r="AK817" s="38" t="n">
        <x:f>AB817*2%</x:f>
        <x:v>2361.4865012</x:v>
      </x:c>
      <x:c r="AL817" s="38" t="n">
        <x:f>AB817+AH817+AI817+AJ817+AK817</x:f>
        <x:v>137358.40806615812</x:v>
      </x:c>
      <x:c r="AM817" s="38" t="n">
        <x:f>AL817/V817</x:f>
        <x:v>847.4847073751424</x:v>
      </x:c>
      <x:c r="AN817" s="40" t="n">
        <x:f>(W817+X817)/AL817*100</x:f>
        <x:v>73.83413285566961</x:v>
      </x:c>
      <x:c r="AO817" s="28" t="str">
        <x:v>R01-R20; ilgili satırdaki bölgesel fiyat ve maliyet varsayımları</x:v>
      </x:c>
      <x:c r="AP817" s="28" t="str">
        <x:v>Girdi miktarları, alım fiyatı değişimi, fason bedeli ve parti sonucu simüle edilmiştir; işletme kaydı değildir.</x:v>
      </x:c>
    </x:row>
    <x:row r="818" ht="22" customHeight="1">
      <x:c r="A818" t="str">
        <x:v>SUC-0817</x:v>
      </x:c>
      <x:c r="B818" s="36" t="n">
        <x:v>46310</x:v>
      </x:c>
      <x:c r="C818" t="str">
        <x:v>Ege</x:v>
      </x:c>
      <x:c r="D818" t="str">
        <x:v>ERZURUM_CI</x:v>
      </x:c>
      <x:c r="E818" t="str">
        <x:v>Kurum içi</x:v>
      </x:c>
      <x:c r="F818" s="42" t="str">
        <x:v>SENTETİK/SİMÜLE — gerçek parti kaydı değildir</x:v>
      </x:c>
      <x:c r="G818" s="38" t="n">
        <x:v>360.938</x:v>
      </x:c>
      <x:c r="H818" s="38" t="n">
        <x:v>60.732</x:v>
      </x:c>
      <x:c r="I818" s="38" t="n">
        <x:v>22.753</x:v>
      </x:c>
      <x:c r="J818" s="38" t="n">
        <x:v>7.86</x:v>
      </x:c>
      <x:c r="K818" s="38" t="n">
        <x:v>0.046</x:v>
      </x:c>
      <x:c r="L818" s="38" t="n">
        <x:f>SUM(G818:K818)</x:f>
        <x:v>452.32899999999995</x:v>
      </x:c>
      <x:c r="M818" s="38" t="n">
        <x:v>597.841</x:v>
      </x:c>
      <x:c r="N818" s="38" t="n">
        <x:v>604.69</x:v>
      </x:c>
      <x:c r="O818" s="38" t="n">
        <x:v>444.2</x:v>
      </x:c>
      <x:c r="P818" s="38" t="n">
        <x:v>669.9</x:v>
      </x:c>
      <x:c r="Q818" s="38" t="n">
        <x:v>19.88</x:v>
      </x:c>
      <x:c r="R818" s="38" t="n">
        <x:v>43.7475</x:v>
      </x:c>
      <x:c r="S818" s="38" t="n">
        <x:v>103.86</x:v>
      </x:c>
      <x:c r="T818" s="40" t="n">
        <x:v>16.17</x:v>
      </x:c>
      <x:c r="U818" s="40" t="n">
        <x:v>1.16</x:v>
      </x:c>
      <x:c r="V818" s="38" t="n">
        <x:f>L818*(1-T818/100)*(1-U818/100)</x:f>
        <x:v>374.78882685187995</x:v>
      </x:c>
      <x:c r="W818" s="38" t="n">
        <x:f>G818*N818</x:f>
        <x:v>218255.59922</x:v>
      </x:c>
      <x:c r="X818" s="38" t="n">
        <x:f>H818*O818</x:f>
        <x:v>26977.1544</x:v>
      </x:c>
      <x:c r="Y818" s="38" t="n">
        <x:f>I818*P818</x:f>
        <x:v>15242.234699999999</x:v>
      </x:c>
      <x:c r="Z818" s="38" t="n">
        <x:f>J818*Q818+K818*P818</x:f>
        <x:v>187.0722</x:v>
      </x:c>
      <x:c r="AA818" s="38" t="n">
        <x:f>M818*R818</x:f>
        <x:v>26154.0491475</x:v>
      </x:c>
      <x:c r="AB818" s="38" t="n">
        <x:f>SUM(W818:AA818)</x:f>
        <x:v>286816.1096675</x:v>
      </x:c>
      <x:c r="AC818" s="38" t="n">
        <x:v>25.99</x:v>
      </x:c>
      <x:c r="AD818" s="38" t="n">
        <x:v>174.33</x:v>
      </x:c>
      <x:c r="AE818" s="38" t="n">
        <x:v>199.49</x:v>
      </x:c>
      <x:c r="AF818" s="38" t="n">
        <x:v>4.8148</x:v>
      </x:c>
      <x:c r="AG818" s="38" t="n">
        <x:v>5.25</x:v>
      </x:c>
      <x:c r="AH818" s="38" t="n">
        <x:f>IF(E818="Fason",L818*S818,0)</x:f>
        <x:v>0</x:v>
      </x:c>
      <x:c r="AI818" s="38" t="n">
        <x:f>IF(E818="Kurum içi",AC818*AD818+AE818*AF818+AB818*12%,0)</x:f>
        <x:v>39909.2743121</x:v>
      </x:c>
      <x:c r="AJ818" s="38" t="n">
        <x:f>V818*AG818</x:f>
        <x:v>1967.6413409723698</x:v>
      </x:c>
      <x:c r="AK818" s="38" t="n">
        <x:f>AB818*2%</x:f>
        <x:v>5736.322193350001</x:v>
      </x:c>
      <x:c r="AL818" s="38" t="n">
        <x:f>AB818+AH818+AI818+AJ818+AK818</x:f>
        <x:v>334429.34751392243</x:v>
      </x:c>
      <x:c r="AM818" s="38" t="n">
        <x:f>AL818/V818</x:f>
        <x:v>892.314080766586</x:v>
      </x:c>
      <x:c r="AN818" s="40" t="n">
        <x:f>(W818+X818)/AL818*100</x:f>
        <x:v>73.3287181412184</x:v>
      </x:c>
      <x:c r="AO818" s="28" t="str">
        <x:v>R01-R20; ilgili satırdaki bölgesel fiyat ve maliyet varsayımları</x:v>
      </x:c>
      <x:c r="AP818" s="28" t="str">
        <x:v>Girdi miktarları, alım fiyatı değişimi, fason bedeli ve parti sonucu simüle edilmiştir; işletme kaydı değildir.</x:v>
      </x:c>
    </x:row>
    <x:row r="819" ht="22" customHeight="1">
      <x:c r="A819" t="str">
        <x:v>SUC-0818</x:v>
      </x:c>
      <x:c r="B819" s="36" t="n">
        <x:v>46273</x:v>
      </x:c>
      <x:c r="C819" t="str">
        <x:v>Akdeniz</x:v>
      </x:c>
      <x:c r="D819" t="str">
        <x:v>ERZURUM_CI</x:v>
      </x:c>
      <x:c r="E819" t="str">
        <x:v>Kurum içi</x:v>
      </x:c>
      <x:c r="F819" s="42" t="str">
        <x:v>SENTETİK/SİMÜLE — gerçek parti kaydı değildir</x:v>
      </x:c>
      <x:c r="G819" s="38" t="n">
        <x:v>193.673</x:v>
      </x:c>
      <x:c r="H819" s="38" t="n">
        <x:v>36.514</x:v>
      </x:c>
      <x:c r="I819" s="38" t="n">
        <x:v>11.464</x:v>
      </x:c>
      <x:c r="J819" s="38" t="n">
        <x:v>4.123</x:v>
      </x:c>
      <x:c r="K819" s="38" t="n">
        <x:v>0.452</x:v>
      </x:c>
      <x:c r="L819" s="38" t="n">
        <x:f>SUM(G819:K819)</x:f>
        <x:v>246.226</x:v>
      </x:c>
      <x:c r="M819" s="38" t="n">
        <x:v>311.552</x:v>
      </x:c>
      <x:c r="N819" s="38" t="n">
        <x:v>573.94</x:v>
      </x:c>
      <x:c r="O819" s="38" t="n">
        <x:v>465.22</x:v>
      </x:c>
      <x:c r="P819" s="38" t="n">
        <x:v>400</x:v>
      </x:c>
      <x:c r="Q819" s="38" t="n">
        <x:v>19.88</x:v>
      </x:c>
      <x:c r="R819" s="38" t="n">
        <x:v>43.7475</x:v>
      </x:c>
      <x:c r="S819" s="38" t="n">
        <x:v>103.9</x:v>
      </x:c>
      <x:c r="T819" s="40" t="n">
        <x:v>23.75</x:v>
      </x:c>
      <x:c r="U819" s="40" t="n">
        <x:v>1.09</x:v>
      </x:c>
      <x:c r="V819" s="38" t="n">
        <x:f>L819*(1-T819/100)*(1-U819/100)</x:f>
        <x:v>185.7008791575</x:v>
      </x:c>
      <x:c r="W819" s="38" t="n">
        <x:f>G819*N819</x:f>
        <x:v>111156.68162000002</x:v>
      </x:c>
      <x:c r="X819" s="38" t="n">
        <x:f>H819*O819</x:f>
        <x:v>16987.043080000003</x:v>
      </x:c>
      <x:c r="Y819" s="38" t="n">
        <x:f>I819*P819</x:f>
        <x:v>4585.6</x:v>
      </x:c>
      <x:c r="Z819" s="38" t="n">
        <x:f>J819*Q819+K819*P819</x:f>
        <x:v>262.76524</x:v>
      </x:c>
      <x:c r="AA819" s="38" t="n">
        <x:f>M819*R819</x:f>
        <x:v>13629.621120000002</x:v>
      </x:c>
      <x:c r="AB819" s="38" t="n">
        <x:f>SUM(W819:AA819)</x:f>
        <x:v>146621.71106000003</x:v>
      </x:c>
      <x:c r="AC819" s="38" t="n">
        <x:v>10.24</x:v>
      </x:c>
      <x:c r="AD819" s="38" t="n">
        <x:v>174.33</x:v>
      </x:c>
      <x:c r="AE819" s="38" t="n">
        <x:v>75.3</x:v>
      </x:c>
      <x:c r="AF819" s="38" t="n">
        <x:v>4.8148</x:v>
      </x:c>
      <x:c r="AG819" s="38" t="n">
        <x:v>5.18</x:v>
      </x:c>
      <x:c r="AH819" s="38" t="n">
        <x:f>IF(E819="Fason",L819*S819,0)</x:f>
        <x:v>0</x:v>
      </x:c>
      <x:c r="AI819" s="38" t="n">
        <x:f>IF(E819="Kurum içi",AC819*AD819+AE819*AF819+AB819*12%,0)</x:f>
        <x:v>19742.298967200004</x:v>
      </x:c>
      <x:c r="AJ819" s="38" t="n">
        <x:f>V819*AG819</x:f>
        <x:v>961.9305540358499</x:v>
      </x:c>
      <x:c r="AK819" s="38" t="n">
        <x:f>AB819*2%</x:f>
        <x:v>2932.4342212000006</x:v>
      </x:c>
      <x:c r="AL819" s="38" t="n">
        <x:f>AB819+AH819+AI819+AJ819+AK819</x:f>
        <x:v>170258.3748024359</x:v>
      </x:c>
      <x:c r="AM819" s="38" t="n">
        <x:f>AL819/V819</x:f>
        <x:v>916.8420503708724</x:v>
      </x:c>
      <x:c r="AN819" s="40" t="n">
        <x:f>(W819+X819)/AL819*100</x:f>
        <x:v>75.26427105197921</x:v>
      </x:c>
      <x:c r="AO819" s="28" t="str">
        <x:v>R01-R20; ilgili satırdaki bölgesel fiyat ve maliyet varsayımları</x:v>
      </x:c>
      <x:c r="AP819" s="28" t="str">
        <x:v>Girdi miktarları, alım fiyatı değişimi, fason bedeli ve parti sonucu simüle edilmiştir; işletme kaydı değildir.</x:v>
      </x:c>
    </x:row>
    <x:row r="820" ht="22" customHeight="1">
      <x:c r="A820" t="str">
        <x:v>SUC-0819</x:v>
      </x:c>
      <x:c r="B820" s="36" t="n">
        <x:v>46271</x:v>
      </x:c>
      <x:c r="C820" t="str">
        <x:v>İç Anadolu</x:v>
      </x:c>
      <x:c r="D820" t="str">
        <x:v>ERZURUM_CI</x:v>
      </x:c>
      <x:c r="E820" t="str">
        <x:v>Kurum içi</x:v>
      </x:c>
      <x:c r="F820" s="42" t="str">
        <x:v>SENTETİK/SİMÜLE — gerçek parti kaydı değildir</x:v>
      </x:c>
      <x:c r="G820" s="38" t="n">
        <x:v>241.054</x:v>
      </x:c>
      <x:c r="H820" s="38" t="n">
        <x:v>40.874</x:v>
      </x:c>
      <x:c r="I820" s="38" t="n">
        <x:v>14.831</x:v>
      </x:c>
      <x:c r="J820" s="38" t="n">
        <x:v>4.464</x:v>
      </x:c>
      <x:c r="K820" s="38" t="n">
        <x:v>0.581</x:v>
      </x:c>
      <x:c r="L820" s="38" t="n">
        <x:f>SUM(G820:K820)</x:f>
        <x:v>301.80400000000003</x:v>
      </x:c>
      <x:c r="M820" s="38" t="n">
        <x:v>352.529</x:v>
      </x:c>
      <x:c r="N820" s="38" t="n">
        <x:v>598.91</x:v>
      </x:c>
      <x:c r="O820" s="38" t="n">
        <x:v>447.37</x:v>
      </x:c>
      <x:c r="P820" s="38" t="n">
        <x:v>669.9</x:v>
      </x:c>
      <x:c r="Q820" s="38" t="n">
        <x:v>19.88</x:v>
      </x:c>
      <x:c r="R820" s="38" t="n">
        <x:v>43.7475</x:v>
      </x:c>
      <x:c r="S820" s="38" t="n">
        <x:v>88.93</x:v>
      </x:c>
      <x:c r="T820" s="40" t="n">
        <x:v>22.77</x:v>
      </x:c>
      <x:c r="U820" s="40" t="n">
        <x:v>1.02</x:v>
      </x:c>
      <x:c r="V820" s="38" t="n">
        <x:f>L820*(1-T820/100)*(1-U820/100)</x:f>
        <x:v>230.70578026216003</x:v>
      </x:c>
      <x:c r="W820" s="38" t="n">
        <x:f>G820*N820</x:f>
        <x:v>144369.65114</x:v>
      </x:c>
      <x:c r="X820" s="38" t="n">
        <x:f>H820*O820</x:f>
        <x:v>18285.80138</x:v>
      </x:c>
      <x:c r="Y820" s="38" t="n">
        <x:f>I820*P820</x:f>
        <x:v>9935.2869</x:v>
      </x:c>
      <x:c r="Z820" s="38" t="n">
        <x:f>J820*Q820+K820*P820</x:f>
        <x:v>477.95622</x:v>
      </x:c>
      <x:c r="AA820" s="38" t="n">
        <x:f>M820*R820</x:f>
        <x:v>15422.2624275</x:v>
      </x:c>
      <x:c r="AB820" s="38" t="n">
        <x:f>SUM(W820:AA820)</x:f>
        <x:v>188490.9580675</x:v>
      </x:c>
      <x:c r="AC820" s="38" t="n">
        <x:v>20.32</x:v>
      </x:c>
      <x:c r="AD820" s="38" t="n">
        <x:v>174.33</x:v>
      </x:c>
      <x:c r="AE820" s="38" t="n">
        <x:v>107.27</x:v>
      </x:c>
      <x:c r="AF820" s="38" t="n">
        <x:v>4.8148</x:v>
      </x:c>
      <x:c r="AG820" s="38" t="n">
        <x:v>5.65</x:v>
      </x:c>
      <x:c r="AH820" s="38" t="n">
        <x:f>IF(E820="Fason",L820*S820,0)</x:f>
        <x:v>0</x:v>
      </x:c>
      <x:c r="AI820" s="38" t="n">
        <x:f>IF(E820="Kurum içi",AC820*AD820+AE820*AF820+AB820*12%,0)</x:f>
        <x:v>26677.784164099998</x:v>
      </x:c>
      <x:c r="AJ820" s="38" t="n">
        <x:f>V820*AG820</x:f>
        <x:v>1303.4876584812043</x:v>
      </x:c>
      <x:c r="AK820" s="38" t="n">
        <x:f>AB820*2%</x:f>
        <x:v>3769.8191613500003</x:v>
      </x:c>
      <x:c r="AL820" s="38" t="n">
        <x:f>AB820+AH820+AI820+AJ820+AK820</x:f>
        <x:v>220242.04905143118</x:v>
      </x:c>
      <x:c r="AM820" s="38" t="n">
        <x:f>AL820/V820</x:f>
        <x:v>954.6446942125225</x:v>
      </x:c>
      <x:c r="AN820" s="40" t="n">
        <x:f>(W820+X820)/AL820*100</x:f>
        <x:v>73.85304178768173</x:v>
      </x:c>
      <x:c r="AO820" s="28" t="str">
        <x:v>R01-R20; ilgili satırdaki bölgesel fiyat ve maliyet varsayımları</x:v>
      </x:c>
      <x:c r="AP820" s="28" t="str">
        <x:v>Girdi miktarları, alım fiyatı değişimi, fason bedeli ve parti sonucu simüle edilmiştir; işletme kaydı değildir.</x:v>
      </x:c>
    </x:row>
    <x:row r="821" ht="22" customHeight="1">
      <x:c r="A821" t="str">
        <x:v>SUC-0820</x:v>
      </x:c>
      <x:c r="B821" s="36" t="n">
        <x:v>46311</x:v>
      </x:c>
      <x:c r="C821" t="str">
        <x:v>Ege</x:v>
      </x:c>
      <x:c r="D821" t="str">
        <x:v>ERZURUM_CI</x:v>
      </x:c>
      <x:c r="E821" t="str">
        <x:v>Fason</x:v>
      </x:c>
      <x:c r="F821" s="42" t="str">
        <x:v>SENTETİK/SİMÜLE — gerçek parti kaydı değildir</x:v>
      </x:c>
      <x:c r="G821" s="38" t="n">
        <x:v>204.053</x:v>
      </x:c>
      <x:c r="H821" s="38" t="n">
        <x:v>38.322</x:v>
      </x:c>
      <x:c r="I821" s="38" t="n">
        <x:v>12.657</x:v>
      </x:c>
      <x:c r="J821" s="38" t="n">
        <x:v>3.984</x:v>
      </x:c>
      <x:c r="K821" s="38" t="n">
        <x:v>0.147</x:v>
      </x:c>
      <x:c r="L821" s="38" t="n">
        <x:f>SUM(G821:K821)</x:f>
        <x:v>259.163</x:v>
      </x:c>
      <x:c r="M821" s="38" t="n">
        <x:v>337.105</x:v>
      </x:c>
      <x:c r="N821" s="38" t="n">
        <x:v>593.57</x:v>
      </x:c>
      <x:c r="O821" s="38" t="n">
        <x:v>472.87</x:v>
      </x:c>
      <x:c r="P821" s="38" t="n">
        <x:v>550</x:v>
      </x:c>
      <x:c r="Q821" s="38" t="n">
        <x:v>19.88</x:v>
      </x:c>
      <x:c r="R821" s="38" t="n">
        <x:v>43.7475</x:v>
      </x:c>
      <x:c r="S821" s="38" t="n">
        <x:v>81.68</x:v>
      </x:c>
      <x:c r="T821" s="40" t="n">
        <x:v>24.28</x:v>
      </x:c>
      <x:c r="U821" s="40" t="n">
        <x:v>0.64</x:v>
      </x:c>
      <x:c r="V821" s="38" t="n">
        <x:f>L821*(1-T821/100)*(1-U821/100)</x:f>
        <x:v>194.98229896896</x:v>
      </x:c>
      <x:c r="W821" s="38" t="n">
        <x:f>G821*N821</x:f>
        <x:v>121119.73921000001</x:v>
      </x:c>
      <x:c r="X821" s="38" t="n">
        <x:f>H821*O821</x:f>
        <x:v>18121.32414</x:v>
      </x:c>
      <x:c r="Y821" s="38" t="n">
        <x:f>I821*P821</x:f>
        <x:v>6961.35</x:v>
      </x:c>
      <x:c r="Z821" s="38" t="n">
        <x:f>J821*Q821+K821*P821</x:f>
        <x:v>160.05192</x:v>
      </x:c>
      <x:c r="AA821" s="38" t="n">
        <x:f>M821*R821</x:f>
        <x:v>14747.500987500001</x:v>
      </x:c>
      <x:c r="AB821" s="38" t="n">
        <x:f>SUM(W821:AA821)</x:f>
        <x:v>161109.96625750003</x:v>
      </x:c>
      <x:c r="AC821" s="38" t="n">
        <x:v>9.65</x:v>
      </x:c>
      <x:c r="AD821" s="38" t="n">
        <x:v>174.33</x:v>
      </x:c>
      <x:c r="AE821" s="38" t="n">
        <x:v>108.27</x:v>
      </x:c>
      <x:c r="AF821" s="38" t="n">
        <x:v>4.8148</x:v>
      </x:c>
      <x:c r="AG821" s="38" t="n">
        <x:v>5.45</x:v>
      </x:c>
      <x:c r="AH821" s="38" t="n">
        <x:f>IF(E821="Fason",L821*S821,0)</x:f>
        <x:v>21168.43384</x:v>
      </x:c>
      <x:c r="AI821" s="38" t="n">
        <x:f>IF(E821="Kurum içi",AC821*AD821+AE821*AF821+AB821*12%,0)</x:f>
        <x:v>0</x:v>
      </x:c>
      <x:c r="AJ821" s="38" t="n">
        <x:f>V821*AG821</x:f>
        <x:v>1062.6535293808322</x:v>
      </x:c>
      <x:c r="AK821" s="38" t="n">
        <x:f>AB821*2%</x:f>
        <x:v>3222.1993251500007</x:v>
      </x:c>
      <x:c r="AL821" s="38" t="n">
        <x:f>AB821+AH821+AI821+AJ821+AK821</x:f>
        <x:v>186563.25295203086</x:v>
      </x:c>
      <x:c r="AM821" s="38" t="n">
        <x:f>AL821/V821</x:f>
        <x:v>956.8214855325436</x:v>
      </x:c>
      <x:c r="AN821" s="40" t="n">
        <x:f>(W821+X821)/AL821*100</x:f>
        <x:v>74.63477461223388</x:v>
      </x:c>
      <x:c r="AO821" s="28" t="str">
        <x:v>R01-R20; ilgili satırdaki bölgesel fiyat ve maliyet varsayımları</x:v>
      </x:c>
      <x:c r="AP821" s="28" t="str">
        <x:v>Girdi miktarları, alım fiyatı değişimi, fason bedeli ve parti sonucu simüle edilmiştir; işletme kaydı değildir.</x:v>
      </x:c>
    </x:row>
    <x:row r="822" ht="22" customHeight="1">
      <x:c r="A822" t="str">
        <x:v>SUC-0821</x:v>
      </x:c>
      <x:c r="B822" s="36" t="n">
        <x:v>46288</x:v>
      </x:c>
      <x:c r="C822" t="str">
        <x:v>Ege</x:v>
      </x:c>
      <x:c r="D822" t="str">
        <x:v>MEB_STANDART</x:v>
      </x:c>
      <x:c r="E822" t="str">
        <x:v>Fason</x:v>
      </x:c>
      <x:c r="F822" s="42" t="str">
        <x:v>SENTETİK/SİMÜLE — gerçek parti kaydı değildir</x:v>
      </x:c>
      <x:c r="G822" s="38" t="n">
        <x:v>295.548</x:v>
      </x:c>
      <x:c r="H822" s="38" t="n">
        <x:v>91.996</x:v>
      </x:c>
      <x:c r="I822" s="38" t="n">
        <x:v>17.792</x:v>
      </x:c>
      <x:c r="J822" s="38" t="n">
        <x:v>10.033</x:v>
      </x:c>
      <x:c r="K822" s="38" t="n">
        <x:v>4.327</x:v>
      </x:c>
      <x:c r="L822" s="38" t="n">
        <x:f>SUM(G822:K822)</x:f>
        <x:v>419.696</x:v>
      </x:c>
      <x:c r="M822" s="38" t="n">
        <x:v>506.797</x:v>
      </x:c>
      <x:c r="N822" s="38" t="n">
        <x:v>584.34</x:v>
      </x:c>
      <x:c r="O822" s="38" t="n">
        <x:v>449.67</x:v>
      </x:c>
      <x:c r="P822" s="38" t="n">
        <x:v>669.9</x:v>
      </x:c>
      <x:c r="Q822" s="38" t="n">
        <x:v>19.88</x:v>
      </x:c>
      <x:c r="R822" s="38" t="n">
        <x:v>43.7475</x:v>
      </x:c>
      <x:c r="S822" s="38" t="n">
        <x:v>121.32</x:v>
      </x:c>
      <x:c r="T822" s="40" t="n">
        <x:v>17.82</x:v>
      </x:c>
      <x:c r="U822" s="40" t="n">
        <x:v>1.79</x:v>
      </x:c>
      <x:c r="V822" s="38" t="n">
        <x:f>L822*(1-T822/100)*(1-U822/100)</x:f>
        <x:v>338.73235230688005</x:v>
      </x:c>
      <x:c r="W822" s="38" t="n">
        <x:f>G822*N822</x:f>
        <x:v>172700.51832</x:v>
      </x:c>
      <x:c r="X822" s="38" t="n">
        <x:f>H822*O822</x:f>
        <x:v>41367.84132</x:v>
      </x:c>
      <x:c r="Y822" s="38" t="n">
        <x:f>I822*P822</x:f>
        <x:v>11918.8608</x:v>
      </x:c>
      <x:c r="Z822" s="38" t="n">
        <x:f>J822*Q822+K822*P822</x:f>
        <x:v>3098.11334</x:v>
      </x:c>
      <x:c r="AA822" s="38" t="n">
        <x:f>M822*R822</x:f>
        <x:v>22171.1017575</x:v>
      </x:c>
      <x:c r="AB822" s="38" t="n">
        <x:f>SUM(W822:AA822)</x:f>
        <x:v>251256.43553750002</x:v>
      </x:c>
      <x:c r="AC822" s="38" t="n">
        <x:v>27.92</x:v>
      </x:c>
      <x:c r="AD822" s="38" t="n">
        <x:v>174.33</x:v>
      </x:c>
      <x:c r="AE822" s="38" t="n">
        <x:v>100.75</x:v>
      </x:c>
      <x:c r="AF822" s="38" t="n">
        <x:v>4.8148</x:v>
      </x:c>
      <x:c r="AG822" s="38" t="n">
        <x:v>5.68</x:v>
      </x:c>
      <x:c r="AH822" s="38" t="n">
        <x:f>IF(E822="Fason",L822*S822,0)</x:f>
        <x:v>50917.51872</x:v>
      </x:c>
      <x:c r="AI822" s="38" t="n">
        <x:f>IF(E822="Kurum içi",AC822*AD822+AE822*AF822+AB822*12%,0)</x:f>
        <x:v>0</x:v>
      </x:c>
      <x:c r="AJ822" s="38" t="n">
        <x:f>V822*AG822</x:f>
        <x:v>1923.9997611030785</x:v>
      </x:c>
      <x:c r="AK822" s="38" t="n">
        <x:f>AB822*2%</x:f>
        <x:v>5025.12871075</x:v>
      </x:c>
      <x:c r="AL822" s="38" t="n">
        <x:f>AB822+AH822+AI822+AJ822+AK822</x:f>
        <x:v>309123.0827293531</x:v>
      </x:c>
      <x:c r="AM822" s="38" t="n">
        <x:f>AL822/V822</x:f>
        <x:v>912.5880082729684</x:v>
      </x:c>
      <x:c r="AN822" s="40" t="n">
        <x:f>(W822+X822)/AL822*100</x:f>
        <x:v>69.25020213628741</x:v>
      </x:c>
      <x:c r="AO822" s="28" t="str">
        <x:v>R01-R20; ilgili satırdaki bölgesel fiyat ve maliyet varsayımları</x:v>
      </x:c>
      <x:c r="AP822" s="28" t="str">
        <x:v>Girdi miktarları, alım fiyatı değişimi, fason bedeli ve parti sonucu simüle edilmiştir; işletme kaydı değildir.</x:v>
      </x:c>
    </x:row>
    <x:row r="823" ht="22" customHeight="1">
      <x:c r="A823" t="str">
        <x:v>SUC-0822</x:v>
      </x:c>
      <x:c r="B823" s="36" t="n">
        <x:v>46299</x:v>
      </x:c>
      <x:c r="C823" t="str">
        <x:v>Akdeniz</x:v>
      </x:c>
      <x:c r="D823" t="str">
        <x:v>MEB_STANDART</x:v>
      </x:c>
      <x:c r="E823" t="str">
        <x:v>Fason</x:v>
      </x:c>
      <x:c r="F823" s="42" t="str">
        <x:v>SENTETİK/SİMÜLE — gerçek parti kaydı değildir</x:v>
      </x:c>
      <x:c r="G823" s="38" t="n">
        <x:v>77.342</x:v>
      </x:c>
      <x:c r="H823" s="38" t="n">
        <x:v>23.275</x:v>
      </x:c>
      <x:c r="I823" s="38" t="n">
        <x:v>4.668</x:v>
      </x:c>
      <x:c r="J823" s="38" t="n">
        <x:v>2.813</x:v>
      </x:c>
      <x:c r="K823" s="38" t="n">
        <x:v>1.156</x:v>
      </x:c>
      <x:c r="L823" s="38" t="n">
        <x:f>SUM(G823:K823)</x:f>
        <x:v>109.254</x:v>
      </x:c>
      <x:c r="M823" s="38" t="n">
        <x:v>132.523</x:v>
      </x:c>
      <x:c r="N823" s="38" t="n">
        <x:v>601.8</x:v>
      </x:c>
      <x:c r="O823" s="38" t="n">
        <x:v>478.53</x:v>
      </x:c>
      <x:c r="P823" s="38" t="n">
        <x:v>400</x:v>
      </x:c>
      <x:c r="Q823" s="38" t="n">
        <x:v>19.88</x:v>
      </x:c>
      <x:c r="R823" s="38" t="n">
        <x:v>43.7475</x:v>
      </x:c>
      <x:c r="S823" s="38" t="n">
        <x:v>111.69</x:v>
      </x:c>
      <x:c r="T823" s="40" t="n">
        <x:v>25.86</x:v>
      </x:c>
      <x:c r="U823" s="40" t="n">
        <x:v>1.25</x:v>
      </x:c>
      <x:c r="V823" s="38" t="n">
        <x:f>L823*(1-T823/100)*(1-U823/100)</x:f>
        <x:v>79.98840415500001</x:v>
      </x:c>
      <x:c r="W823" s="38" t="n">
        <x:f>G823*N823</x:f>
        <x:v>46544.41559999999</x:v>
      </x:c>
      <x:c r="X823" s="38" t="n">
        <x:f>H823*O823</x:f>
        <x:v>11137.78575</x:v>
      </x:c>
      <x:c r="Y823" s="38" t="n">
        <x:f>I823*P823</x:f>
        <x:v>1867.2</x:v>
      </x:c>
      <x:c r="Z823" s="38" t="n">
        <x:f>J823*Q823+K823*P823</x:f>
        <x:v>518.32244</x:v>
      </x:c>
      <x:c r="AA823" s="38" t="n">
        <x:f>M823*R823</x:f>
        <x:v>5797.5499425</x:v>
      </x:c>
      <x:c r="AB823" s="38" t="n">
        <x:f>SUM(W823:AA823)</x:f>
        <x:v>65865.27373249999</x:v>
      </x:c>
      <x:c r="AC823" s="38" t="n">
        <x:v>6.6</x:v>
      </x:c>
      <x:c r="AD823" s="38" t="n">
        <x:v>174.33</x:v>
      </x:c>
      <x:c r="AE823" s="38" t="n">
        <x:v>34.8</x:v>
      </x:c>
      <x:c r="AF823" s="38" t="n">
        <x:v>4.8148</x:v>
      </x:c>
      <x:c r="AG823" s="38" t="n">
        <x:v>5.18</x:v>
      </x:c>
      <x:c r="AH823" s="38" t="n">
        <x:f>IF(E823="Fason",L823*S823,0)</x:f>
        <x:v>12202.57926</x:v>
      </x:c>
      <x:c r="AI823" s="38" t="n">
        <x:f>IF(E823="Kurum içi",AC823*AD823+AE823*AF823+AB823*12%,0)</x:f>
        <x:v>0</x:v>
      </x:c>
      <x:c r="AJ823" s="38" t="n">
        <x:f>V823*AG823</x:f>
        <x:v>414.3399335229</x:v>
      </x:c>
      <x:c r="AK823" s="38" t="n">
        <x:f>AB823*2%</x:f>
        <x:v>1317.30547465</x:v>
      </x:c>
      <x:c r="AL823" s="38" t="n">
        <x:f>AB823+AH823+AI823+AJ823+AK823</x:f>
        <x:v>79799.49840067289</x:v>
      </x:c>
      <x:c r="AM823" s="38" t="n">
        <x:f>AL823/V823</x:f>
        <x:v>997.638335752254</x:v>
      </x:c>
      <x:c r="AN823" s="40" t="n">
        <x:f>(W823+X823)/AL823*100</x:f>
        <x:v>72.28391469377155</x:v>
      </x:c>
      <x:c r="AO823" s="28" t="str">
        <x:v>R01-R20; ilgili satırdaki bölgesel fiyat ve maliyet varsayımları</x:v>
      </x:c>
      <x:c r="AP823" s="28" t="str">
        <x:v>Girdi miktarları, alım fiyatı değişimi, fason bedeli ve parti sonucu simüle edilmiştir; işletme kaydı değildir.</x:v>
      </x:c>
    </x:row>
    <x:row r="824" ht="22" customHeight="1">
      <x:c r="A824" t="str">
        <x:v>SUC-0823</x:v>
      </x:c>
      <x:c r="B824" s="36" t="n">
        <x:v>46279</x:v>
      </x:c>
      <x:c r="C824" t="str">
        <x:v>Karadeniz</x:v>
      </x:c>
      <x:c r="D824" t="str">
        <x:v>ERZURUM_CI</x:v>
      </x:c>
      <x:c r="E824" t="str">
        <x:v>Kurum içi</x:v>
      </x:c>
      <x:c r="F824" s="42" t="str">
        <x:v>SENTETİK/SİMÜLE — gerçek parti kaydı değildir</x:v>
      </x:c>
      <x:c r="G824" s="38" t="n">
        <x:v>231.95</x:v>
      </x:c>
      <x:c r="H824" s="38" t="n">
        <x:v>41.094</x:v>
      </x:c>
      <x:c r="I824" s="38" t="n">
        <x:v>13.285</x:v>
      </x:c>
      <x:c r="J824" s="38" t="n">
        <x:v>4.658</x:v>
      </x:c>
      <x:c r="K824" s="38" t="n">
        <x:v>0.218</x:v>
      </x:c>
      <x:c r="L824" s="38" t="n">
        <x:f>SUM(G824:K824)</x:f>
        <x:v>291.20500000000004</x:v>
      </x:c>
      <x:c r="M824" s="38" t="n">
        <x:v>352.183</x:v>
      </x:c>
      <x:c r="N824" s="38" t="n">
        <x:v>609.78</x:v>
      </x:c>
      <x:c r="O824" s="38" t="n">
        <x:v>432.91</x:v>
      </x:c>
      <x:c r="P824" s="38" t="n">
        <x:v>400</x:v>
      </x:c>
      <x:c r="Q824" s="38" t="n">
        <x:v>19.88</x:v>
      </x:c>
      <x:c r="R824" s="38" t="n">
        <x:v>43.7475</x:v>
      </x:c>
      <x:c r="S824" s="38" t="n">
        <x:v>116.48</x:v>
      </x:c>
      <x:c r="T824" s="40" t="n">
        <x:v>32.43</x:v>
      </x:c>
      <x:c r="U824" s="40" t="n">
        <x:v>0.73</x:v>
      </x:c>
      <x:c r="V824" s="38" t="n">
        <x:f>L824*(1-T824/100)*(1-U824/100)</x:f>
        <x:v>195.33081780495002</x:v>
      </x:c>
      <x:c r="W824" s="38" t="n">
        <x:f>G824*N824</x:f>
        <x:v>141438.471</x:v>
      </x:c>
      <x:c r="X824" s="38" t="n">
        <x:f>H824*O824</x:f>
        <x:v>17790.00354</x:v>
      </x:c>
      <x:c r="Y824" s="38" t="n">
        <x:f>I824*P824</x:f>
        <x:v>5314</x:v>
      </x:c>
      <x:c r="Z824" s="38" t="n">
        <x:f>J824*Q824+K824*P824</x:f>
        <x:v>179.80104</x:v>
      </x:c>
      <x:c r="AA824" s="38" t="n">
        <x:f>M824*R824</x:f>
        <x:v>15407.1257925</x:v>
      </x:c>
      <x:c r="AB824" s="38" t="n">
        <x:f>SUM(W824:AA824)</x:f>
        <x:v>180129.4013725</x:v>
      </x:c>
      <x:c r="AC824" s="38" t="n">
        <x:v>19.58</x:v>
      </x:c>
      <x:c r="AD824" s="38" t="n">
        <x:v>174.33</x:v>
      </x:c>
      <x:c r="AE824" s="38" t="n">
        <x:v>72.66</x:v>
      </x:c>
      <x:c r="AF824" s="38" t="n">
        <x:v>4.8148</x:v>
      </x:c>
      <x:c r="AG824" s="38" t="n">
        <x:v>5.44</x:v>
      </x:c>
      <x:c r="AH824" s="38" t="n">
        <x:f>IF(E824="Fason",L824*S824,0)</x:f>
        <x:v>0</x:v>
      </x:c>
      <x:c r="AI824" s="38" t="n">
        <x:f>IF(E824="Kurum içi",AC824*AD824+AE824*AF824+AB824*12%,0)</x:f>
        <x:v>25378.752932699997</x:v>
      </x:c>
      <x:c r="AJ824" s="38" t="n">
        <x:f>V824*AG824</x:f>
        <x:v>1062.599648858928</x:v>
      </x:c>
      <x:c r="AK824" s="38" t="n">
        <x:f>AB824*2%</x:f>
        <x:v>3602.58802745</x:v>
      </x:c>
      <x:c r="AL824" s="38" t="n">
        <x:f>AB824+AH824+AI824+AJ824+AK824</x:f>
        <x:v>210173.34198150891</x:v>
      </x:c>
      <x:c r="AM824" s="38" t="n">
        <x:f>AL824/V824</x:f>
        <x:v>1075.9865972167283</x:v>
      </x:c>
      <x:c r="AN824" s="40" t="n">
        <x:f>(W824+X824)/AL824*100</x:f>
        <x:v>75.76054747895142</x:v>
      </x:c>
      <x:c r="AO824" s="28" t="str">
        <x:v>R01-R20; ilgili satırdaki bölgesel fiyat ve maliyet varsayımları</x:v>
      </x:c>
      <x:c r="AP824" s="28" t="str">
        <x:v>Girdi miktarları, alım fiyatı değişimi, fason bedeli ve parti sonucu simüle edilmiştir; işletme kaydı değildir.</x:v>
      </x:c>
    </x:row>
    <x:row r="825" ht="22" customHeight="1">
      <x:c r="A825" t="str">
        <x:v>SUC-0824</x:v>
      </x:c>
      <x:c r="B825" s="36" t="n">
        <x:v>46275</x:v>
      </x:c>
      <x:c r="C825" t="str">
        <x:v>Karadeniz</x:v>
      </x:c>
      <x:c r="D825" t="str">
        <x:v>MEB_STANDART</x:v>
      </x:c>
      <x:c r="E825" t="str">
        <x:v>Kurum içi</x:v>
      </x:c>
      <x:c r="F825" s="42" t="str">
        <x:v>SENTETİK/SİMÜLE — gerçek parti kaydı değildir</x:v>
      </x:c>
      <x:c r="G825" s="38" t="n">
        <x:v>131.82</x:v>
      </x:c>
      <x:c r="H825" s="38" t="n">
        <x:v>42.403</x:v>
      </x:c>
      <x:c r="I825" s="38" t="n">
        <x:v>8.803</x:v>
      </x:c>
      <x:c r="J825" s="38" t="n">
        <x:v>4.955</x:v>
      </x:c>
      <x:c r="K825" s="38" t="n">
        <x:v>1.767</x:v>
      </x:c>
      <x:c r="L825" s="38" t="n">
        <x:f>SUM(G825:K825)</x:f>
        <x:v>189.748</x:v>
      </x:c>
      <x:c r="M825" s="38" t="n">
        <x:v>232.066</x:v>
      </x:c>
      <x:c r="N825" s="38" t="n">
        <x:v>597.05</x:v>
      </x:c>
      <x:c r="O825" s="38" t="n">
        <x:v>459.44</x:v>
      </x:c>
      <x:c r="P825" s="38" t="n">
        <x:v>400</x:v>
      </x:c>
      <x:c r="Q825" s="38" t="n">
        <x:v>19.88</x:v>
      </x:c>
      <x:c r="R825" s="38" t="n">
        <x:v>43.7475</x:v>
      </x:c>
      <x:c r="S825" s="38" t="n">
        <x:v>113.24</x:v>
      </x:c>
      <x:c r="T825" s="40" t="n">
        <x:v>26.72</x:v>
      </x:c>
      <x:c r="U825" s="40" t="n">
        <x:v>0.61</x:v>
      </x:c>
      <x:c r="V825" s="38" t="n">
        <x:f>L825*(1-T825/100)*(1-U825/100)</x:f>
        <x:v>138.19914566015999</x:v>
      </x:c>
      <x:c r="W825" s="38" t="n">
        <x:f>G825*N825</x:f>
        <x:v>78703.131</x:v>
      </x:c>
      <x:c r="X825" s="38" t="n">
        <x:f>H825*O825</x:f>
        <x:v>19481.63432</x:v>
      </x:c>
      <x:c r="Y825" s="38" t="n">
        <x:f>I825*P825</x:f>
        <x:v>3521.2000000000003</x:v>
      </x:c>
      <x:c r="Z825" s="38" t="n">
        <x:f>J825*Q825+K825*P825</x:f>
        <x:v>805.3054</x:v>
      </x:c>
      <x:c r="AA825" s="38" t="n">
        <x:f>M825*R825</x:f>
        <x:v>10152.307335000001</x:v>
      </x:c>
      <x:c r="AB825" s="38" t="n">
        <x:f>SUM(W825:AA825)</x:f>
        <x:v>112663.57805499999</x:v>
      </x:c>
      <x:c r="AC825" s="38" t="n">
        <x:v>6.69</x:v>
      </x:c>
      <x:c r="AD825" s="38" t="n">
        <x:v>174.33</x:v>
      </x:c>
      <x:c r="AE825" s="38" t="n">
        <x:v>64.1</x:v>
      </x:c>
      <x:c r="AF825" s="38" t="n">
        <x:v>4.8148</x:v>
      </x:c>
      <x:c r="AG825" s="38" t="n">
        <x:v>5.71</x:v>
      </x:c>
      <x:c r="AH825" s="38" t="n">
        <x:f>IF(E825="Fason",L825*S825,0)</x:f>
        <x:v>0</x:v>
      </x:c>
      <x:c r="AI825" s="38" t="n">
        <x:f>IF(E825="Kurum içi",AC825*AD825+AE825*AF825+AB825*12%,0)</x:f>
        <x:v>14994.525746599998</x:v>
      </x:c>
      <x:c r="AJ825" s="38" t="n">
        <x:f>V825*AG825</x:f>
        <x:v>789.1171217195135</x:v>
      </x:c>
      <x:c r="AK825" s="38" t="n">
        <x:f>AB825*2%</x:f>
        <x:v>2253.2715611</x:v>
      </x:c>
      <x:c r="AL825" s="38" t="n">
        <x:f>AB825+AH825+AI825+AJ825+AK825</x:f>
        <x:v>130700.4924844195</x:v>
      </x:c>
      <x:c r="AM825" s="38" t="n">
        <x:f>AL825/V825</x:f>
        <x:v>945.740234934736</x:v>
      </x:c>
      <x:c r="AN825" s="40" t="n">
        <x:f>(W825+X825)/AL825*100</x:f>
        <x:v>75.12195513089162</x:v>
      </x:c>
      <x:c r="AO825" s="28" t="str">
        <x:v>R01-R20; ilgili satırdaki bölgesel fiyat ve maliyet varsayımları</x:v>
      </x:c>
      <x:c r="AP825" s="28" t="str">
        <x:v>Girdi miktarları, alım fiyatı değişimi, fason bedeli ve parti sonucu simüle edilmiştir; işletme kaydı değildir.</x:v>
      </x:c>
    </x:row>
    <x:row r="826" ht="22" customHeight="1">
      <x:c r="A826" t="str">
        <x:v>SUC-0825</x:v>
      </x:c>
      <x:c r="B826" s="36" t="n">
        <x:v>46310</x:v>
      </x:c>
      <x:c r="C826" t="str">
        <x:v>Karadeniz</x:v>
      </x:c>
      <x:c r="D826" t="str">
        <x:v>ERZURUM_CI</x:v>
      </x:c>
      <x:c r="E826" t="str">
        <x:v>Fason</x:v>
      </x:c>
      <x:c r="F826" s="42" t="str">
        <x:v>SENTETİK/SİMÜLE — gerçek parti kaydı değildir</x:v>
      </x:c>
      <x:c r="G826" s="38" t="n">
        <x:v>121.197</x:v>
      </x:c>
      <x:c r="H826" s="38" t="n">
        <x:v>22.426</x:v>
      </x:c>
      <x:c r="I826" s="38" t="n">
        <x:v>7.256</x:v>
      </x:c>
      <x:c r="J826" s="38" t="n">
        <x:v>2.505</x:v>
      </x:c>
      <x:c r="K826" s="38" t="n">
        <x:v>0.015</x:v>
      </x:c>
      <x:c r="L826" s="38" t="n">
        <x:f>SUM(G826:K826)</x:f>
        <x:v>153.39899999999997</x:v>
      </x:c>
      <x:c r="M826" s="38" t="n">
        <x:v>202.648</x:v>
      </x:c>
      <x:c r="N826" s="38" t="n">
        <x:v>603.64</x:v>
      </x:c>
      <x:c r="O826" s="38" t="n">
        <x:v>469.36</x:v>
      </x:c>
      <x:c r="P826" s="38" t="n">
        <x:v>669.9</x:v>
      </x:c>
      <x:c r="Q826" s="38" t="n">
        <x:v>19.88</x:v>
      </x:c>
      <x:c r="R826" s="38" t="n">
        <x:v>43.7475</x:v>
      </x:c>
      <x:c r="S826" s="38" t="n">
        <x:v>101.86</x:v>
      </x:c>
      <x:c r="T826" s="40" t="n">
        <x:v>32.23</x:v>
      </x:c>
      <x:c r="U826" s="40" t="n">
        <x:v>0.39</x:v>
      </x:c>
      <x:c r="V826" s="38" t="n">
        <x:f>L826*(1-T826/100)*(1-U826/100)</x:f>
        <x:v>103.55306414102998</x:v>
      </x:c>
      <x:c r="W826" s="38" t="n">
        <x:f>G826*N826</x:f>
        <x:v>73159.35708</x:v>
      </x:c>
      <x:c r="X826" s="38" t="n">
        <x:f>H826*O826</x:f>
        <x:v>10525.86736</x:v>
      </x:c>
      <x:c r="Y826" s="38" t="n">
        <x:f>I826*P826</x:f>
        <x:v>4860.7944</x:v>
      </x:c>
      <x:c r="Z826" s="38" t="n">
        <x:f>J826*Q826+K826*P826</x:f>
        <x:v>59.847899999999996</x:v>
      </x:c>
      <x:c r="AA826" s="38" t="n">
        <x:f>M826*R826</x:f>
        <x:v>8865.34338</x:v>
      </x:c>
      <x:c r="AB826" s="38" t="n">
        <x:f>SUM(W826:AA826)</x:f>
        <x:v>97471.21012</x:v>
      </x:c>
      <x:c r="AC826" s="38" t="n">
        <x:v>6.06</x:v>
      </x:c>
      <x:c r="AD826" s="38" t="n">
        <x:v>174.33</x:v>
      </x:c>
      <x:c r="AE826" s="38" t="n">
        <x:v>36.37</x:v>
      </x:c>
      <x:c r="AF826" s="38" t="n">
        <x:v>4.8148</x:v>
      </x:c>
      <x:c r="AG826" s="38" t="n">
        <x:v>5.49</x:v>
      </x:c>
      <x:c r="AH826" s="38" t="n">
        <x:f>IF(E826="Fason",L826*S826,0)</x:f>
        <x:v>15625.222139999996</x:v>
      </x:c>
      <x:c r="AI826" s="38" t="n">
        <x:f>IF(E826="Kurum içi",AC826*AD826+AE826*AF826+AB826*12%,0)</x:f>
        <x:v>0</x:v>
      </x:c>
      <x:c r="AJ826" s="38" t="n">
        <x:f>V826*AG826</x:f>
        <x:v>568.5063221342546</x:v>
      </x:c>
      <x:c r="AK826" s="38" t="n">
        <x:f>AB826*2%</x:f>
        <x:v>1949.4242024</x:v>
      </x:c>
      <x:c r="AL826" s="38" t="n">
        <x:f>AB826+AH826+AI826+AJ826+AK826</x:f>
        <x:v>115614.36278453426</x:v>
      </x:c>
      <x:c r="AM826" s="38" t="n">
        <x:f>AL826/V826</x:f>
        <x:v>1116.474570246206</x:v>
      </x:c>
      <x:c r="AN826" s="40" t="n">
        <x:f>(W826+X826)/AL826*100</x:f>
        <x:v>72.38306939074752</x:v>
      </x:c>
      <x:c r="AO826" s="28" t="str">
        <x:v>R01-R20; ilgili satırdaki bölgesel fiyat ve maliyet varsayımları</x:v>
      </x:c>
      <x:c r="AP826" s="28" t="str">
        <x:v>Girdi miktarları, alım fiyatı değişimi, fason bedeli ve parti sonucu simüle edilmiştir; işletme kaydı değildir.</x:v>
      </x:c>
    </x:row>
    <x:row r="827" ht="22" customHeight="1">
      <x:c r="A827" t="str">
        <x:v>SUC-0826</x:v>
      </x:c>
      <x:c r="B827" s="36" t="n">
        <x:v>46286</x:v>
      </x:c>
      <x:c r="C827" t="str">
        <x:v>Doğu Anadolu</x:v>
      </x:c>
      <x:c r="D827" t="str">
        <x:v>MEB_STANDART</x:v>
      </x:c>
      <x:c r="E827" t="str">
        <x:v>Kurum içi</x:v>
      </x:c>
      <x:c r="F827" s="42" t="str">
        <x:v>SENTETİK/SİMÜLE — gerçek parti kaydı değildir</x:v>
      </x:c>
      <x:c r="G827" s="38" t="n">
        <x:v>248.847</x:v>
      </x:c>
      <x:c r="H827" s="38" t="n">
        <x:v>77.143</x:v>
      </x:c>
      <x:c r="I827" s="38" t="n">
        <x:v>16.551</x:v>
      </x:c>
      <x:c r="J827" s="38" t="n">
        <x:v>8.979</x:v>
      </x:c>
      <x:c r="K827" s="38" t="n">
        <x:v>3.308</x:v>
      </x:c>
      <x:c r="L827" s="38" t="n">
        <x:f>SUM(G827:K827)</x:f>
        <x:v>354.828</x:v>
      </x:c>
      <x:c r="M827" s="38" t="n">
        <x:v>449.218</x:v>
      </x:c>
      <x:c r="N827" s="38" t="n">
        <x:v>575.91</x:v>
      </x:c>
      <x:c r="O827" s="38" t="n">
        <x:v>475.23</x:v>
      </x:c>
      <x:c r="P827" s="38" t="n">
        <x:v>400</x:v>
      </x:c>
      <x:c r="Q827" s="38" t="n">
        <x:v>19.88</x:v>
      </x:c>
      <x:c r="R827" s="38" t="n">
        <x:v>43.7475</x:v>
      </x:c>
      <x:c r="S827" s="38" t="n">
        <x:v>115.12</x:v>
      </x:c>
      <x:c r="T827" s="40" t="n">
        <x:v>26.39</x:v>
      </x:c>
      <x:c r="U827" s="40" t="n">
        <x:v>1.39</x:v>
      </x:c>
      <x:c r="V827" s="38" t="n">
        <x:f>L827*(1-T827/100)*(1-U827/100)</x:f>
        <x:v>257.55836521787995</x:v>
      </x:c>
      <x:c r="W827" s="38" t="n">
        <x:f>G827*N827</x:f>
        <x:v>143313.47577</x:v>
      </x:c>
      <x:c r="X827" s="38" t="n">
        <x:f>H827*O827</x:f>
        <x:v>36660.667890000004</x:v>
      </x:c>
      <x:c r="Y827" s="38" t="n">
        <x:f>I827*P827</x:f>
        <x:v>6620.4</x:v>
      </x:c>
      <x:c r="Z827" s="38" t="n">
        <x:f>J827*Q827+K827*P827</x:f>
        <x:v>1501.7025199999998</x:v>
      </x:c>
      <x:c r="AA827" s="38" t="n">
        <x:f>M827*R827</x:f>
        <x:v>19652.164455000002</x:v>
      </x:c>
      <x:c r="AB827" s="38" t="n">
        <x:f>SUM(W827:AA827)</x:f>
        <x:v>207748.41063499998</x:v>
      </x:c>
      <x:c r="AC827" s="38" t="n">
        <x:v>21.3</x:v>
      </x:c>
      <x:c r="AD827" s="38" t="n">
        <x:v>174.33</x:v>
      </x:c>
      <x:c r="AE827" s="38" t="n">
        <x:v>113.51</x:v>
      </x:c>
      <x:c r="AF827" s="38" t="n">
        <x:v>4.8148</x:v>
      </x:c>
      <x:c r="AG827" s="38" t="n">
        <x:v>5.26</x:v>
      </x:c>
      <x:c r="AH827" s="38" t="n">
        <x:f>IF(E827="Fason",L827*S827,0)</x:f>
        <x:v>0</x:v>
      </x:c>
      <x:c r="AI827" s="38" t="n">
        <x:f>IF(E827="Kurum içi",AC827*AD827+AE827*AF827+AB827*12%,0)</x:f>
        <x:v>29189.566224199996</x:v>
      </x:c>
      <x:c r="AJ827" s="38" t="n">
        <x:f>V827*AG827</x:f>
        <x:v>1354.7570010460486</x:v>
      </x:c>
      <x:c r="AK827" s="38" t="n">
        <x:f>AB827*2%</x:f>
        <x:v>4154.9682127</x:v>
      </x:c>
      <x:c r="AL827" s="38" t="n">
        <x:f>AB827+AH827+AI827+AJ827+AK827</x:f>
        <x:v>242447.70207294606</x:v>
      </x:c>
      <x:c r="AM827" s="38" t="n">
        <x:f>AL827/V827</x:f>
        <x:v>941.3311109808019</x:v>
      </x:c>
      <x:c r="AN827" s="40" t="n">
        <x:f>(W827+X827)/AL827*100</x:f>
        <x:v>74.23215073651247</x:v>
      </x:c>
      <x:c r="AO827" s="28" t="str">
        <x:v>R01-R20; ilgili satırdaki bölgesel fiyat ve maliyet varsayımları</x:v>
      </x:c>
      <x:c r="AP827" s="28" t="str">
        <x:v>Girdi miktarları, alım fiyatı değişimi, fason bedeli ve parti sonucu simüle edilmiştir; işletme kaydı değildir.</x:v>
      </x:c>
    </x:row>
    <x:row r="828" ht="22" customHeight="1">
      <x:c r="A828" t="str">
        <x:v>SUC-0827</x:v>
      </x:c>
      <x:c r="B828" s="36" t="n">
        <x:v>46268</x:v>
      </x:c>
      <x:c r="C828" t="str">
        <x:v>İç Anadolu</x:v>
      </x:c>
      <x:c r="D828" t="str">
        <x:v>ERZURUM_CI</x:v>
      </x:c>
      <x:c r="E828" t="str">
        <x:v>Kurum içi</x:v>
      </x:c>
      <x:c r="F828" s="42" t="str">
        <x:v>SENTETİK/SİMÜLE — gerçek parti kaydı değildir</x:v>
      </x:c>
      <x:c r="G828" s="38" t="n">
        <x:v>146.85</x:v>
      </x:c>
      <x:c r="H828" s="38" t="n">
        <x:v>24.427</x:v>
      </x:c>
      <x:c r="I828" s="38" t="n">
        <x:v>8.719</x:v>
      </x:c>
      <x:c r="J828" s="38" t="n">
        <x:v>2.694</x:v>
      </x:c>
      <x:c r="K828" s="38" t="n">
        <x:v>0.07</x:v>
      </x:c>
      <x:c r="L828" s="38" t="n">
        <x:f>SUM(G828:K828)</x:f>
        <x:v>182.75999999999996</x:v>
      </x:c>
      <x:c r="M828" s="38" t="n">
        <x:v>231.44</x:v>
      </x:c>
      <x:c r="N828" s="38" t="n">
        <x:v>595.96</x:v>
      </x:c>
      <x:c r="O828" s="38" t="n">
        <x:v>436.74</x:v>
      </x:c>
      <x:c r="P828" s="38" t="n">
        <x:v>400</x:v>
      </x:c>
      <x:c r="Q828" s="38" t="n">
        <x:v>19.88</x:v>
      </x:c>
      <x:c r="R828" s="38" t="n">
        <x:v>43.7475</x:v>
      </x:c>
      <x:c r="S828" s="38" t="n">
        <x:v>98.81</x:v>
      </x:c>
      <x:c r="T828" s="40" t="n">
        <x:v>18.17</x:v>
      </x:c>
      <x:c r="U828" s="40" t="n">
        <x:v>0.52</x:v>
      </x:c>
      <x:c r="V828" s="38" t="n">
        <x:f>L828*(1-T828/100)*(1-U828/100)</x:f>
        <x:v>148.77483495839996</x:v>
      </x:c>
      <x:c r="W828" s="38" t="n">
        <x:f>G828*N828</x:f>
        <x:v>87516.726</x:v>
      </x:c>
      <x:c r="X828" s="38" t="n">
        <x:f>H828*O828</x:f>
        <x:v>10668.24798</x:v>
      </x:c>
      <x:c r="Y828" s="38" t="n">
        <x:f>I828*P828</x:f>
        <x:v>3487.6</x:v>
      </x:c>
      <x:c r="Z828" s="38" t="n">
        <x:f>J828*Q828+K828*P828</x:f>
        <x:v>81.55672</x:v>
      </x:c>
      <x:c r="AA828" s="38" t="n">
        <x:f>M828*R828</x:f>
        <x:v>10124.921400000001</x:v>
      </x:c>
      <x:c r="AB828" s="38" t="n">
        <x:f>SUM(W828:AA828)</x:f>
        <x:v>111879.0521</x:v>
      </x:c>
      <x:c r="AC828" s="38" t="n">
        <x:v>10.19</x:v>
      </x:c>
      <x:c r="AD828" s="38" t="n">
        <x:v>174.33</x:v>
      </x:c>
      <x:c r="AE828" s="38" t="n">
        <x:v>47.31</x:v>
      </x:c>
      <x:c r="AF828" s="38" t="n">
        <x:v>4.8148</x:v>
      </x:c>
      <x:c r="AG828" s="38" t="n">
        <x:v>5.13</x:v>
      </x:c>
      <x:c r="AH828" s="38" t="n">
        <x:f>IF(E828="Fason",L828*S828,0)</x:f>
        <x:v>0</x:v>
      </x:c>
      <x:c r="AI828" s="38" t="n">
        <x:f>IF(E828="Kurum içi",AC828*AD828+AE828*AF828+AB828*12%,0)</x:f>
        <x:v>15429.697139999998</x:v>
      </x:c>
      <x:c r="AJ828" s="38" t="n">
        <x:f>V828*AG828</x:f>
        <x:v>763.2149033365918</x:v>
      </x:c>
      <x:c r="AK828" s="38" t="n">
        <x:f>AB828*2%</x:f>
        <x:v>2237.5810420000003</x:v>
      </x:c>
      <x:c r="AL828" s="38" t="n">
        <x:f>AB828+AH828+AI828+AJ828+AK828</x:f>
        <x:v>130309.5451853366</x:v>
      </x:c>
      <x:c r="AM828" s="38" t="n">
        <x:f>AL828/V828</x:f>
        <x:v>875.8843202331457</x:v>
      </x:c>
      <x:c r="AN828" s="40" t="n">
        <x:f>(W828+X828)/AL828*100</x:f>
        <x:v>75.34749188200567</x:v>
      </x:c>
      <x:c r="AO828" s="28" t="str">
        <x:v>R01-R20; ilgili satırdaki bölgesel fiyat ve maliyet varsayımları</x:v>
      </x:c>
      <x:c r="AP828" s="28" t="str">
        <x:v>Girdi miktarları, alım fiyatı değişimi, fason bedeli ve parti sonucu simüle edilmiştir; işletme kaydı değildir.</x:v>
      </x:c>
    </x:row>
    <x:row r="829" ht="22" customHeight="1">
      <x:c r="A829" t="str">
        <x:v>SUC-0828</x:v>
      </x:c>
      <x:c r="B829" s="36" t="n">
        <x:v>46296</x:v>
      </x:c>
      <x:c r="C829" t="str">
        <x:v>Güneydoğu Anadolu</x:v>
      </x:c>
      <x:c r="D829" t="str">
        <x:v>MEB_STANDART</x:v>
      </x:c>
      <x:c r="E829" t="str">
        <x:v>Kurum içi</x:v>
      </x:c>
      <x:c r="F829" s="42" t="str">
        <x:v>SENTETİK/SİMÜLE — gerçek parti kaydı değildir</x:v>
      </x:c>
      <x:c r="G829" s="38" t="n">
        <x:v>323.946</x:v>
      </x:c>
      <x:c r="H829" s="38" t="n">
        <x:v>103.96</x:v>
      </x:c>
      <x:c r="I829" s="38" t="n">
        <x:v>19.76</x:v>
      </x:c>
      <x:c r="J829" s="38" t="n">
        <x:v>11.089</x:v>
      </x:c>
      <x:c r="K829" s="38" t="n">
        <x:v>4.127</x:v>
      </x:c>
      <x:c r="L829" s="38" t="n">
        <x:f>SUM(G829:K829)</x:f>
        <x:v>462.882</x:v>
      </x:c>
      <x:c r="M829" s="38" t="n">
        <x:v>623.346</x:v>
      </x:c>
      <x:c r="N829" s="38" t="n">
        <x:v>579.27</x:v>
      </x:c>
      <x:c r="O829" s="38" t="n">
        <x:v>464.33</x:v>
      </x:c>
      <x:c r="P829" s="38" t="n">
        <x:v>550</x:v>
      </x:c>
      <x:c r="Q829" s="38" t="n">
        <x:v>19.88</x:v>
      </x:c>
      <x:c r="R829" s="38" t="n">
        <x:v>43.7475</x:v>
      </x:c>
      <x:c r="S829" s="38" t="n">
        <x:v>121.31</x:v>
      </x:c>
      <x:c r="T829" s="40" t="n">
        <x:v>23.97</x:v>
      </x:c>
      <x:c r="U829" s="40" t="n">
        <x:v>1.74</x:v>
      </x:c>
      <x:c r="V829" s="38" t="n">
        <x:f>L829*(1-T829/100)*(1-U829/100)</x:f>
        <x:v>345.80561678796</x:v>
      </x:c>
      <x:c r="W829" s="38" t="n">
        <x:f>G829*N829</x:f>
        <x:v>187652.19942000002</x:v>
      </x:c>
      <x:c r="X829" s="38" t="n">
        <x:f>H829*O829</x:f>
        <x:v>48271.74679999999</x:v>
      </x:c>
      <x:c r="Y829" s="38" t="n">
        <x:f>I829*P829</x:f>
        <x:v>10868</x:v>
      </x:c>
      <x:c r="Z829" s="38" t="n">
        <x:f>J829*Q829+K829*P829</x:f>
        <x:v>2490.29932</x:v>
      </x:c>
      <x:c r="AA829" s="38" t="n">
        <x:f>M829*R829</x:f>
        <x:v>27269.829135</x:v>
      </x:c>
      <x:c r="AB829" s="38" t="n">
        <x:f>SUM(W829:AA829)</x:f>
        <x:v>276552.074675</x:v>
      </x:c>
      <x:c r="AC829" s="38" t="n">
        <x:v>27.74</x:v>
      </x:c>
      <x:c r="AD829" s="38" t="n">
        <x:v>174.33</x:v>
      </x:c>
      <x:c r="AE829" s="38" t="n">
        <x:v>159.62</x:v>
      </x:c>
      <x:c r="AF829" s="38" t="n">
        <x:v>4.8148</x:v>
      </x:c>
      <x:c r="AG829" s="38" t="n">
        <x:v>5.74</x:v>
      </x:c>
      <x:c r="AH829" s="38" t="n">
        <x:f>IF(E829="Fason",L829*S829,0)</x:f>
        <x:v>0</x:v>
      </x:c>
      <x:c r="AI829" s="38" t="n">
        <x:f>IF(E829="Kurum içi",AC829*AD829+AE829*AF829+AB829*12%,0)</x:f>
        <x:v>38790.701537</x:v>
      </x:c>
      <x:c r="AJ829" s="38" t="n">
        <x:f>V829*AG829</x:f>
        <x:v>1984.9242403628905</x:v>
      </x:c>
      <x:c r="AK829" s="38" t="n">
        <x:f>AB829*2%</x:f>
        <x:v>5531.0414935</x:v>
      </x:c>
      <x:c r="AL829" s="38" t="n">
        <x:f>AB829+AH829+AI829+AJ829+AK829</x:f>
        <x:v>322858.7419458629</x:v>
      </x:c>
      <x:c r="AM829" s="38" t="n">
        <x:f>AL829/V829</x:f>
        <x:v>933.642272629228</x:v>
      </x:c>
      <x:c r="AN829" s="40" t="n">
        <x:f>(W829+X829)/AL829*100</x:f>
        <x:v>73.07342672466953</x:v>
      </x:c>
      <x:c r="AO829" s="28" t="str">
        <x:v>R01-R20; ilgili satırdaki bölgesel fiyat ve maliyet varsayımları</x:v>
      </x:c>
      <x:c r="AP829" s="28" t="str">
        <x:v>Girdi miktarları, alım fiyatı değişimi, fason bedeli ve parti sonucu simüle edilmiştir; işletme kaydı değildir.</x:v>
      </x:c>
    </x:row>
    <x:row r="830" ht="22" customHeight="1">
      <x:c r="A830" t="str">
        <x:v>SUC-0829</x:v>
      </x:c>
      <x:c r="B830" s="36" t="n">
        <x:v>46293</x:v>
      </x:c>
      <x:c r="C830" t="str">
        <x:v>Ege</x:v>
      </x:c>
      <x:c r="D830" t="str">
        <x:v>MEB_STANDART</x:v>
      </x:c>
      <x:c r="E830" t="str">
        <x:v>Kurum içi</x:v>
      </x:c>
      <x:c r="F830" s="42" t="str">
        <x:v>SENTETİK/SİMÜLE — gerçek parti kaydı değildir</x:v>
      </x:c>
      <x:c r="G830" s="38" t="n">
        <x:v>334.132</x:v>
      </x:c>
      <x:c r="H830" s="38" t="n">
        <x:v>104.874</x:v>
      </x:c>
      <x:c r="I830" s="38" t="n">
        <x:v>21.376</x:v>
      </x:c>
      <x:c r="J830" s="38" t="n">
        <x:v>12.295</x:v>
      </x:c>
      <x:c r="K830" s="38" t="n">
        <x:v>4.64</x:v>
      </x:c>
      <x:c r="L830" s="38" t="n">
        <x:f>SUM(G830:K830)</x:f>
        <x:v>477.31699999999995</x:v>
      </x:c>
      <x:c r="M830" s="38" t="n">
        <x:v>601.266</x:v>
      </x:c>
      <x:c r="N830" s="38" t="n">
        <x:v>580.92</x:v>
      </x:c>
      <x:c r="O830" s="38" t="n">
        <x:v>468.2</x:v>
      </x:c>
      <x:c r="P830" s="38" t="n">
        <x:v>400</x:v>
      </x:c>
      <x:c r="Q830" s="38" t="n">
        <x:v>19.88</x:v>
      </x:c>
      <x:c r="R830" s="38" t="n">
        <x:v>43.7475</x:v>
      </x:c>
      <x:c r="S830" s="38" t="n">
        <x:v>110.59</x:v>
      </x:c>
      <x:c r="T830" s="40" t="n">
        <x:v>20.01</x:v>
      </x:c>
      <x:c r="U830" s="40" t="n">
        <x:v>1.74</x:v>
      </x:c>
      <x:c r="V830" s="38" t="n">
        <x:f>L830*(1-T830/100)*(1-U830/100)</x:f>
        <x:v>375.16244619157993</x:v>
      </x:c>
      <x:c r="W830" s="38" t="n">
        <x:f>G830*N830</x:f>
        <x:v>194103.96143999998</x:v>
      </x:c>
      <x:c r="X830" s="38" t="n">
        <x:f>H830*O830</x:f>
        <x:v>49102.006799999996</x:v>
      </x:c>
      <x:c r="Y830" s="38" t="n">
        <x:f>I830*P830</x:f>
        <x:v>8550.4</x:v>
      </x:c>
      <x:c r="Z830" s="38" t="n">
        <x:f>J830*Q830+K830*P830</x:f>
        <x:v>2100.4246</x:v>
      </x:c>
      <x:c r="AA830" s="38" t="n">
        <x:f>M830*R830</x:f>
        <x:v>26303.884335</x:v>
      </x:c>
      <x:c r="AB830" s="38" t="n">
        <x:f>SUM(W830:AA830)</x:f>
        <x:v>280160.67717499996</x:v>
      </x:c>
      <x:c r="AC830" s="38" t="n">
        <x:v>22.43</x:v>
      </x:c>
      <x:c r="AD830" s="38" t="n">
        <x:v>174.33</x:v>
      </x:c>
      <x:c r="AE830" s="38" t="n">
        <x:v>201.37</x:v>
      </x:c>
      <x:c r="AF830" s="38" t="n">
        <x:v>4.8148</x:v>
      </x:c>
      <x:c r="AG830" s="38" t="n">
        <x:v>5.87</x:v>
      </x:c>
      <x:c r="AH830" s="38" t="n">
        <x:f>IF(E830="Fason",L830*S830,0)</x:f>
        <x:v>0</x:v>
      </x:c>
      <x:c r="AI830" s="38" t="n">
        <x:f>IF(E830="Kurum içi",AC830*AD830+AE830*AF830+AB830*12%,0)</x:f>
        <x:v>38499.059436999996</x:v>
      </x:c>
      <x:c r="AJ830" s="38" t="n">
        <x:f>V830*AG830</x:f>
        <x:v>2202.2035591445742</x:v>
      </x:c>
      <x:c r="AK830" s="38" t="n">
        <x:f>AB830*2%</x:f>
        <x:v>5603.213543499999</x:v>
      </x:c>
      <x:c r="AL830" s="38" t="n">
        <x:f>AB830+AH830+AI830+AJ830+AK830</x:f>
        <x:v>326465.15371464455</x:v>
      </x:c>
      <x:c r="AM830" s="38" t="n">
        <x:f>AL830/V830</x:f>
        <x:v>870.1967828302631</x:v>
      </x:c>
      <x:c r="AN830" s="40" t="n">
        <x:f>(W830+X830)/AL830*100</x:f>
        <x:v>74.49676189716118</x:v>
      </x:c>
      <x:c r="AO830" s="28" t="str">
        <x:v>R01-R20; ilgili satırdaki bölgesel fiyat ve maliyet varsayımları</x:v>
      </x:c>
      <x:c r="AP830" s="28" t="str">
        <x:v>Girdi miktarları, alım fiyatı değişimi, fason bedeli ve parti sonucu simüle edilmiştir; işletme kaydı değildir.</x:v>
      </x:c>
    </x:row>
    <x:row r="831" ht="22" customHeight="1">
      <x:c r="A831" t="str">
        <x:v>SUC-0830</x:v>
      </x:c>
      <x:c r="B831" s="36" t="n">
        <x:v>46283</x:v>
      </x:c>
      <x:c r="C831" t="str">
        <x:v>Karadeniz</x:v>
      </x:c>
      <x:c r="D831" t="str">
        <x:v>MEB_STANDART</x:v>
      </x:c>
      <x:c r="E831" t="str">
        <x:v>Fason</x:v>
      </x:c>
      <x:c r="F831" s="42" t="str">
        <x:v>SENTETİK/SİMÜLE — gerçek parti kaydı değildir</x:v>
      </x:c>
      <x:c r="G831" s="38" t="n">
        <x:v>162.276</x:v>
      </x:c>
      <x:c r="H831" s="38" t="n">
        <x:v>52.448</x:v>
      </x:c>
      <x:c r="I831" s="38" t="n">
        <x:v>9.919</x:v>
      </x:c>
      <x:c r="J831" s="38" t="n">
        <x:v>6.242</x:v>
      </x:c>
      <x:c r="K831" s="38" t="n">
        <x:v>2.597</x:v>
      </x:c>
      <x:c r="L831" s="38" t="n">
        <x:f>SUM(G831:K831)</x:f>
        <x:v>233.48200000000003</x:v>
      </x:c>
      <x:c r="M831" s="38" t="n">
        <x:v>277.631</x:v>
      </x:c>
      <x:c r="N831" s="38" t="n">
        <x:v>607.37</x:v>
      </x:c>
      <x:c r="O831" s="38" t="n">
        <x:v>469.76</x:v>
      </x:c>
      <x:c r="P831" s="38" t="n">
        <x:v>550</x:v>
      </x:c>
      <x:c r="Q831" s="38" t="n">
        <x:v>19.88</x:v>
      </x:c>
      <x:c r="R831" s="38" t="n">
        <x:v>43.7475</x:v>
      </x:c>
      <x:c r="S831" s="38" t="n">
        <x:v>103.66</x:v>
      </x:c>
      <x:c r="T831" s="40" t="n">
        <x:v>22.08</x:v>
      </x:c>
      <x:c r="U831" s="40" t="n">
        <x:v>0.85</x:v>
      </x:c>
      <x:c r="V831" s="38" t="n">
        <x:f>L831*(1-T831/100)*(1-U831/100)</x:f>
        <x:v>180.38277641760004</x:v>
      </x:c>
      <x:c r="W831" s="38" t="n">
        <x:f>G831*N831</x:f>
        <x:v>98561.57412</x:v>
      </x:c>
      <x:c r="X831" s="38" t="n">
        <x:f>H831*O831</x:f>
        <x:v>24637.97248</x:v>
      </x:c>
      <x:c r="Y831" s="38" t="n">
        <x:f>I831*P831</x:f>
        <x:v>5455.45</x:v>
      </x:c>
      <x:c r="Z831" s="38" t="n">
        <x:f>J831*Q831+K831*P831</x:f>
        <x:v>1552.44096</x:v>
      </x:c>
      <x:c r="AA831" s="38" t="n">
        <x:f>M831*R831</x:f>
        <x:v>12145.662172499999</x:v>
      </x:c>
      <x:c r="AB831" s="38" t="n">
        <x:f>SUM(W831:AA831)</x:f>
        <x:v>142353.09973249998</x:v>
      </x:c>
      <x:c r="AC831" s="38" t="n">
        <x:v>9.37</x:v>
      </x:c>
      <x:c r="AD831" s="38" t="n">
        <x:v>174.33</x:v>
      </x:c>
      <x:c r="AE831" s="38" t="n">
        <x:v>73.33</x:v>
      </x:c>
      <x:c r="AF831" s="38" t="n">
        <x:v>4.8148</x:v>
      </x:c>
      <x:c r="AG831" s="38" t="n">
        <x:v>5.75</x:v>
      </x:c>
      <x:c r="AH831" s="38" t="n">
        <x:f>IF(E831="Fason",L831*S831,0)</x:f>
        <x:v>24202.744120000003</x:v>
      </x:c>
      <x:c r="AI831" s="38" t="n">
        <x:f>IF(E831="Kurum içi",AC831*AD831+AE831*AF831+AB831*12%,0)</x:f>
        <x:v>0</x:v>
      </x:c>
      <x:c r="AJ831" s="38" t="n">
        <x:f>V831*AG831</x:f>
        <x:v>1037.2009644012003</x:v>
      </x:c>
      <x:c r="AK831" s="38" t="n">
        <x:f>AB831*2%</x:f>
        <x:v>2847.0619946499996</x:v>
      </x:c>
      <x:c r="AL831" s="38" t="n">
        <x:f>AB831+AH831+AI831+AJ831+AK831</x:f>
        <x:v>170440.10681155117</x:v>
      </x:c>
      <x:c r="AM831" s="38" t="n">
        <x:f>AL831/V831</x:f>
        <x:v>944.8801609360373</x:v>
      </x:c>
      <x:c r="AN831" s="40" t="n">
        <x:f>(W831+X831)/AL831*100</x:f>
        <x:v>72.28319020957716</x:v>
      </x:c>
      <x:c r="AO831" s="28" t="str">
        <x:v>R01-R20; ilgili satırdaki bölgesel fiyat ve maliyet varsayımları</x:v>
      </x:c>
      <x:c r="AP831" s="28" t="str">
        <x:v>Girdi miktarları, alım fiyatı değişimi, fason bedeli ve parti sonucu simüle edilmiştir; işletme kaydı değildir.</x:v>
      </x:c>
    </x:row>
    <x:row r="832" ht="22" customHeight="1">
      <x:c r="A832" t="str">
        <x:v>SUC-0831</x:v>
      </x:c>
      <x:c r="B832" s="36" t="n">
        <x:v>46266</x:v>
      </x:c>
      <x:c r="C832" t="str">
        <x:v>Ege</x:v>
      </x:c>
      <x:c r="D832" t="str">
        <x:v>ERZURUM_CI</x:v>
      </x:c>
      <x:c r="E832" t="str">
        <x:v>Kurum içi</x:v>
      </x:c>
      <x:c r="F832" s="42" t="str">
        <x:v>SENTETİK/SİMÜLE — gerçek parti kaydı değildir</x:v>
      </x:c>
      <x:c r="G832" s="38" t="n">
        <x:v>202.728</x:v>
      </x:c>
      <x:c r="H832" s="38" t="n">
        <x:v>36.628</x:v>
      </x:c>
      <x:c r="I832" s="38" t="n">
        <x:v>11.884</x:v>
      </x:c>
      <x:c r="J832" s="38" t="n">
        <x:v>4.112</x:v>
      </x:c>
      <x:c r="K832" s="38" t="n">
        <x:v>0.025</x:v>
      </x:c>
      <x:c r="L832" s="38" t="n">
        <x:f>SUM(G832:K832)</x:f>
        <x:v>255.377</x:v>
      </x:c>
      <x:c r="M832" s="38" t="n">
        <x:v>296.753</x:v>
      </x:c>
      <x:c r="N832" s="38" t="n">
        <x:v>588.98</x:v>
      </x:c>
      <x:c r="O832" s="38" t="n">
        <x:v>447.44</x:v>
      </x:c>
      <x:c r="P832" s="38" t="n">
        <x:v>550</x:v>
      </x:c>
      <x:c r="Q832" s="38" t="n">
        <x:v>19.88</x:v>
      </x:c>
      <x:c r="R832" s="38" t="n">
        <x:v>43.7475</x:v>
      </x:c>
      <x:c r="S832" s="38" t="n">
        <x:v>118.91</x:v>
      </x:c>
      <x:c r="T832" s="40" t="n">
        <x:v>21.79</x:v>
      </x:c>
      <x:c r="U832" s="40" t="n">
        <x:v>1.11</x:v>
      </x:c>
      <x:c r="V832" s="38" t="n">
        <x:f>L832*(1-T832/100)*(1-U832/100)</x:f>
        <x:v>197.51334479613</x:v>
      </x:c>
      <x:c r="W832" s="38" t="n">
        <x:f>G832*N832</x:f>
        <x:v>119402.73744000001</x:v>
      </x:c>
      <x:c r="X832" s="38" t="n">
        <x:f>H832*O832</x:f>
        <x:v>16388.83232</x:v>
      </x:c>
      <x:c r="Y832" s="38" t="n">
        <x:f>I832*P832</x:f>
        <x:v>6536.2</x:v>
      </x:c>
      <x:c r="Z832" s="38" t="n">
        <x:f>J832*Q832+K832*P832</x:f>
        <x:v>95.49656</x:v>
      </x:c>
      <x:c r="AA832" s="38" t="n">
        <x:f>M832*R832</x:f>
        <x:v>12982.2018675</x:v>
      </x:c>
      <x:c r="AB832" s="38" t="n">
        <x:f>SUM(W832:AA832)</x:f>
        <x:v>155405.46818750002</x:v>
      </x:c>
      <x:c r="AC832" s="38" t="n">
        <x:v>15.59</x:v>
      </x:c>
      <x:c r="AD832" s="38" t="n">
        <x:v>174.33</x:v>
      </x:c>
      <x:c r="AE832" s="38" t="n">
        <x:v>89.88</x:v>
      </x:c>
      <x:c r="AF832" s="38" t="n">
        <x:v>4.8148</x:v>
      </x:c>
      <x:c r="AG832" s="38" t="n">
        <x:v>5.3</x:v>
      </x:c>
      <x:c r="AH832" s="38" t="n">
        <x:f>IF(E832="Fason",L832*S832,0)</x:f>
        <x:v>0</x:v>
      </x:c>
      <x:c r="AI832" s="38" t="n">
        <x:f>IF(E832="Kurum içi",AC832*AD832+AE832*AF832+AB832*12%,0)</x:f>
        <x:v>21799.215106500003</x:v>
      </x:c>
      <x:c r="AJ832" s="38" t="n">
        <x:f>V832*AG832</x:f>
        <x:v>1046.820727419489</x:v>
      </x:c>
      <x:c r="AK832" s="38" t="n">
        <x:f>AB832*2%</x:f>
        <x:v>3108.1093637500007</x:v>
      </x:c>
      <x:c r="AL832" s="38" t="n">
        <x:f>AB832+AH832+AI832+AJ832+AK832</x:f>
        <x:v>181359.6133851695</x:v>
      </x:c>
      <x:c r="AM832" s="38" t="n">
        <x:f>AL832/V832</x:f>
        <x:v>918.2144810132494</x:v>
      </x:c>
      <x:c r="AN832" s="40" t="n">
        <x:f>(W832+X832)/AL832*100</x:f>
        <x:v>74.87420557718515</x:v>
      </x:c>
      <x:c r="AO832" s="28" t="str">
        <x:v>R01-R20; ilgili satırdaki bölgesel fiyat ve maliyet varsayımları</x:v>
      </x:c>
      <x:c r="AP832" s="28" t="str">
        <x:v>Girdi miktarları, alım fiyatı değişimi, fason bedeli ve parti sonucu simüle edilmiştir; işletme kaydı değildir.</x:v>
      </x:c>
    </x:row>
    <x:row r="833" ht="22" customHeight="1">
      <x:c r="A833" t="str">
        <x:v>SUC-0832</x:v>
      </x:c>
      <x:c r="B833" s="36" t="n">
        <x:v>46292</x:v>
      </x:c>
      <x:c r="C833" t="str">
        <x:v>Akdeniz</x:v>
      </x:c>
      <x:c r="D833" t="str">
        <x:v>MEB_STANDART</x:v>
      </x:c>
      <x:c r="E833" t="str">
        <x:v>Kurum içi</x:v>
      </x:c>
      <x:c r="F833" s="42" t="str">
        <x:v>SENTETİK/SİMÜLE — gerçek parti kaydı değildir</x:v>
      </x:c>
      <x:c r="G833" s="38" t="n">
        <x:v>98.63</x:v>
      </x:c>
      <x:c r="H833" s="38" t="n">
        <x:v>30.483</x:v>
      </x:c>
      <x:c r="I833" s="38" t="n">
        <x:v>5.985</x:v>
      </x:c>
      <x:c r="J833" s="38" t="n">
        <x:v>3.53</x:v>
      </x:c>
      <x:c r="K833" s="38" t="n">
        <x:v>1.459</x:v>
      </x:c>
      <x:c r="L833" s="38" t="n">
        <x:f>SUM(G833:K833)</x:f>
        <x:v>140.08700000000002</x:v>
      </x:c>
      <x:c r="M833" s="38" t="n">
        <x:v>170.57</x:v>
      </x:c>
      <x:c r="N833" s="38" t="n">
        <x:v>593.74</x:v>
      </x:c>
      <x:c r="O833" s="38" t="n">
        <x:v>466.24</x:v>
      </x:c>
      <x:c r="P833" s="38" t="n">
        <x:v>550</x:v>
      </x:c>
      <x:c r="Q833" s="38" t="n">
        <x:v>19.88</x:v>
      </x:c>
      <x:c r="R833" s="38" t="n">
        <x:v>43.7475</x:v>
      </x:c>
      <x:c r="S833" s="38" t="n">
        <x:v>107.16</x:v>
      </x:c>
      <x:c r="T833" s="40" t="n">
        <x:v>23.99</x:v>
      </x:c>
      <x:c r="U833" s="40" t="n">
        <x:v>0.66</x:v>
      </x:c>
      <x:c r="V833" s="38" t="n">
        <x:f>L833*(1-T833/100)*(1-U833/100)</x:f>
        <x:v>105.77735985058</x:v>
      </x:c>
      <x:c r="W833" s="38" t="n">
        <x:f>G833*N833</x:f>
        <x:v>58560.576199999996</x:v>
      </x:c>
      <x:c r="X833" s="38" t="n">
        <x:f>H833*O833</x:f>
        <x:v>14212.39392</x:v>
      </x:c>
      <x:c r="Y833" s="38" t="n">
        <x:f>I833*P833</x:f>
        <x:v>3291.75</x:v>
      </x:c>
      <x:c r="Z833" s="38" t="n">
        <x:f>J833*Q833+K833*P833</x:f>
        <x:v>872.6264</x:v>
      </x:c>
      <x:c r="AA833" s="38" t="n">
        <x:f>M833*R833</x:f>
        <x:v>7462.011075</x:v>
      </x:c>
      <x:c r="AB833" s="38" t="n">
        <x:f>SUM(W833:AA833)</x:f>
        <x:v>84399.357595</x:v>
      </x:c>
      <x:c r="AC833" s="38" t="n">
        <x:v>5.02</x:v>
      </x:c>
      <x:c r="AD833" s="38" t="n">
        <x:v>174.33</x:v>
      </x:c>
      <x:c r="AE833" s="38" t="n">
        <x:v>38.65</x:v>
      </x:c>
      <x:c r="AF833" s="38" t="n">
        <x:v>4.8148</x:v>
      </x:c>
      <x:c r="AG833" s="38" t="n">
        <x:v>5.12</x:v>
      </x:c>
      <x:c r="AH833" s="38" t="n">
        <x:f>IF(E833="Fason",L833*S833,0)</x:f>
        <x:v>0</x:v>
      </x:c>
      <x:c r="AI833" s="38" t="n">
        <x:f>IF(E833="Kurum içi",AC833*AD833+AE833*AF833+AB833*12%,0)</x:f>
        <x:v>11189.151531399999</x:v>
      </x:c>
      <x:c r="AJ833" s="38" t="n">
        <x:f>V833*AG833</x:f>
        <x:v>541.5800824349697</x:v>
      </x:c>
      <x:c r="AK833" s="38" t="n">
        <x:f>AB833*2%</x:f>
        <x:v>1687.9871518999998</x:v>
      </x:c>
      <x:c r="AL833" s="38" t="n">
        <x:f>AB833+AH833+AI833+AJ833+AK833</x:f>
        <x:v>97818.07636073497</x:v>
      </x:c>
      <x:c r="AM833" s="38" t="n">
        <x:f>AL833/V833</x:f>
        <x:v>924.7543755952291</x:v>
      </x:c>
      <x:c r="AN833" s="40" t="n">
        <x:f>(W833+X833)/AL833*100</x:f>
        <x:v>74.39623925094044</x:v>
      </x:c>
      <x:c r="AO833" s="28" t="str">
        <x:v>R01-R20; ilgili satırdaki bölgesel fiyat ve maliyet varsayımları</x:v>
      </x:c>
      <x:c r="AP833" s="28" t="str">
        <x:v>Girdi miktarları, alım fiyatı değişimi, fason bedeli ve parti sonucu simüle edilmiştir; işletme kaydı değildir.</x:v>
      </x:c>
    </x:row>
    <x:row r="834" ht="22" customHeight="1">
      <x:c r="A834" t="str">
        <x:v>SUC-0833</x:v>
      </x:c>
      <x:c r="B834" s="36" t="n">
        <x:v>46279</x:v>
      </x:c>
      <x:c r="C834" t="str">
        <x:v>Marmara</x:v>
      </x:c>
      <x:c r="D834" t="str">
        <x:v>ERZURUM_CI</x:v>
      </x:c>
      <x:c r="E834" t="str">
        <x:v>Fason</x:v>
      </x:c>
      <x:c r="F834" s="42" t="str">
        <x:v>SENTETİK/SİMÜLE — gerçek parti kaydı değildir</x:v>
      </x:c>
      <x:c r="G834" s="38" t="n">
        <x:v>184.719</x:v>
      </x:c>
      <x:c r="H834" s="38" t="n">
        <x:v>31.821</x:v>
      </x:c>
      <x:c r="I834" s="38" t="n">
        <x:v>10.92</x:v>
      </x:c>
      <x:c r="J834" s="38" t="n">
        <x:v>3.642</x:v>
      </x:c>
      <x:c r="K834" s="38" t="n">
        <x:v>0.136</x:v>
      </x:c>
      <x:c r="L834" s="38" t="n">
        <x:f>SUM(G834:K834)</x:f>
        <x:v>231.23799999999997</x:v>
      </x:c>
      <x:c r="M834" s="38" t="n">
        <x:v>275.297</x:v>
      </x:c>
      <x:c r="N834" s="38" t="n">
        <x:v>619.43</x:v>
      </x:c>
      <x:c r="O834" s="38" t="n">
        <x:v>468.3</x:v>
      </x:c>
      <x:c r="P834" s="38" t="n">
        <x:v>550</x:v>
      </x:c>
      <x:c r="Q834" s="38" t="n">
        <x:v>19.88</x:v>
      </x:c>
      <x:c r="R834" s="38" t="n">
        <x:v>43.7475</x:v>
      </x:c>
      <x:c r="S834" s="38" t="n">
        <x:v>118.45</x:v>
      </x:c>
      <x:c r="T834" s="40" t="n">
        <x:v>21.75</x:v>
      </x:c>
      <x:c r="U834" s="40" t="n">
        <x:v>1.46</x:v>
      </x:c>
      <x:c r="V834" s="38" t="n">
        <x:f>L834*(1-T834/100)*(1-U834/100)</x:f>
        <x:v>178.30195646899998</x:v>
      </x:c>
      <x:c r="W834" s="38" t="n">
        <x:f>G834*N834</x:f>
        <x:v>114420.49016999999</x:v>
      </x:c>
      <x:c r="X834" s="38" t="n">
        <x:f>H834*O834</x:f>
        <x:v>14901.774300000001</x:v>
      </x:c>
      <x:c r="Y834" s="38" t="n">
        <x:f>I834*P834</x:f>
        <x:v>6006</x:v>
      </x:c>
      <x:c r="Z834" s="38" t="n">
        <x:f>J834*Q834+K834*P834</x:f>
        <x:v>147.20296000000002</x:v>
      </x:c>
      <x:c r="AA834" s="38" t="n">
        <x:f>M834*R834</x:f>
        <x:v>12043.555507500001</x:v>
      </x:c>
      <x:c r="AB834" s="38" t="n">
        <x:f>SUM(W834:AA834)</x:f>
        <x:v>147519.02293749998</x:v>
      </x:c>
      <x:c r="AC834" s="38" t="n">
        <x:v>12.81</x:v>
      </x:c>
      <x:c r="AD834" s="38" t="n">
        <x:v>174.33</x:v>
      </x:c>
      <x:c r="AE834" s="38" t="n">
        <x:v>63.14</x:v>
      </x:c>
      <x:c r="AF834" s="38" t="n">
        <x:v>4.8148</x:v>
      </x:c>
      <x:c r="AG834" s="38" t="n">
        <x:v>5.32</x:v>
      </x:c>
      <x:c r="AH834" s="38" t="n">
        <x:f>IF(E834="Fason",L834*S834,0)</x:f>
        <x:v>27390.141099999997</x:v>
      </x:c>
      <x:c r="AI834" s="38" t="n">
        <x:f>IF(E834="Kurum içi",AC834*AD834+AE834*AF834+AB834*12%,0)</x:f>
        <x:v>0</x:v>
      </x:c>
      <x:c r="AJ834" s="38" t="n">
        <x:f>V834*AG834</x:f>
        <x:v>948.5664084150799</x:v>
      </x:c>
      <x:c r="AK834" s="38" t="n">
        <x:f>AB834*2%</x:f>
        <x:v>2950.3804587499994</x:v>
      </x:c>
      <x:c r="AL834" s="38" t="n">
        <x:f>AB834+AH834+AI834+AJ834+AK834</x:f>
        <x:v>178808.11090466508</x:v>
      </x:c>
      <x:c r="AM834" s="38" t="n">
        <x:f>AL834/V834</x:f>
        <x:v>1002.838748635678</x:v>
      </x:c>
      <x:c r="AN834" s="40" t="n">
        <x:f>(W834+X834)/AL834*100</x:f>
        <x:v>72.324607544761</x:v>
      </x:c>
      <x:c r="AO834" s="28" t="str">
        <x:v>R01-R20; ilgili satırdaki bölgesel fiyat ve maliyet varsayımları</x:v>
      </x:c>
      <x:c r="AP834" s="28" t="str">
        <x:v>Girdi miktarları, alım fiyatı değişimi, fason bedeli ve parti sonucu simüle edilmiştir; işletme kaydı değildir.</x:v>
      </x:c>
    </x:row>
    <x:row r="835" ht="22" customHeight="1">
      <x:c r="A835" t="str">
        <x:v>SUC-0834</x:v>
      </x:c>
      <x:c r="B835" s="36" t="n">
        <x:v>46270</x:v>
      </x:c>
      <x:c r="C835" t="str">
        <x:v>Akdeniz</x:v>
      </x:c>
      <x:c r="D835" t="str">
        <x:v>MEB_STANDART</x:v>
      </x:c>
      <x:c r="E835" t="str">
        <x:v>Fason</x:v>
      </x:c>
      <x:c r="F835" s="42" t="str">
        <x:v>SENTETİK/SİMÜLE — gerçek parti kaydı değildir</x:v>
      </x:c>
      <x:c r="G835" s="38" t="n">
        <x:v>261.35</x:v>
      </x:c>
      <x:c r="H835" s="38" t="n">
        <x:v>80.7</x:v>
      </x:c>
      <x:c r="I835" s="38" t="n">
        <x:v>16.699</x:v>
      </x:c>
      <x:c r="J835" s="38" t="n">
        <x:v>9.185</x:v>
      </x:c>
      <x:c r="K835" s="38" t="n">
        <x:v>4.348</x:v>
      </x:c>
      <x:c r="L835" s="38" t="n">
        <x:f>SUM(G835:K835)</x:f>
        <x:v>372.28200000000004</x:v>
      </x:c>
      <x:c r="M835" s="38" t="n">
        <x:v>501.58</x:v>
      </x:c>
      <x:c r="N835" s="38" t="n">
        <x:v>603.05</x:v>
      </x:c>
      <x:c r="O835" s="38" t="n">
        <x:v>444.68</x:v>
      </x:c>
      <x:c r="P835" s="38" t="n">
        <x:v>400</x:v>
      </x:c>
      <x:c r="Q835" s="38" t="n">
        <x:v>19.88</x:v>
      </x:c>
      <x:c r="R835" s="38" t="n">
        <x:v>43.7475</x:v>
      </x:c>
      <x:c r="S835" s="38" t="n">
        <x:v>95.98</x:v>
      </x:c>
      <x:c r="T835" s="40" t="n">
        <x:v>24.03</x:v>
      </x:c>
      <x:c r="U835" s="40" t="n">
        <x:v>0.75</x:v>
      </x:c>
      <x:c r="V835" s="38" t="n">
        <x:f>L835*(1-T835/100)*(1-U835/100)</x:f>
        <x:v>280.70146563450004</x:v>
      </x:c>
      <x:c r="W835" s="38" t="n">
        <x:f>G835*N835</x:f>
        <x:v>157607.1175</x:v>
      </x:c>
      <x:c r="X835" s="38" t="n">
        <x:f>H835*O835</x:f>
        <x:v>35885.676</x:v>
      </x:c>
      <x:c r="Y835" s="38" t="n">
        <x:f>I835*P835</x:f>
        <x:v>6679.6</x:v>
      </x:c>
      <x:c r="Z835" s="38" t="n">
        <x:f>J835*Q835+K835*P835</x:f>
        <x:v>1921.7978</x:v>
      </x:c>
      <x:c r="AA835" s="38" t="n">
        <x:f>M835*R835</x:f>
        <x:v>21942.87105</x:v>
      </x:c>
      <x:c r="AB835" s="38" t="n">
        <x:f>SUM(W835:AA835)</x:f>
        <x:v>224037.06235000002</x:v>
      </x:c>
      <x:c r="AC835" s="38" t="n">
        <x:v>16.27</x:v>
      </x:c>
      <x:c r="AD835" s="38" t="n">
        <x:v>174.33</x:v>
      </x:c>
      <x:c r="AE835" s="38" t="n">
        <x:v>124.76</x:v>
      </x:c>
      <x:c r="AF835" s="38" t="n">
        <x:v>4.8148</x:v>
      </x:c>
      <x:c r="AG835" s="38" t="n">
        <x:v>5.23</x:v>
      </x:c>
      <x:c r="AH835" s="38" t="n">
        <x:f>IF(E835="Fason",L835*S835,0)</x:f>
        <x:v>35731.62636</x:v>
      </x:c>
      <x:c r="AI835" s="38" t="n">
        <x:f>IF(E835="Kurum içi",AC835*AD835+AE835*AF835+AB835*12%,0)</x:f>
        <x:v>0</x:v>
      </x:c>
      <x:c r="AJ835" s="38" t="n">
        <x:f>V835*AG835</x:f>
        <x:v>1468.0686652684353</x:v>
      </x:c>
      <x:c r="AK835" s="38" t="n">
        <x:f>AB835*2%</x:f>
        <x:v>4480.741247000001</x:v>
      </x:c>
      <x:c r="AL835" s="38" t="n">
        <x:f>AB835+AH835+AI835+AJ835+AK835</x:f>
        <x:v>265717.49862226844</x:v>
      </x:c>
      <x:c r="AM835" s="38" t="n">
        <x:f>AL835/V835</x:f>
        <x:v>946.6195626076917</x:v>
      </x:c>
      <x:c r="AN835" s="40" t="n">
        <x:f>(W835+X835)/AL835*100</x:f>
        <x:v>72.81898802421752</x:v>
      </x:c>
      <x:c r="AO835" s="28" t="str">
        <x:v>R01-R20; ilgili satırdaki bölgesel fiyat ve maliyet varsayımları</x:v>
      </x:c>
      <x:c r="AP835" s="28" t="str">
        <x:v>Girdi miktarları, alım fiyatı değişimi, fason bedeli ve parti sonucu simüle edilmiştir; işletme kaydı değildir.</x:v>
      </x:c>
    </x:row>
    <x:row r="836" ht="22" customHeight="1">
      <x:c r="A836" t="str">
        <x:v>SUC-0835</x:v>
      </x:c>
      <x:c r="B836" s="36" t="n">
        <x:v>46301</x:v>
      </x:c>
      <x:c r="C836" t="str">
        <x:v>Marmara</x:v>
      </x:c>
      <x:c r="D836" t="str">
        <x:v>ERZURUM_CI</x:v>
      </x:c>
      <x:c r="E836" t="str">
        <x:v>Kurum içi</x:v>
      </x:c>
      <x:c r="F836" s="42" t="str">
        <x:v>SENTETİK/SİMÜLE — gerçek parti kaydı değildir</x:v>
      </x:c>
      <x:c r="G836" s="38" t="n">
        <x:v>367.602</x:v>
      </x:c>
      <x:c r="H836" s="38" t="n">
        <x:v>67.156</x:v>
      </x:c>
      <x:c r="I836" s="38" t="n">
        <x:v>22.505</x:v>
      </x:c>
      <x:c r="J836" s="38" t="n">
        <x:v>8.164</x:v>
      </x:c>
      <x:c r="K836" s="38" t="n">
        <x:v>0.981</x:v>
      </x:c>
      <x:c r="L836" s="38" t="n">
        <x:f>SUM(G836:K836)</x:f>
        <x:v>466.40799999999996</x:v>
      </x:c>
      <x:c r="M836" s="38" t="n">
        <x:v>614.712</x:v>
      </x:c>
      <x:c r="N836" s="38" t="n">
        <x:v>620.81</x:v>
      </x:c>
      <x:c r="O836" s="38" t="n">
        <x:v>449.78</x:v>
      </x:c>
      <x:c r="P836" s="38" t="n">
        <x:v>400</x:v>
      </x:c>
      <x:c r="Q836" s="38" t="n">
        <x:v>19.88</x:v>
      </x:c>
      <x:c r="R836" s="38" t="n">
        <x:v>43.7475</x:v>
      </x:c>
      <x:c r="S836" s="38" t="n">
        <x:v>124.08</x:v>
      </x:c>
      <x:c r="T836" s="40" t="n">
        <x:v>28.63</x:v>
      </x:c>
      <x:c r="U836" s="40" t="n">
        <x:v>1.49</x:v>
      </x:c>
      <x:c r="V836" s="38" t="n">
        <x:f>L836*(1-T836/100)*(1-U836/100)</x:f>
        <x:v>327.91554629495994</x:v>
      </x:c>
      <x:c r="W836" s="38" t="n">
        <x:f>G836*N836</x:f>
        <x:v>228210.99761999995</x:v>
      </x:c>
      <x:c r="X836" s="38" t="n">
        <x:f>H836*O836</x:f>
        <x:v>30205.42568</x:v>
      </x:c>
      <x:c r="Y836" s="38" t="n">
        <x:f>I836*P836</x:f>
        <x:v>9002</x:v>
      </x:c>
      <x:c r="Z836" s="38" t="n">
        <x:f>J836*Q836+K836*P836</x:f>
        <x:v>554.7003199999999</x:v>
      </x:c>
      <x:c r="AA836" s="38" t="n">
        <x:f>M836*R836</x:f>
        <x:v>26892.11322</x:v>
      </x:c>
      <x:c r="AB836" s="38" t="n">
        <x:f>SUM(W836:AA836)</x:f>
        <x:v>294865.23683999997</x:v>
      </x:c>
      <x:c r="AC836" s="38" t="n">
        <x:v>21.23</x:v>
      </x:c>
      <x:c r="AD836" s="38" t="n">
        <x:v>174.33</x:v>
      </x:c>
      <x:c r="AE836" s="38" t="n">
        <x:v>134.76</x:v>
      </x:c>
      <x:c r="AF836" s="38" t="n">
        <x:v>4.8148</x:v>
      </x:c>
      <x:c r="AG836" s="38" t="n">
        <x:v>5.77</x:v>
      </x:c>
      <x:c r="AH836" s="38" t="n">
        <x:f>IF(E836="Fason",L836*S836,0)</x:f>
        <x:v>0</x:v>
      </x:c>
      <x:c r="AI836" s="38" t="n">
        <x:f>IF(E836="Kurum içi",AC836*AD836+AE836*AF836+AB836*12%,0)</x:f>
        <x:v>39733.6967688</x:v>
      </x:c>
      <x:c r="AJ836" s="38" t="n">
        <x:f>V836*AG836</x:f>
        <x:v>1892.0727021219186</x:v>
      </x:c>
      <x:c r="AK836" s="38" t="n">
        <x:f>AB836*2%</x:f>
        <x:v>5897.3047368</x:v>
      </x:c>
      <x:c r="AL836" s="38" t="n">
        <x:f>AB836+AH836+AI836+AJ836+AK836</x:f>
        <x:v>342388.3110477219</x:v>
      </x:c>
      <x:c r="AM836" s="38" t="n">
        <x:f>AL836/V836</x:f>
        <x:v>1044.1356468648294</x:v>
      </x:c>
      <x:c r="AN836" s="40" t="n">
        <x:f>(W836+X836)/AL836*100</x:f>
        <x:v>75.47466282047871</x:v>
      </x:c>
      <x:c r="AO836" s="28" t="str">
        <x:v>R01-R20; ilgili satırdaki bölgesel fiyat ve maliyet varsayımları</x:v>
      </x:c>
      <x:c r="AP836" s="28" t="str">
        <x:v>Girdi miktarları, alım fiyatı değişimi, fason bedeli ve parti sonucu simüle edilmiştir; işletme kaydı değildir.</x:v>
      </x:c>
    </x:row>
    <x:row r="837" ht="22" customHeight="1">
      <x:c r="A837" t="str">
        <x:v>SUC-0836</x:v>
      </x:c>
      <x:c r="B837" s="36" t="n">
        <x:v>46290</x:v>
      </x:c>
      <x:c r="C837" t="str">
        <x:v>Karadeniz</x:v>
      </x:c>
      <x:c r="D837" t="str">
        <x:v>MEB_STANDART</x:v>
      </x:c>
      <x:c r="E837" t="str">
        <x:v>Fason</x:v>
      </x:c>
      <x:c r="F837" s="42" t="str">
        <x:v>SENTETİK/SİMÜLE — gerçek parti kaydı değildir</x:v>
      </x:c>
      <x:c r="G837" s="38" t="n">
        <x:v>72.03</x:v>
      </x:c>
      <x:c r="H837" s="38" t="n">
        <x:v>21.527</x:v>
      </x:c>
      <x:c r="I837" s="38" t="n">
        <x:v>4.392</x:v>
      </x:c>
      <x:c r="J837" s="38" t="n">
        <x:v>2.489</x:v>
      </x:c>
      <x:c r="K837" s="38" t="n">
        <x:v>0.894</x:v>
      </x:c>
      <x:c r="L837" s="38" t="n">
        <x:f>SUM(G837:K837)</x:f>
        <x:v>101.33200000000001</x:v>
      </x:c>
      <x:c r="M837" s="38" t="n">
        <x:v>130.108</x:v>
      </x:c>
      <x:c r="N837" s="38" t="n">
        <x:v>615.63</x:v>
      </x:c>
      <x:c r="O837" s="38" t="n">
        <x:v>452.69</x:v>
      </x:c>
      <x:c r="P837" s="38" t="n">
        <x:v>669.9</x:v>
      </x:c>
      <x:c r="Q837" s="38" t="n">
        <x:v>19.88</x:v>
      </x:c>
      <x:c r="R837" s="38" t="n">
        <x:v>43.7475</x:v>
      </x:c>
      <x:c r="S837" s="38" t="n">
        <x:v>116.69</x:v>
      </x:c>
      <x:c r="T837" s="40" t="n">
        <x:v>26.4</x:v>
      </x:c>
      <x:c r="U837" s="40" t="n">
        <x:v>0.54</x:v>
      </x:c>
      <x:c r="V837" s="38" t="n">
        <x:f>L837*(1-T837/100)*(1-U837/100)</x:f>
        <x:v>74.1776180992</x:v>
      </x:c>
      <x:c r="W837" s="38" t="n">
        <x:f>G837*N837</x:f>
        <x:v>44343.8289</x:v>
      </x:c>
      <x:c r="X837" s="38" t="n">
        <x:f>H837*O837</x:f>
        <x:v>9745.057630000001</x:v>
      </x:c>
      <x:c r="Y837" s="38" t="n">
        <x:f>I837*P837</x:f>
        <x:v>2942.2008</x:v>
      </x:c>
      <x:c r="Z837" s="38" t="n">
        <x:f>J837*Q837+K837*P837</x:f>
        <x:v>648.3719199999999</x:v>
      </x:c>
      <x:c r="AA837" s="38" t="n">
        <x:f>M837*R837</x:f>
        <x:v>5691.89973</x:v>
      </x:c>
      <x:c r="AB837" s="38" t="n">
        <x:f>SUM(W837:AA837)</x:f>
        <x:v>63371.35898</x:v>
      </x:c>
      <x:c r="AC837" s="38" t="n">
        <x:v>3.61</x:v>
      </x:c>
      <x:c r="AD837" s="38" t="n">
        <x:v>174.33</x:v>
      </x:c>
      <x:c r="AE837" s="38" t="n">
        <x:v>39.72</x:v>
      </x:c>
      <x:c r="AF837" s="38" t="n">
        <x:v>4.8148</x:v>
      </x:c>
      <x:c r="AG837" s="38" t="n">
        <x:v>5.37</x:v>
      </x:c>
      <x:c r="AH837" s="38" t="n">
        <x:f>IF(E837="Fason",L837*S837,0)</x:f>
        <x:v>11824.43108</x:v>
      </x:c>
      <x:c r="AI837" s="38" t="n">
        <x:f>IF(E837="Kurum içi",AC837*AD837+AE837*AF837+AB837*12%,0)</x:f>
        <x:v>0</x:v>
      </x:c>
      <x:c r="AJ837" s="38" t="n">
        <x:f>V837*AG837</x:f>
        <x:v>398.33380919270405</x:v>
      </x:c>
      <x:c r="AK837" s="38" t="n">
        <x:f>AB837*2%</x:f>
        <x:v>1267.4271796</x:v>
      </x:c>
      <x:c r="AL837" s="38" t="n">
        <x:f>AB837+AH837+AI837+AJ837+AK837</x:f>
        <x:v>76861.5510487927</x:v>
      </x:c>
      <x:c r="AM837" s="38" t="n">
        <x:f>AL837/V837</x:f>
        <x:v>1036.182517292526</x:v>
      </x:c>
      <x:c r="AN837" s="40" t="n">
        <x:f>(W837+X837)/AL837*100</x:f>
        <x:v>70.37183844450874</x:v>
      </x:c>
      <x:c r="AO837" s="28" t="str">
        <x:v>R01-R20; ilgili satırdaki bölgesel fiyat ve maliyet varsayımları</x:v>
      </x:c>
      <x:c r="AP837" s="28" t="str">
        <x:v>Girdi miktarları, alım fiyatı değişimi, fason bedeli ve parti sonucu simüle edilmiştir; işletme kaydı değildir.</x:v>
      </x:c>
    </x:row>
    <x:row r="838" ht="22" customHeight="1">
      <x:c r="A838" t="str">
        <x:v>SUC-0837</x:v>
      </x:c>
      <x:c r="B838" s="36" t="n">
        <x:v>46302</x:v>
      </x:c>
      <x:c r="C838" t="str">
        <x:v>Karadeniz</x:v>
      </x:c>
      <x:c r="D838" t="str">
        <x:v>MEB_STANDART</x:v>
      </x:c>
      <x:c r="E838" t="str">
        <x:v>Kurum içi</x:v>
      </x:c>
      <x:c r="F838" s="42" t="str">
        <x:v>SENTETİK/SİMÜLE — gerçek parti kaydı değildir</x:v>
      </x:c>
      <x:c r="G838" s="38" t="n">
        <x:v>201.888</x:v>
      </x:c>
      <x:c r="H838" s="38" t="n">
        <x:v>62.807</x:v>
      </x:c>
      <x:c r="I838" s="38" t="n">
        <x:v>13.305</x:v>
      </x:c>
      <x:c r="J838" s="38" t="n">
        <x:v>7.17</x:v>
      </x:c>
      <x:c r="K838" s="38" t="n">
        <x:v>2.853</x:v>
      </x:c>
      <x:c r="L838" s="38" t="n">
        <x:f>SUM(G838:K838)</x:f>
        <x:v>288.023</x:v>
      </x:c>
      <x:c r="M838" s="38" t="n">
        <x:v>374.878</x:v>
      </x:c>
      <x:c r="N838" s="38" t="n">
        <x:v>619.68</x:v>
      </x:c>
      <x:c r="O838" s="38" t="n">
        <x:v>453.87</x:v>
      </x:c>
      <x:c r="P838" s="38" t="n">
        <x:v>400</x:v>
      </x:c>
      <x:c r="Q838" s="38" t="n">
        <x:v>19.88</x:v>
      </x:c>
      <x:c r="R838" s="38" t="n">
        <x:v>43.7475</x:v>
      </x:c>
      <x:c r="S838" s="38" t="n">
        <x:v>105.46</x:v>
      </x:c>
      <x:c r="T838" s="40" t="n">
        <x:v>20.16</x:v>
      </x:c>
      <x:c r="U838" s="40" t="n">
        <x:v>0.93</x:v>
      </x:c>
      <x:c r="V838" s="38" t="n">
        <x:f>L838*(1-T838/100)*(1-U838/100)</x:f>
        <x:v>227.81895786224</x:v>
      </x:c>
      <x:c r="W838" s="38" t="n">
        <x:f>G838*N838</x:f>
        <x:v>125105.95584</x:v>
      </x:c>
      <x:c r="X838" s="38" t="n">
        <x:f>H838*O838</x:f>
        <x:v>28506.21309</x:v>
      </x:c>
      <x:c r="Y838" s="38" t="n">
        <x:f>I838*P838</x:f>
        <x:v>5322</x:v>
      </x:c>
      <x:c r="Z838" s="38" t="n">
        <x:f>J838*Q838+K838*P838</x:f>
        <x:v>1283.7396</x:v>
      </x:c>
      <x:c r="AA838" s="38" t="n">
        <x:f>M838*R838</x:f>
        <x:v>16399.975305</x:v>
      </x:c>
      <x:c r="AB838" s="38" t="n">
        <x:f>SUM(W838:AA838)</x:f>
        <x:v>176617.883835</x:v>
      </x:c>
      <x:c r="AC838" s="38" t="n">
        <x:v>19.25</x:v>
      </x:c>
      <x:c r="AD838" s="38" t="n">
        <x:v>174.33</x:v>
      </x:c>
      <x:c r="AE838" s="38" t="n">
        <x:v>133.12</x:v>
      </x:c>
      <x:c r="AF838" s="38" t="n">
        <x:v>4.8148</x:v>
      </x:c>
      <x:c r="AG838" s="38" t="n">
        <x:v>5.19</x:v>
      </x:c>
      <x:c r="AH838" s="38" t="n">
        <x:f>IF(E838="Fason",L838*S838,0)</x:f>
        <x:v>0</x:v>
      </x:c>
      <x:c r="AI838" s="38" t="n">
        <x:f>IF(E838="Kurum içi",AC838*AD838+AE838*AF838+AB838*12%,0)</x:f>
        <x:v>25190.9447362</x:v>
      </x:c>
      <x:c r="AJ838" s="38" t="n">
        <x:f>V838*AG838</x:f>
        <x:v>1182.3803913050258</x:v>
      </x:c>
      <x:c r="AK838" s="38" t="n">
        <x:f>AB838*2%</x:f>
        <x:v>3532.3576767</x:v>
      </x:c>
      <x:c r="AL838" s="38" t="n">
        <x:f>AB838+AH838+AI838+AJ838+AK838</x:f>
        <x:v>206523.566639205</x:v>
      </x:c>
      <x:c r="AM838" s="38" t="n">
        <x:f>AL838/V838</x:f>
        <x:v>906.5249379469459</x:v>
      </x:c>
      <x:c r="AN838" s="40" t="n">
        <x:f>(W838+X838)/AL838*100</x:f>
        <x:v>74.37997097849815</x:v>
      </x:c>
      <x:c r="AO838" s="28" t="str">
        <x:v>R01-R20; ilgili satırdaki bölgesel fiyat ve maliyet varsayımları</x:v>
      </x:c>
      <x:c r="AP838" s="28" t="str">
        <x:v>Girdi miktarları, alım fiyatı değişimi, fason bedeli ve parti sonucu simüle edilmiştir; işletme kaydı değildir.</x:v>
      </x:c>
    </x:row>
    <x:row r="839" ht="22" customHeight="1">
      <x:c r="A839" t="str">
        <x:v>SUC-0838</x:v>
      </x:c>
      <x:c r="B839" s="36" t="n">
        <x:v>46308</x:v>
      </x:c>
      <x:c r="C839" t="str">
        <x:v>Akdeniz</x:v>
      </x:c>
      <x:c r="D839" t="str">
        <x:v>MEB_STANDART</x:v>
      </x:c>
      <x:c r="E839" t="str">
        <x:v>Kurum içi</x:v>
      </x:c>
      <x:c r="F839" s="42" t="str">
        <x:v>SENTETİK/SİMÜLE — gerçek parti kaydı değildir</x:v>
      </x:c>
      <x:c r="G839" s="38" t="n">
        <x:v>98.449</x:v>
      </x:c>
      <x:c r="H839" s="38" t="n">
        <x:v>29.856</x:v>
      </x:c>
      <x:c r="I839" s="38" t="n">
        <x:v>6.358</x:v>
      </x:c>
      <x:c r="J839" s="38" t="n">
        <x:v>3.679</x:v>
      </x:c>
      <x:c r="K839" s="38" t="n">
        <x:v>1.408</x:v>
      </x:c>
      <x:c r="L839" s="38" t="n">
        <x:f>SUM(G839:K839)</x:f>
        <x:v>139.75</x:v>
      </x:c>
      <x:c r="M839" s="38" t="n">
        <x:v>181.006</x:v>
      </x:c>
      <x:c r="N839" s="38" t="n">
        <x:v>600.28</x:v>
      </x:c>
      <x:c r="O839" s="38" t="n">
        <x:v>452.84</x:v>
      </x:c>
      <x:c r="P839" s="38" t="n">
        <x:v>550</x:v>
      </x:c>
      <x:c r="Q839" s="38" t="n">
        <x:v>19.88</x:v>
      </x:c>
      <x:c r="R839" s="38" t="n">
        <x:v>43.7475</x:v>
      </x:c>
      <x:c r="S839" s="38" t="n">
        <x:v>76.48</x:v>
      </x:c>
      <x:c r="T839" s="40" t="n">
        <x:v>30.62</x:v>
      </x:c>
      <x:c r="U839" s="40" t="n">
        <x:v>1.7</x:v>
      </x:c>
      <x:c r="V839" s="38" t="n">
        <x:f>L839*(1-T839/100)*(1-U839/100)</x:f>
        <x:v>95.31025465</x:v>
      </x:c>
      <x:c r="W839" s="38" t="n">
        <x:f>G839*N839</x:f>
        <x:v>59096.96571999999</x:v>
      </x:c>
      <x:c r="X839" s="38" t="n">
        <x:f>H839*O839</x:f>
        <x:v>13519.99104</x:v>
      </x:c>
      <x:c r="Y839" s="38" t="n">
        <x:f>I839*P839</x:f>
        <x:v>3496.8999999999996</x:v>
      </x:c>
      <x:c r="Z839" s="38" t="n">
        <x:f>J839*Q839+K839*P839</x:f>
        <x:v>847.53852</x:v>
      </x:c>
      <x:c r="AA839" s="38" t="n">
        <x:f>M839*R839</x:f>
        <x:v>7918.559985000001</x:v>
      </x:c>
      <x:c r="AB839" s="38" t="n">
        <x:f>SUM(W839:AA839)</x:f>
        <x:v>84879.955265</x:v>
      </x:c>
      <x:c r="AC839" s="38" t="n">
        <x:v>6.34</x:v>
      </x:c>
      <x:c r="AD839" s="38" t="n">
        <x:v>174.33</x:v>
      </x:c>
      <x:c r="AE839" s="38" t="n">
        <x:v>61.89</x:v>
      </x:c>
      <x:c r="AF839" s="38" t="n">
        <x:v>4.8148</x:v>
      </x:c>
      <x:c r="AG839" s="38" t="n">
        <x:v>5.67</x:v>
      </x:c>
      <x:c r="AH839" s="38" t="n">
        <x:f>IF(E839="Fason",L839*S839,0)</x:f>
        <x:v>0</x:v>
      </x:c>
      <x:c r="AI839" s="38" t="n">
        <x:f>IF(E839="Kurum içi",AC839*AD839+AE839*AF839+AB839*12%,0)</x:f>
        <x:v>11588.834803799999</x:v>
      </x:c>
      <x:c r="AJ839" s="38" t="n">
        <x:f>V839*AG839</x:f>
        <x:v>540.4091438655</x:v>
      </x:c>
      <x:c r="AK839" s="38" t="n">
        <x:f>AB839*2%</x:f>
        <x:v>1697.5991053</x:v>
      </x:c>
      <x:c r="AL839" s="38" t="n">
        <x:f>AB839+AH839+AI839+AJ839+AK839</x:f>
        <x:v>98706.7983179655</x:v>
      </x:c>
      <x:c r="AM839" s="38" t="n">
        <x:f>AL839/V839</x:f>
        <x:v>1035.636707513146</x:v>
      </x:c>
      <x:c r="AN839" s="40" t="n">
        <x:f>(W839+X839)/AL839*100</x:f>
        <x:v>73.56834381972156</x:v>
      </x:c>
      <x:c r="AO839" s="28" t="str">
        <x:v>R01-R20; ilgili satırdaki bölgesel fiyat ve maliyet varsayımları</x:v>
      </x:c>
      <x:c r="AP839" s="28" t="str">
        <x:v>Girdi miktarları, alım fiyatı değişimi, fason bedeli ve parti sonucu simüle edilmiştir; işletme kaydı değildir.</x:v>
      </x:c>
    </x:row>
    <x:row r="840" ht="22" customHeight="1">
      <x:c r="A840" t="str">
        <x:v>SUC-0839</x:v>
      </x:c>
      <x:c r="B840" s="36" t="n">
        <x:v>46277</x:v>
      </x:c>
      <x:c r="C840" t="str">
        <x:v>Karadeniz</x:v>
      </x:c>
      <x:c r="D840" t="str">
        <x:v>MEB_STANDART</x:v>
      </x:c>
      <x:c r="E840" t="str">
        <x:v>Fason</x:v>
      </x:c>
      <x:c r="F840" s="42" t="str">
        <x:v>SENTETİK/SİMÜLE — gerçek parti kaydı değildir</x:v>
      </x:c>
      <x:c r="G840" s="38" t="n">
        <x:v>287.751</x:v>
      </x:c>
      <x:c r="H840" s="38" t="n">
        <x:v>86.187</x:v>
      </x:c>
      <x:c r="I840" s="38" t="n">
        <x:v>19.216</x:v>
      </x:c>
      <x:c r="J840" s="38" t="n">
        <x:v>10.932</x:v>
      </x:c>
      <x:c r="K840" s="38" t="n">
        <x:v>3.555</x:v>
      </x:c>
      <x:c r="L840" s="38" t="n">
        <x:f>SUM(G840:K840)</x:f>
        <x:v>407.641</x:v>
      </x:c>
      <x:c r="M840" s="38" t="n">
        <x:v>506.898</x:v>
      </x:c>
      <x:c r="N840" s="38" t="n">
        <x:v>589.4</x:v>
      </x:c>
      <x:c r="O840" s="38" t="n">
        <x:v>462.72</x:v>
      </x:c>
      <x:c r="P840" s="38" t="n">
        <x:v>669.9</x:v>
      </x:c>
      <x:c r="Q840" s="38" t="n">
        <x:v>19.88</x:v>
      </x:c>
      <x:c r="R840" s="38" t="n">
        <x:v>43.7475</x:v>
      </x:c>
      <x:c r="S840" s="38" t="n">
        <x:v>117.29</x:v>
      </x:c>
      <x:c r="T840" s="40" t="n">
        <x:v>32.06</x:v>
      </x:c>
      <x:c r="U840" s="40" t="n">
        <x:v>0.63</x:v>
      </x:c>
      <x:c r="V840" s="38" t="n">
        <x:f>L840*(1-T840/100)*(1-U840/100)</x:f>
        <x:v>275.20650223898</x:v>
      </x:c>
      <x:c r="W840" s="38" t="n">
        <x:f>G840*N840</x:f>
        <x:v>169600.43939999997</x:v>
      </x:c>
      <x:c r="X840" s="38" t="n">
        <x:f>H840*O840</x:f>
        <x:v>39880.44864</x:v>
      </x:c>
      <x:c r="Y840" s="38" t="n">
        <x:f>I840*P840</x:f>
        <x:v>12872.7984</x:v>
      </x:c>
      <x:c r="Z840" s="38" t="n">
        <x:f>J840*Q840+K840*P840</x:f>
        <x:v>2598.8226600000003</x:v>
      </x:c>
      <x:c r="AA840" s="38" t="n">
        <x:f>M840*R840</x:f>
        <x:v>22175.520255000003</x:v>
      </x:c>
      <x:c r="AB840" s="38" t="n">
        <x:f>SUM(W840:AA840)</x:f>
        <x:v>247128.029355</x:v>
      </x:c>
      <x:c r="AC840" s="38" t="n">
        <x:v>16.54</x:v>
      </x:c>
      <x:c r="AD840" s="38" t="n">
        <x:v>174.33</x:v>
      </x:c>
      <x:c r="AE840" s="38" t="n">
        <x:v>107.81</x:v>
      </x:c>
      <x:c r="AF840" s="38" t="n">
        <x:v>4.8148</x:v>
      </x:c>
      <x:c r="AG840" s="38" t="n">
        <x:v>5.59</x:v>
      </x:c>
      <x:c r="AH840" s="38" t="n">
        <x:f>IF(E840="Fason",L840*S840,0)</x:f>
        <x:v>47812.21289</x:v>
      </x:c>
      <x:c r="AI840" s="38" t="n">
        <x:f>IF(E840="Kurum içi",AC840*AD840+AE840*AF840+AB840*12%,0)</x:f>
        <x:v>0</x:v>
      </x:c>
      <x:c r="AJ840" s="38" t="n">
        <x:f>V840*AG840</x:f>
        <x:v>1538.4043475158983</x:v>
      </x:c>
      <x:c r="AK840" s="38" t="n">
        <x:f>AB840*2%</x:f>
        <x:v>4942.5605871</x:v>
      </x:c>
      <x:c r="AL840" s="38" t="n">
        <x:f>AB840+AH840+AI840+AJ840+AK840</x:f>
        <x:v>301421.2071796159</x:v>
      </x:c>
      <x:c r="AM840" s="38" t="n">
        <x:f>AL840/V840</x:f>
        <x:v>1095.254671409878</x:v>
      </x:c>
      <x:c r="AN840" s="40" t="n">
        <x:f>(W840+X840)/AL840*100</x:f>
        <x:v>69.49772711751201</x:v>
      </x:c>
      <x:c r="AO840" s="28" t="str">
        <x:v>R01-R20; ilgili satırdaki bölgesel fiyat ve maliyet varsayımları</x:v>
      </x:c>
      <x:c r="AP840" s="28" t="str">
        <x:v>Girdi miktarları, alım fiyatı değişimi, fason bedeli ve parti sonucu simüle edilmiştir; işletme kaydı değildir.</x:v>
      </x:c>
    </x:row>
    <x:row r="841" ht="22" customHeight="1">
      <x:c r="A841" t="str">
        <x:v>SUC-0840</x:v>
      </x:c>
      <x:c r="B841" s="36" t="n">
        <x:v>46310</x:v>
      </x:c>
      <x:c r="C841" t="str">
        <x:v>Güneydoğu Anadolu</x:v>
      </x:c>
      <x:c r="D841" t="str">
        <x:v>MEB_STANDART</x:v>
      </x:c>
      <x:c r="E841" t="str">
        <x:v>Kurum içi</x:v>
      </x:c>
      <x:c r="F841" s="42" t="str">
        <x:v>SENTETİK/SİMÜLE — gerçek parti kaydı değildir</x:v>
      </x:c>
      <x:c r="G841" s="38" t="n">
        <x:v>105.183</x:v>
      </x:c>
      <x:c r="H841" s="38" t="n">
        <x:v>33.825</x:v>
      </x:c>
      <x:c r="I841" s="38" t="n">
        <x:v>7.208</x:v>
      </x:c>
      <x:c r="J841" s="38" t="n">
        <x:v>3.59</x:v>
      </x:c>
      <x:c r="K841" s="38" t="n">
        <x:v>1.333</x:v>
      </x:c>
      <x:c r="L841" s="38" t="n">
        <x:f>SUM(G841:K841)</x:f>
        <x:v>151.139</x:v>
      </x:c>
      <x:c r="M841" s="38" t="n">
        <x:v>196.907</x:v>
      </x:c>
      <x:c r="N841" s="38" t="n">
        <x:v>579.61</x:v>
      </x:c>
      <x:c r="O841" s="38" t="n">
        <x:v>438.37</x:v>
      </x:c>
      <x:c r="P841" s="38" t="n">
        <x:v>669.9</x:v>
      </x:c>
      <x:c r="Q841" s="38" t="n">
        <x:v>19.88</x:v>
      </x:c>
      <x:c r="R841" s="38" t="n">
        <x:v>43.7475</x:v>
      </x:c>
      <x:c r="S841" s="38" t="n">
        <x:v>83.14</x:v>
      </x:c>
      <x:c r="T841" s="40" t="n">
        <x:v>17.77</x:v>
      </x:c>
      <x:c r="U841" s="40" t="n">
        <x:v>1.22</x:v>
      </x:c>
      <x:c r="V841" s="38" t="n">
        <x:f>L841*(1-T841/100)*(1-U841/100)</x:f>
        <x:v>122.76536418366001</x:v>
      </x:c>
      <x:c r="W841" s="38" t="n">
        <x:f>G841*N841</x:f>
        <x:v>60965.118630000004</x:v>
      </x:c>
      <x:c r="X841" s="38" t="n">
        <x:f>H841*O841</x:f>
        <x:v>14827.86525</x:v>
      </x:c>
      <x:c r="Y841" s="38" t="n">
        <x:f>I841*P841</x:f>
        <x:v>4828.6392</x:v>
      </x:c>
      <x:c r="Z841" s="38" t="n">
        <x:f>J841*Q841+K841*P841</x:f>
        <x:v>964.3458999999999</x:v>
      </x:c>
      <x:c r="AA841" s="38" t="n">
        <x:f>M841*R841</x:f>
        <x:v>8614.188982500002</x:v>
      </x:c>
      <x:c r="AB841" s="38" t="n">
        <x:f>SUM(W841:AA841)</x:f>
        <x:v>90200.1579625</x:v>
      </x:c>
      <x:c r="AC841" s="38" t="n">
        <x:v>10.49</x:v>
      </x:c>
      <x:c r="AD841" s="38" t="n">
        <x:v>174.33</x:v>
      </x:c>
      <x:c r="AE841" s="38" t="n">
        <x:v>41.92</x:v>
      </x:c>
      <x:c r="AF841" s="38" t="n">
        <x:v>4.8148</x:v>
      </x:c>
      <x:c r="AG841" s="38" t="n">
        <x:v>5.79</x:v>
      </x:c>
      <x:c r="AH841" s="38" t="n">
        <x:f>IF(E841="Fason",L841*S841,0)</x:f>
        <x:v>0</x:v>
      </x:c>
      <x:c r="AI841" s="38" t="n">
        <x:f>IF(E841="Kurum içi",AC841*AD841+AE841*AF841+AB841*12%,0)</x:f>
        <x:v>12854.5770715</x:v>
      </x:c>
      <x:c r="AJ841" s="38" t="n">
        <x:f>V841*AG841</x:f>
        <x:v>710.8114586233914</x:v>
      </x:c>
      <x:c r="AK841" s="38" t="n">
        <x:f>AB841*2%</x:f>
        <x:v>1804.00315925</x:v>
      </x:c>
      <x:c r="AL841" s="38" t="n">
        <x:f>AB841+AH841+AI841+AJ841+AK841</x:f>
        <x:v>105569.54965187339</x:v>
      </x:c>
      <x:c r="AM841" s="38" t="n">
        <x:f>AL841/V841</x:f>
        <x:v>859.9294300462363</x:v>
      </x:c>
      <x:c r="AN841" s="40" t="n">
        <x:f>(W841+X841)/AL841*100</x:f>
        <x:v>71.7943612811983</x:v>
      </x:c>
      <x:c r="AO841" s="28" t="str">
        <x:v>R01-R20; ilgili satırdaki bölgesel fiyat ve maliyet varsayımları</x:v>
      </x:c>
      <x:c r="AP841" s="28" t="str">
        <x:v>Girdi miktarları, alım fiyatı değişimi, fason bedeli ve parti sonucu simüle edilmiştir; işletme kaydı değildir.</x:v>
      </x:c>
    </x:row>
    <x:row r="842" ht="22" customHeight="1">
      <x:c r="A842" t="str">
        <x:v>SUC-0841</x:v>
      </x:c>
      <x:c r="B842" s="36" t="n">
        <x:v>46298</x:v>
      </x:c>
      <x:c r="C842" t="str">
        <x:v>Güneydoğu Anadolu</x:v>
      </x:c>
      <x:c r="D842" t="str">
        <x:v>MEB_STANDART</x:v>
      </x:c>
      <x:c r="E842" t="str">
        <x:v>Kurum içi</x:v>
      </x:c>
      <x:c r="F842" s="42" t="str">
        <x:v>SENTETİK/SİMÜLE — gerçek parti kaydı değildir</x:v>
      </x:c>
      <x:c r="G842" s="38" t="n">
        <x:v>144.017</x:v>
      </x:c>
      <x:c r="H842" s="38" t="n">
        <x:v>45.632</x:v>
      </x:c>
      <x:c r="I842" s="38" t="n">
        <x:v>8.55</x:v>
      </x:c>
      <x:c r="J842" s="38" t="n">
        <x:v>5.463</x:v>
      </x:c>
      <x:c r="K842" s="38" t="n">
        <x:v>2.114</x:v>
      </x:c>
      <x:c r="L842" s="38" t="n">
        <x:f>SUM(G842:K842)</x:f>
        <x:v>205.776</x:v>
      </x:c>
      <x:c r="M842" s="38" t="n">
        <x:v>255.425</x:v>
      </x:c>
      <x:c r="N842" s="38" t="n">
        <x:v>592.48</x:v>
      </x:c>
      <x:c r="O842" s="38" t="n">
        <x:v>470.89</x:v>
      </x:c>
      <x:c r="P842" s="38" t="n">
        <x:v>400</x:v>
      </x:c>
      <x:c r="Q842" s="38" t="n">
        <x:v>19.88</x:v>
      </x:c>
      <x:c r="R842" s="38" t="n">
        <x:v>43.7475</x:v>
      </x:c>
      <x:c r="S842" s="38" t="n">
        <x:v>105.45</x:v>
      </x:c>
      <x:c r="T842" s="40" t="n">
        <x:v>26.03</x:v>
      </x:c>
      <x:c r="U842" s="40" t="n">
        <x:v>1</x:v>
      </x:c>
      <x:c r="V842" s="38" t="n">
        <x:f>L842*(1-T842/100)*(1-U842/100)</x:f>
        <x:v>150.690382128</x:v>
      </x:c>
      <x:c r="W842" s="38" t="n">
        <x:f>G842*N842</x:f>
        <x:v>85327.19216</x:v>
      </x:c>
      <x:c r="X842" s="38" t="n">
        <x:f>H842*O842</x:f>
        <x:v>21487.652479999997</x:v>
      </x:c>
      <x:c r="Y842" s="38" t="n">
        <x:f>I842*P842</x:f>
        <x:v>3420.0000000000005</x:v>
      </x:c>
      <x:c r="Z842" s="38" t="n">
        <x:f>J842*Q842+K842*P842</x:f>
        <x:v>954.2044399999999</x:v>
      </x:c>
      <x:c r="AA842" s="38" t="n">
        <x:f>M842*R842</x:f>
        <x:v>11174.205187500002</x:v>
      </x:c>
      <x:c r="AB842" s="38" t="n">
        <x:f>SUM(W842:AA842)</x:f>
        <x:v>122363.2542675</x:v>
      </x:c>
      <x:c r="AC842" s="38" t="n">
        <x:v>12.97</x:v>
      </x:c>
      <x:c r="AD842" s="38" t="n">
        <x:v>174.33</x:v>
      </x:c>
      <x:c r="AE842" s="38" t="n">
        <x:v>87.12</x:v>
      </x:c>
      <x:c r="AF842" s="38" t="n">
        <x:v>4.8148</x:v>
      </x:c>
      <x:c r="AG842" s="38" t="n">
        <x:v>5.23</x:v>
      </x:c>
      <x:c r="AH842" s="38" t="n">
        <x:f>IF(E842="Fason",L842*S842,0)</x:f>
        <x:v>0</x:v>
      </x:c>
      <x:c r="AI842" s="38" t="n">
        <x:f>IF(E842="Kurum içi",AC842*AD842+AE842*AF842+AB842*12%,0)</x:f>
        <x:v>17364.1159881</x:v>
      </x:c>
      <x:c r="AJ842" s="38" t="n">
        <x:f>V842*AG842</x:f>
        <x:v>788.1106985294401</x:v>
      </x:c>
      <x:c r="AK842" s="38" t="n">
        <x:f>AB842*2%</x:f>
        <x:v>2447.26508535</x:v>
      </x:c>
      <x:c r="AL842" s="38" t="n">
        <x:f>AB842+AH842+AI842+AJ842+AK842</x:f>
        <x:v>142962.74603947942</x:v>
      </x:c>
      <x:c r="AM842" s="38" t="n">
        <x:f>AL842/V842</x:f>
        <x:v>948.7184518388403</x:v>
      </x:c>
      <x:c r="AN842" s="40" t="n">
        <x:f>(W842+X842)/AL842*100</x:f>
        <x:v>74.71516013724504</x:v>
      </x:c>
      <x:c r="AO842" s="28" t="str">
        <x:v>R01-R20; ilgili satırdaki bölgesel fiyat ve maliyet varsayımları</x:v>
      </x:c>
      <x:c r="AP842" s="28" t="str">
        <x:v>Girdi miktarları, alım fiyatı değişimi, fason bedeli ve parti sonucu simüle edilmiştir; işletme kaydı değildir.</x:v>
      </x:c>
    </x:row>
    <x:row r="843" ht="22" customHeight="1">
      <x:c r="A843" t="str">
        <x:v>SUC-0842</x:v>
      </x:c>
      <x:c r="B843" s="36" t="n">
        <x:v>46277</x:v>
      </x:c>
      <x:c r="C843" t="str">
        <x:v>Doğu Anadolu</x:v>
      </x:c>
      <x:c r="D843" t="str">
        <x:v>ERZURUM_CI</x:v>
      </x:c>
      <x:c r="E843" t="str">
        <x:v>Fason</x:v>
      </x:c>
      <x:c r="F843" s="42" t="str">
        <x:v>SENTETİK/SİMÜLE — gerçek parti kaydı değildir</x:v>
      </x:c>
      <x:c r="G843" s="38" t="n">
        <x:v>144.051</x:v>
      </x:c>
      <x:c r="H843" s="38" t="n">
        <x:v>26.104</x:v>
      </x:c>
      <x:c r="I843" s="38" t="n">
        <x:v>8.88</x:v>
      </x:c>
      <x:c r="J843" s="38" t="n">
        <x:v>2.537</x:v>
      </x:c>
      <x:c r="K843" s="38" t="n">
        <x:v>0.085</x:v>
      </x:c>
      <x:c r="L843" s="38" t="n">
        <x:f>SUM(G843:K843)</x:f>
        <x:v>181.65699999999998</x:v>
      </x:c>
      <x:c r="M843" s="38" t="n">
        <x:v>233.366</x:v>
      </x:c>
      <x:c r="N843" s="38" t="n">
        <x:v>579.6</x:v>
      </x:c>
      <x:c r="O843" s="38" t="n">
        <x:v>445.7</x:v>
      </x:c>
      <x:c r="P843" s="38" t="n">
        <x:v>669.9</x:v>
      </x:c>
      <x:c r="Q843" s="38" t="n">
        <x:v>19.88</x:v>
      </x:c>
      <x:c r="R843" s="38" t="n">
        <x:v>43.7475</x:v>
      </x:c>
      <x:c r="S843" s="38" t="n">
        <x:v>92.28</x:v>
      </x:c>
      <x:c r="T843" s="40" t="n">
        <x:v>19.76</x:v>
      </x:c>
      <x:c r="U843" s="40" t="n">
        <x:v>0.89</x:v>
      </x:c>
      <x:c r="V843" s="38" t="n">
        <x:f>L843*(1-T843/100)*(1-U843/100)</x:f>
        <x:v>144.46429876648</x:v>
      </x:c>
      <x:c r="W843" s="38" t="n">
        <x:f>G843*N843</x:f>
        <x:v>83491.9596</x:v>
      </x:c>
      <x:c r="X843" s="38" t="n">
        <x:f>H843*O843</x:f>
        <x:v>11634.5528</x:v>
      </x:c>
      <x:c r="Y843" s="38" t="n">
        <x:f>I843*P843</x:f>
        <x:v>5948.712</x:v>
      </x:c>
      <x:c r="Z843" s="38" t="n">
        <x:f>J843*Q843+K843*P843</x:f>
        <x:v>107.37706</x:v>
      </x:c>
      <x:c r="AA843" s="38" t="n">
        <x:f>M843*R843</x:f>
        <x:v>10209.179085000002</x:v>
      </x:c>
      <x:c r="AB843" s="38" t="n">
        <x:f>SUM(W843:AA843)</x:f>
        <x:v>111391.780545</x:v>
      </x:c>
      <x:c r="AC843" s="38" t="n">
        <x:v>7.97</x:v>
      </x:c>
      <x:c r="AD843" s="38" t="n">
        <x:v>174.33</x:v>
      </x:c>
      <x:c r="AE843" s="38" t="n">
        <x:v>79.24</x:v>
      </x:c>
      <x:c r="AF843" s="38" t="n">
        <x:v>4.8148</x:v>
      </x:c>
      <x:c r="AG843" s="38" t="n">
        <x:v>5.75</x:v>
      </x:c>
      <x:c r="AH843" s="38" t="n">
        <x:f>IF(E843="Fason",L843*S843,0)</x:f>
        <x:v>16763.30796</x:v>
      </x:c>
      <x:c r="AI843" s="38" t="n">
        <x:f>IF(E843="Kurum içi",AC843*AD843+AE843*AF843+AB843*12%,0)</x:f>
        <x:v>0</x:v>
      </x:c>
      <x:c r="AJ843" s="38" t="n">
        <x:f>V843*AG843</x:f>
        <x:v>830.66971790726</x:v>
      </x:c>
      <x:c r="AK843" s="38" t="n">
        <x:f>AB843*2%</x:f>
        <x:v>2227.8356109</x:v>
      </x:c>
      <x:c r="AL843" s="38" t="n">
        <x:f>AB843+AH843+AI843+AJ843+AK843</x:f>
        <x:v>131213.59383380724</x:v>
      </x:c>
      <x:c r="AM843" s="38" t="n">
        <x:f>AL843/V843</x:f>
        <x:v>908.2769580732751</x:v>
      </x:c>
      <x:c r="AN843" s="40" t="n">
        <x:f>(W843+X843)/AL843*100</x:f>
        <x:v>72.49745214698221</x:v>
      </x:c>
      <x:c r="AO843" s="28" t="str">
        <x:v>R01-R20; ilgili satırdaki bölgesel fiyat ve maliyet varsayımları</x:v>
      </x:c>
      <x:c r="AP843" s="28" t="str">
        <x:v>Girdi miktarları, alım fiyatı değişimi, fason bedeli ve parti sonucu simüle edilmiştir; işletme kaydı değildir.</x:v>
      </x:c>
    </x:row>
    <x:row r="844" ht="22" customHeight="1">
      <x:c r="A844" t="str">
        <x:v>SUC-0843</x:v>
      </x:c>
      <x:c r="B844" s="36" t="n">
        <x:v>46290</x:v>
      </x:c>
      <x:c r="C844" t="str">
        <x:v>Marmara</x:v>
      </x:c>
      <x:c r="D844" t="str">
        <x:v>MEB_STANDART</x:v>
      </x:c>
      <x:c r="E844" t="str">
        <x:v>Fason</x:v>
      </x:c>
      <x:c r="F844" s="42" t="str">
        <x:v>SENTETİK/SİMÜLE — gerçek parti kaydı değildir</x:v>
      </x:c>
      <x:c r="G844" s="38" t="n">
        <x:v>150.037</x:v>
      </x:c>
      <x:c r="H844" s="38" t="n">
        <x:v>47.014</x:v>
      </x:c>
      <x:c r="I844" s="38" t="n">
        <x:v>10.355</x:v>
      </x:c>
      <x:c r="J844" s="38" t="n">
        <x:v>5.584</x:v>
      </x:c>
      <x:c r="K844" s="38" t="n">
        <x:v>2.089</x:v>
      </x:c>
      <x:c r="L844" s="38" t="n">
        <x:f>SUM(G844:K844)</x:f>
        <x:v>215.079</x:v>
      </x:c>
      <x:c r="M844" s="38" t="n">
        <x:v>248.115</x:v>
      </x:c>
      <x:c r="N844" s="38" t="n">
        <x:v>599.96</x:v>
      </x:c>
      <x:c r="O844" s="38" t="n">
        <x:v>429.58</x:v>
      </x:c>
      <x:c r="P844" s="38" t="n">
        <x:v>550</x:v>
      </x:c>
      <x:c r="Q844" s="38" t="n">
        <x:v>19.88</x:v>
      </x:c>
      <x:c r="R844" s="38" t="n">
        <x:v>43.7475</x:v>
      </x:c>
      <x:c r="S844" s="38" t="n">
        <x:v>82.27</x:v>
      </x:c>
      <x:c r="T844" s="40" t="n">
        <x:v>18.58</x:v>
      </x:c>
      <x:c r="U844" s="40" t="n">
        <x:v>1.45</x:v>
      </x:c>
      <x:c r="V844" s="38" t="n">
        <x:f>L844*(1-T844/100)*(1-U844/100)</x:f>
        <x:v>172.57812063390003</x:v>
      </x:c>
      <x:c r="W844" s="38" t="n">
        <x:f>G844*N844</x:f>
        <x:v>90016.19852</x:v>
      </x:c>
      <x:c r="X844" s="38" t="n">
        <x:f>H844*O844</x:f>
        <x:v>20196.274120000002</x:v>
      </x:c>
      <x:c r="Y844" s="38" t="n">
        <x:f>I844*P844</x:f>
        <x:v>5695.25</x:v>
      </x:c>
      <x:c r="Z844" s="38" t="n">
        <x:f>J844*Q844+K844*P844</x:f>
        <x:v>1259.95992</x:v>
      </x:c>
      <x:c r="AA844" s="38" t="n">
        <x:f>M844*R844</x:f>
        <x:v>10854.4109625</x:v>
      </x:c>
      <x:c r="AB844" s="38" t="n">
        <x:f>SUM(W844:AA844)</x:f>
        <x:v>128022.0935225</x:v>
      </x:c>
      <x:c r="AC844" s="38" t="n">
        <x:v>13.34</x:v>
      </x:c>
      <x:c r="AD844" s="38" t="n">
        <x:v>174.33</x:v>
      </x:c>
      <x:c r="AE844" s="38" t="n">
        <x:v>71.86</x:v>
      </x:c>
      <x:c r="AF844" s="38" t="n">
        <x:v>4.8148</x:v>
      </x:c>
      <x:c r="AG844" s="38" t="n">
        <x:v>5.12</x:v>
      </x:c>
      <x:c r="AH844" s="38" t="n">
        <x:f>IF(E844="Fason",L844*S844,0)</x:f>
        <x:v>17694.549329999998</x:v>
      </x:c>
      <x:c r="AI844" s="38" t="n">
        <x:f>IF(E844="Kurum içi",AC844*AD844+AE844*AF844+AB844*12%,0)</x:f>
        <x:v>0</x:v>
      </x:c>
      <x:c r="AJ844" s="38" t="n">
        <x:f>V844*AG844</x:f>
        <x:v>883.5999776455682</x:v>
      </x:c>
      <x:c r="AK844" s="38" t="n">
        <x:f>AB844*2%</x:f>
        <x:v>2560.44187045</x:v>
      </x:c>
      <x:c r="AL844" s="38" t="n">
        <x:f>AB844+AH844+AI844+AJ844+AK844</x:f>
        <x:v>149160.68470059556</x:v>
      </x:c>
      <x:c r="AM844" s="38" t="n">
        <x:f>AL844/V844</x:f>
        <x:v>864.3081993981078</x:v>
      </x:c>
      <x:c r="AN844" s="40" t="n">
        <x:f>(W844+X844)/AL844*100</x:f>
        <x:v>73.88841963364892</x:v>
      </x:c>
      <x:c r="AO844" s="28" t="str">
        <x:v>R01-R20; ilgili satırdaki bölgesel fiyat ve maliyet varsayımları</x:v>
      </x:c>
      <x:c r="AP844" s="28" t="str">
        <x:v>Girdi miktarları, alım fiyatı değişimi, fason bedeli ve parti sonucu simüle edilmiştir; işletme kaydı değildir.</x:v>
      </x:c>
    </x:row>
    <x:row r="845" ht="22" customHeight="1">
      <x:c r="A845" t="str">
        <x:v>SUC-0844</x:v>
      </x:c>
      <x:c r="B845" s="36" t="n">
        <x:v>46270</x:v>
      </x:c>
      <x:c r="C845" t="str">
        <x:v>Akdeniz</x:v>
      </x:c>
      <x:c r="D845" t="str">
        <x:v>ERZURUM_CI</x:v>
      </x:c>
      <x:c r="E845" t="str">
        <x:v>Kurum içi</x:v>
      </x:c>
      <x:c r="F845" s="42" t="str">
        <x:v>SENTETİK/SİMÜLE — gerçek parti kaydı değildir</x:v>
      </x:c>
      <x:c r="G845" s="38" t="n">
        <x:v>99.48</x:v>
      </x:c>
      <x:c r="H845" s="38" t="n">
        <x:v>17.847</x:v>
      </x:c>
      <x:c r="I845" s="38" t="n">
        <x:v>5.906</x:v>
      </x:c>
      <x:c r="J845" s="38" t="n">
        <x:v>1.822</x:v>
      </x:c>
      <x:c r="K845" s="38" t="n">
        <x:v>0.013</x:v>
      </x:c>
      <x:c r="L845" s="38" t="n">
        <x:f>SUM(G845:K845)</x:f>
        <x:v>125.06800000000001</x:v>
      </x:c>
      <x:c r="M845" s="38" t="n">
        <x:v>164.822</x:v>
      </x:c>
      <x:c r="N845" s="38" t="n">
        <x:v>592.62</x:v>
      </x:c>
      <x:c r="O845" s="38" t="n">
        <x:v>418.59</x:v>
      </x:c>
      <x:c r="P845" s="38" t="n">
        <x:v>400</x:v>
      </x:c>
      <x:c r="Q845" s="38" t="n">
        <x:v>19.88</x:v>
      </x:c>
      <x:c r="R845" s="38" t="n">
        <x:v>43.7475</x:v>
      </x:c>
      <x:c r="S845" s="38" t="n">
        <x:v>108.87</x:v>
      </x:c>
      <x:c r="T845" s="40" t="n">
        <x:v>22.08</x:v>
      </x:c>
      <x:c r="U845" s="40" t="n">
        <x:v>0.96</x:v>
      </x:c>
      <x:c r="V845" s="38" t="n">
        <x:f>L845*(1-T845/100)*(1-U845/100)</x:f>
        <x:v>96.51743693824</x:v>
      </x:c>
      <x:c r="W845" s="38" t="n">
        <x:f>G845*N845</x:f>
        <x:v>58953.837600000006</x:v>
      </x:c>
      <x:c r="X845" s="38" t="n">
        <x:f>H845*O845</x:f>
        <x:v>7470.5757300000005</x:v>
      </x:c>
      <x:c r="Y845" s="38" t="n">
        <x:f>I845*P845</x:f>
        <x:v>2362.4</x:v>
      </x:c>
      <x:c r="Z845" s="38" t="n">
        <x:f>J845*Q845+K845*P845</x:f>
        <x:v>41.42136</x:v>
      </x:c>
      <x:c r="AA845" s="38" t="n">
        <x:f>M845*R845</x:f>
        <x:v>7210.550445000001</x:v>
      </x:c>
      <x:c r="AB845" s="38" t="n">
        <x:f>SUM(W845:AA845)</x:f>
        <x:v>76038.785135</x:v>
      </x:c>
      <x:c r="AC845" s="38" t="n">
        <x:v>8.38</x:v>
      </x:c>
      <x:c r="AD845" s="38" t="n">
        <x:v>174.33</x:v>
      </x:c>
      <x:c r="AE845" s="38" t="n">
        <x:v>48.04</x:v>
      </x:c>
      <x:c r="AF845" s="38" t="n">
        <x:v>4.8148</x:v>
      </x:c>
      <x:c r="AG845" s="38" t="n">
        <x:v>5.42</x:v>
      </x:c>
      <x:c r="AH845" s="38" t="n">
        <x:f>IF(E845="Fason",L845*S845,0)</x:f>
        <x:v>0</x:v>
      </x:c>
      <x:c r="AI845" s="38" t="n">
        <x:f>IF(E845="Kurum içi",AC845*AD845+AE845*AF845+AB845*12%,0)</x:f>
        <x:v>10816.842608199999</x:v>
      </x:c>
      <x:c r="AJ845" s="38" t="n">
        <x:f>V845*AG845</x:f>
        <x:v>523.1245082052608</x:v>
      </x:c>
      <x:c r="AK845" s="38" t="n">
        <x:f>AB845*2%</x:f>
        <x:v>1520.7757027</x:v>
      </x:c>
      <x:c r="AL845" s="38" t="n">
        <x:f>AB845+AH845+AI845+AJ845+AK845</x:f>
        <x:v>88899.52795410526</x:v>
      </x:c>
      <x:c r="AM845" s="38" t="n">
        <x:f>AL845/V845</x:f>
        <x:v>921.0721997413864</x:v>
      </x:c>
      <x:c r="AN845" s="40" t="n">
        <x:f>(W845+X845)/AL845*100</x:f>
        <x:v>74.71852197493318</x:v>
      </x:c>
      <x:c r="AO845" s="28" t="str">
        <x:v>R01-R20; ilgili satırdaki bölgesel fiyat ve maliyet varsayımları</x:v>
      </x:c>
      <x:c r="AP845" s="28" t="str">
        <x:v>Girdi miktarları, alım fiyatı değişimi, fason bedeli ve parti sonucu simüle edilmiştir; işletme kaydı değildir.</x:v>
      </x:c>
    </x:row>
    <x:row r="846" ht="22" customHeight="1">
      <x:c r="A846" t="str">
        <x:v>SUC-0845</x:v>
      </x:c>
      <x:c r="B846" s="36" t="n">
        <x:v>46314</x:v>
      </x:c>
      <x:c r="C846" t="str">
        <x:v>Karadeniz</x:v>
      </x:c>
      <x:c r="D846" t="str">
        <x:v>MEB_STANDART</x:v>
      </x:c>
      <x:c r="E846" t="str">
        <x:v>Fason</x:v>
      </x:c>
      <x:c r="F846" s="42" t="str">
        <x:v>SENTETİK/SİMÜLE — gerçek parti kaydı değildir</x:v>
      </x:c>
      <x:c r="G846" s="38" t="n">
        <x:v>165.275</x:v>
      </x:c>
      <x:c r="H846" s="38" t="n">
        <x:v>49.823</x:v>
      </x:c>
      <x:c r="I846" s="38" t="n">
        <x:v>10.222</x:v>
      </x:c>
      <x:c r="J846" s="38" t="n">
        <x:v>5.409</x:v>
      </x:c>
      <x:c r="K846" s="38" t="n">
        <x:v>2.629</x:v>
      </x:c>
      <x:c r="L846" s="38" t="n">
        <x:f>SUM(G846:K846)</x:f>
        <x:v>233.358</x:v>
      </x:c>
      <x:c r="M846" s="38" t="n">
        <x:v>299.092</x:v>
      </x:c>
      <x:c r="N846" s="38" t="n">
        <x:v>619.69</x:v>
      </x:c>
      <x:c r="O846" s="38" t="n">
        <x:v>445.04</x:v>
      </x:c>
      <x:c r="P846" s="38" t="n">
        <x:v>669.9</x:v>
      </x:c>
      <x:c r="Q846" s="38" t="n">
        <x:v>19.88</x:v>
      </x:c>
      <x:c r="R846" s="38" t="n">
        <x:v>43.7475</x:v>
      </x:c>
      <x:c r="S846" s="38" t="n">
        <x:v>108.39</x:v>
      </x:c>
      <x:c r="T846" s="40" t="n">
        <x:v>25.96</x:v>
      </x:c>
      <x:c r="U846" s="40" t="n">
        <x:v>0.75</x:v>
      </x:c>
      <x:c r="V846" s="38" t="n">
        <x:f>L846*(1-T846/100)*(1-U846/100)</x:f>
        <x:v>171.482426226</x:v>
      </x:c>
      <x:c r="W846" s="38" t="n">
        <x:f>G846*N846</x:f>
        <x:v>102419.26475000002</x:v>
      </x:c>
      <x:c r="X846" s="38" t="n">
        <x:f>H846*O846</x:f>
        <x:v>22173.22792</x:v>
      </x:c>
      <x:c r="Y846" s="38" t="n">
        <x:f>I846*P846</x:f>
        <x:v>6847.717799999999</x:v>
      </x:c>
      <x:c r="Z846" s="38" t="n">
        <x:f>J846*Q846+K846*P846</x:f>
        <x:v>1868.6980199999998</x:v>
      </x:c>
      <x:c r="AA846" s="38" t="n">
        <x:f>M846*R846</x:f>
        <x:v>13084.52727</x:v>
      </x:c>
      <x:c r="AB846" s="38" t="n">
        <x:f>SUM(W846:AA846)</x:f>
        <x:v>146393.43576000002</x:v>
      </x:c>
      <x:c r="AC846" s="38" t="n">
        <x:v>16.08</x:v>
      </x:c>
      <x:c r="AD846" s="38" t="n">
        <x:v>174.33</x:v>
      </x:c>
      <x:c r="AE846" s="38" t="n">
        <x:v>88</x:v>
      </x:c>
      <x:c r="AF846" s="38" t="n">
        <x:v>4.8148</x:v>
      </x:c>
      <x:c r="AG846" s="38" t="n">
        <x:v>5.57</x:v>
      </x:c>
      <x:c r="AH846" s="38" t="n">
        <x:f>IF(E846="Fason",L846*S846,0)</x:f>
        <x:v>25293.67362</x:v>
      </x:c>
      <x:c r="AI846" s="38" t="n">
        <x:f>IF(E846="Kurum içi",AC846*AD846+AE846*AF846+AB846*12%,0)</x:f>
        <x:v>0</x:v>
      </x:c>
      <x:c r="AJ846" s="38" t="n">
        <x:f>V846*AG846</x:f>
        <x:v>955.1571140788201</x:v>
      </x:c>
      <x:c r="AK846" s="38" t="n">
        <x:f>AB846*2%</x:f>
        <x:v>2927.8687152000007</x:v>
      </x:c>
      <x:c r="AL846" s="38" t="n">
        <x:f>AB846+AH846+AI846+AJ846+AK846</x:f>
        <x:v>175570.13520927884</x:v>
      </x:c>
      <x:c r="AM846" s="38" t="n">
        <x:f>AL846/V846</x:f>
        <x:v>1023.8374804534873</x:v>
      </x:c>
      <x:c r="AN846" s="40" t="n">
        <x:f>(W846+X846)/AL846*100</x:f>
        <x:v>70.96451370928564</x:v>
      </x:c>
      <x:c r="AO846" s="28" t="str">
        <x:v>R01-R20; ilgili satırdaki bölgesel fiyat ve maliyet varsayımları</x:v>
      </x:c>
      <x:c r="AP846" s="28" t="str">
        <x:v>Girdi miktarları, alım fiyatı değişimi, fason bedeli ve parti sonucu simüle edilmiştir; işletme kaydı değildir.</x:v>
      </x:c>
    </x:row>
    <x:row r="847" ht="22" customHeight="1">
      <x:c r="A847" t="str">
        <x:v>SUC-0846</x:v>
      </x:c>
      <x:c r="B847" s="36" t="n">
        <x:v>46293</x:v>
      </x:c>
      <x:c r="C847" t="str">
        <x:v>İç Anadolu</x:v>
      </x:c>
      <x:c r="D847" t="str">
        <x:v>ERZURUM_CI</x:v>
      </x:c>
      <x:c r="E847" t="str">
        <x:v>Kurum içi</x:v>
      </x:c>
      <x:c r="F847" s="42" t="str">
        <x:v>SENTETİK/SİMÜLE — gerçek parti kaydı değildir</x:v>
      </x:c>
      <x:c r="G847" s="38" t="n">
        <x:v>102.282</x:v>
      </x:c>
      <x:c r="H847" s="38" t="n">
        <x:v>17.109</x:v>
      </x:c>
      <x:c r="I847" s="38" t="n">
        <x:v>6.243</x:v>
      </x:c>
      <x:c r="J847" s="38" t="n">
        <x:v>2.045</x:v>
      </x:c>
      <x:c r="K847" s="38" t="n">
        <x:v>0.278</x:v>
      </x:c>
      <x:c r="L847" s="38" t="n">
        <x:f>SUM(G847:K847)</x:f>
        <x:v>127.957</x:v>
      </x:c>
      <x:c r="M847" s="38" t="n">
        <x:v>151.315</x:v>
      </x:c>
      <x:c r="N847" s="38" t="n">
        <x:v>575.3</x:v>
      </x:c>
      <x:c r="O847" s="38" t="n">
        <x:v>473.5</x:v>
      </x:c>
      <x:c r="P847" s="38" t="n">
        <x:v>400</x:v>
      </x:c>
      <x:c r="Q847" s="38" t="n">
        <x:v>19.88</x:v>
      </x:c>
      <x:c r="R847" s="38" t="n">
        <x:v>43.7475</x:v>
      </x:c>
      <x:c r="S847" s="38" t="n">
        <x:v>93.26</x:v>
      </x:c>
      <x:c r="T847" s="40" t="n">
        <x:v>27.19</x:v>
      </x:c>
      <x:c r="U847" s="40" t="n">
        <x:v>1.44</x:v>
      </x:c>
      <x:c r="V847" s="38" t="n">
        <x:f>L847*(1-T847/100)*(1-U847/100)</x:f>
        <x:v>91.82390861952</x:v>
      </x:c>
      <x:c r="W847" s="38" t="n">
        <x:f>G847*N847</x:f>
        <x:v>58842.834599999995</x:v>
      </x:c>
      <x:c r="X847" s="38" t="n">
        <x:f>H847*O847</x:f>
        <x:v>8101.111500000001</x:v>
      </x:c>
      <x:c r="Y847" s="38" t="n">
        <x:f>I847*P847</x:f>
        <x:v>2497.2000000000003</x:v>
      </x:c>
      <x:c r="Z847" s="38" t="n">
        <x:f>J847*Q847+K847*P847</x:f>
        <x:v>151.8546</x:v>
      </x:c>
      <x:c r="AA847" s="38" t="n">
        <x:f>M847*R847</x:f>
        <x:v>6619.6529625</x:v>
      </x:c>
      <x:c r="AB847" s="38" t="n">
        <x:f>SUM(W847:AA847)</x:f>
        <x:v>76212.6536625</x:v>
      </x:c>
      <x:c r="AC847" s="38" t="n">
        <x:v>4.93</x:v>
      </x:c>
      <x:c r="AD847" s="38" t="n">
        <x:v>174.33</x:v>
      </x:c>
      <x:c r="AE847" s="38" t="n">
        <x:v>57.98</x:v>
      </x:c>
      <x:c r="AF847" s="38" t="n">
        <x:v>4.8148</x:v>
      </x:c>
      <x:c r="AG847" s="38" t="n">
        <x:v>5.83</x:v>
      </x:c>
      <x:c r="AH847" s="38" t="n">
        <x:f>IF(E847="Fason",L847*S847,0)</x:f>
        <x:v>0</x:v>
      </x:c>
      <x:c r="AI847" s="38" t="n">
        <x:f>IF(E847="Kurum içi",AC847*AD847+AE847*AF847+AB847*12%,0)</x:f>
        <x:v>10284.1274435</x:v>
      </x:c>
      <x:c r="AJ847" s="38" t="n">
        <x:f>V847*AG847</x:f>
        <x:v>535.3333872518016</x:v>
      </x:c>
      <x:c r="AK847" s="38" t="n">
        <x:f>AB847*2%</x:f>
        <x:v>1524.25307325</x:v>
      </x:c>
      <x:c r="AL847" s="38" t="n">
        <x:f>AB847+AH847+AI847+AJ847+AK847</x:f>
        <x:v>88556.3675665018</x:v>
      </x:c>
      <x:c r="AM847" s="38" t="n">
        <x:f>AL847/V847</x:f>
        <x:v>964.4151386916284</x:v>
      </x:c>
      <x:c r="AN847" s="40" t="n">
        <x:f>(W847+X847)/AL847*100</x:f>
        <x:v>75.59472902920069</x:v>
      </x:c>
      <x:c r="AO847" s="28" t="str">
        <x:v>R01-R20; ilgili satırdaki bölgesel fiyat ve maliyet varsayımları</x:v>
      </x:c>
      <x:c r="AP847" s="28" t="str">
        <x:v>Girdi miktarları, alım fiyatı değişimi, fason bedeli ve parti sonucu simüle edilmiştir; işletme kaydı değildir.</x:v>
      </x:c>
    </x:row>
    <x:row r="848" ht="22" customHeight="1">
      <x:c r="A848" t="str">
        <x:v>SUC-0847</x:v>
      </x:c>
      <x:c r="B848" s="36" t="n">
        <x:v>46289</x:v>
      </x:c>
      <x:c r="C848" t="str">
        <x:v>Marmara</x:v>
      </x:c>
      <x:c r="D848" t="str">
        <x:v>ERZURUM_CI</x:v>
      </x:c>
      <x:c r="E848" t="str">
        <x:v>Kurum içi</x:v>
      </x:c>
      <x:c r="F848" s="42" t="str">
        <x:v>SENTETİK/SİMÜLE — gerçek parti kaydı değildir</x:v>
      </x:c>
      <x:c r="G848" s="38" t="n">
        <x:v>254.5</x:v>
      </x:c>
      <x:c r="H848" s="38" t="n">
        <x:v>44.118</x:v>
      </x:c>
      <x:c r="I848" s="38" t="n">
        <x:v>15.853</x:v>
      </x:c>
      <x:c r="J848" s="38" t="n">
        <x:v>5.662</x:v>
      </x:c>
      <x:c r="K848" s="38" t="n">
        <x:v>0.735</x:v>
      </x:c>
      <x:c r="L848" s="38" t="n">
        <x:f>SUM(G848:K848)</x:f>
        <x:v>320.868</x:v>
      </x:c>
      <x:c r="M848" s="38" t="n">
        <x:v>378.849</x:v>
      </x:c>
      <x:c r="N848" s="38" t="n">
        <x:v>623.34</x:v>
      </x:c>
      <x:c r="O848" s="38" t="n">
        <x:v>442.63</x:v>
      </x:c>
      <x:c r="P848" s="38" t="n">
        <x:v>400</x:v>
      </x:c>
      <x:c r="Q848" s="38" t="n">
        <x:v>19.88</x:v>
      </x:c>
      <x:c r="R848" s="38" t="n">
        <x:v>43.7475</x:v>
      </x:c>
      <x:c r="S848" s="38" t="n">
        <x:v>101.58</x:v>
      </x:c>
      <x:c r="T848" s="40" t="n">
        <x:v>29.19</x:v>
      </x:c>
      <x:c r="U848" s="40" t="n">
        <x:v>1.65</x:v>
      </x:c>
      <x:c r="V848" s="38" t="n">
        <x:f>L848*(1-T848/100)*(1-U848/100)</x:f>
        <x:v>223.4577213918</x:v>
      </x:c>
      <x:c r="W848" s="38" t="n">
        <x:f>G848*N848</x:f>
        <x:v>158640.03</x:v>
      </x:c>
      <x:c r="X848" s="38" t="n">
        <x:f>H848*O848</x:f>
        <x:v>19527.95034</x:v>
      </x:c>
      <x:c r="Y848" s="38" t="n">
        <x:f>I848*P848</x:f>
        <x:v>6341.2</x:v>
      </x:c>
      <x:c r="Z848" s="38" t="n">
        <x:f>J848*Q848+K848*P848</x:f>
        <x:v>406.56056</x:v>
      </x:c>
      <x:c r="AA848" s="38" t="n">
        <x:f>M848*R848</x:f>
        <x:v>16573.6966275</x:v>
      </x:c>
      <x:c r="AB848" s="38" t="n">
        <x:f>SUM(W848:AA848)</x:f>
        <x:v>201489.43752750003</x:v>
      </x:c>
      <x:c r="AC848" s="38" t="n">
        <x:v>11.89</x:v>
      </x:c>
      <x:c r="AD848" s="38" t="n">
        <x:v>174.33</x:v>
      </x:c>
      <x:c r="AE848" s="38" t="n">
        <x:v>82.71</x:v>
      </x:c>
      <x:c r="AF848" s="38" t="n">
        <x:v>4.8148</x:v>
      </x:c>
      <x:c r="AG848" s="38" t="n">
        <x:v>5.77</x:v>
      </x:c>
      <x:c r="AH848" s="38" t="n">
        <x:f>IF(E848="Fason",L848*S848,0)</x:f>
        <x:v>0</x:v>
      </x:c>
      <x:c r="AI848" s="38" t="n">
        <x:f>IF(E848="Kurum içi",AC848*AD848+AE848*AF848+AB848*12%,0)</x:f>
        <x:v>26649.7483113</x:v>
      </x:c>
      <x:c r="AJ848" s="38" t="n">
        <x:f>V848*AG848</x:f>
        <x:v>1289.351052430686</x:v>
      </x:c>
      <x:c r="AK848" s="38" t="n">
        <x:f>AB848*2%</x:f>
        <x:v>4029.7887505500007</x:v>
      </x:c>
      <x:c r="AL848" s="38" t="n">
        <x:f>AB848+AH848+AI848+AJ848+AK848</x:f>
        <x:v>233458.32564178074</x:v>
      </x:c>
      <x:c r="AM848" s="38" t="n">
        <x:f>AL848/V848</x:f>
        <x:v>1044.7538988032827</x:v>
      </x:c>
      <x:c r="AN848" s="40" t="n">
        <x:f>(W848+X848)/AL848*100</x:f>
        <x:v>76.31682436264087</x:v>
      </x:c>
      <x:c r="AO848" s="28" t="str">
        <x:v>R01-R20; ilgili satırdaki bölgesel fiyat ve maliyet varsayımları</x:v>
      </x:c>
      <x:c r="AP848" s="28" t="str">
        <x:v>Girdi miktarları, alım fiyatı değişimi, fason bedeli ve parti sonucu simüle edilmiştir; işletme kaydı değildir.</x:v>
      </x:c>
    </x:row>
    <x:row r="849" ht="22" customHeight="1">
      <x:c r="A849" t="str">
        <x:v>SUC-0848</x:v>
      </x:c>
      <x:c r="B849" s="36" t="n">
        <x:v>46299</x:v>
      </x:c>
      <x:c r="C849" t="str">
        <x:v>Akdeniz</x:v>
      </x:c>
      <x:c r="D849" t="str">
        <x:v>MEB_STANDART</x:v>
      </x:c>
      <x:c r="E849" t="str">
        <x:v>Kurum içi</x:v>
      </x:c>
      <x:c r="F849" s="42" t="str">
        <x:v>SENTETİK/SİMÜLE — gerçek parti kaydı değildir</x:v>
      </x:c>
      <x:c r="G849" s="38" t="n">
        <x:v>150.597</x:v>
      </x:c>
      <x:c r="H849" s="38" t="n">
        <x:v>49.711</x:v>
      </x:c>
      <x:c r="I849" s="38" t="n">
        <x:v>10.042</x:v>
      </x:c>
      <x:c r="J849" s="38" t="n">
        <x:v>5.017</x:v>
      </x:c>
      <x:c r="K849" s="38" t="n">
        <x:v>2.072</x:v>
      </x:c>
      <x:c r="L849" s="38" t="n">
        <x:f>SUM(G849:K849)</x:f>
        <x:v>217.439</x:v>
      </x:c>
      <x:c r="M849" s="38" t="n">
        <x:v>249.789</x:v>
      </x:c>
      <x:c r="N849" s="38" t="n">
        <x:v>575.59</x:v>
      </x:c>
      <x:c r="O849" s="38" t="n">
        <x:v>450.32</x:v>
      </x:c>
      <x:c r="P849" s="38" t="n">
        <x:v>669.9</x:v>
      </x:c>
      <x:c r="Q849" s="38" t="n">
        <x:v>19.88</x:v>
      </x:c>
      <x:c r="R849" s="38" t="n">
        <x:v>43.7475</x:v>
      </x:c>
      <x:c r="S849" s="38" t="n">
        <x:v>91.34</x:v>
      </x:c>
      <x:c r="T849" s="40" t="n">
        <x:v>20.01</x:v>
      </x:c>
      <x:c r="U849" s="40" t="n">
        <x:v>0.84</x:v>
      </x:c>
      <x:c r="V849" s="38" t="n">
        <x:f>L849*(1-T849/100)*(1-U849/100)</x:f>
        <x:v>172.46844866875998</x:v>
      </x:c>
      <x:c r="W849" s="38" t="n">
        <x:f>G849*N849</x:f>
        <x:v>86682.12723000001</x:v>
      </x:c>
      <x:c r="X849" s="38" t="n">
        <x:f>H849*O849</x:f>
        <x:v>22385.857519999998</x:v>
      </x:c>
      <x:c r="Y849" s="38" t="n">
        <x:f>I849*P849</x:f>
        <x:v>6727.1358</x:v>
      </x:c>
      <x:c r="Z849" s="38" t="n">
        <x:f>J849*Q849+K849*P849</x:f>
        <x:v>1487.7707599999999</x:v>
      </x:c>
      <x:c r="AA849" s="38" t="n">
        <x:f>M849*R849</x:f>
        <x:v>10927.6442775</x:v>
      </x:c>
      <x:c r="AB849" s="38" t="n">
        <x:f>SUM(W849:AA849)</x:f>
        <x:v>128210.53558750001</x:v>
      </x:c>
      <x:c r="AC849" s="38" t="n">
        <x:v>7.84</x:v>
      </x:c>
      <x:c r="AD849" s="38" t="n">
        <x:v>174.33</x:v>
      </x:c>
      <x:c r="AE849" s="38" t="n">
        <x:v>78.11</x:v>
      </x:c>
      <x:c r="AF849" s="38" t="n">
        <x:v>4.8148</x:v>
      </x:c>
      <x:c r="AG849" s="38" t="n">
        <x:v>5.56</x:v>
      </x:c>
      <x:c r="AH849" s="38" t="n">
        <x:f>IF(E849="Fason",L849*S849,0)</x:f>
        <x:v>0</x:v>
      </x:c>
      <x:c r="AI849" s="38" t="n">
        <x:f>IF(E849="Kurum içi",AC849*AD849+AE849*AF849+AB849*12%,0)</x:f>
        <x:v>17128.0954985</x:v>
      </x:c>
      <x:c r="AJ849" s="38" t="n">
        <x:f>V849*AG849</x:f>
        <x:v>958.9245745983054</x:v>
      </x:c>
      <x:c r="AK849" s="38" t="n">
        <x:f>AB849*2%</x:f>
        <x:v>2564.2107117500004</x:v>
      </x:c>
      <x:c r="AL849" s="38" t="n">
        <x:f>AB849+AH849+AI849+AJ849+AK849</x:f>
        <x:v>148861.7663723483</x:v>
      </x:c>
      <x:c r="AM849" s="38" t="n">
        <x:f>AL849/V849</x:f>
        <x:v>863.1246324842274</x:v>
      </x:c>
      <x:c r="AN849" s="40" t="n">
        <x:f>(W849+X849)/AL849*100</x:f>
        <x:v>73.26796356640561</x:v>
      </x:c>
      <x:c r="AO849" s="28" t="str">
        <x:v>R01-R20; ilgili satırdaki bölgesel fiyat ve maliyet varsayımları</x:v>
      </x:c>
      <x:c r="AP849" s="28" t="str">
        <x:v>Girdi miktarları, alım fiyatı değişimi, fason bedeli ve parti sonucu simüle edilmiştir; işletme kaydı değildir.</x:v>
      </x:c>
    </x:row>
    <x:row r="850" ht="22" customHeight="1">
      <x:c r="A850" t="str">
        <x:v>SUC-0849</x:v>
      </x:c>
      <x:c r="B850" s="36" t="n">
        <x:v>46272</x:v>
      </x:c>
      <x:c r="C850" t="str">
        <x:v>Akdeniz</x:v>
      </x:c>
      <x:c r="D850" t="str">
        <x:v>MEB_STANDART</x:v>
      </x:c>
      <x:c r="E850" t="str">
        <x:v>Kurum içi</x:v>
      </x:c>
      <x:c r="F850" s="42" t="str">
        <x:v>SENTETİK/SİMÜLE — gerçek parti kaydı değildir</x:v>
      </x:c>
      <x:c r="G850" s="38" t="n">
        <x:v>244.274</x:v>
      </x:c>
      <x:c r="H850" s="38" t="n">
        <x:v>77.24</x:v>
      </x:c>
      <x:c r="I850" s="38" t="n">
        <x:v>16.187</x:v>
      </x:c>
      <x:c r="J850" s="38" t="n">
        <x:v>8.161</x:v>
      </x:c>
      <x:c r="K850" s="38" t="n">
        <x:v>3.66</x:v>
      </x:c>
      <x:c r="L850" s="38" t="n">
        <x:f>SUM(G850:K850)</x:f>
        <x:v>349.52200000000005</x:v>
      </x:c>
      <x:c r="M850" s="38" t="n">
        <x:v>438.105</x:v>
      </x:c>
      <x:c r="N850" s="38" t="n">
        <x:v>585.38</x:v>
      </x:c>
      <x:c r="O850" s="38" t="n">
        <x:v>433.62</x:v>
      </x:c>
      <x:c r="P850" s="38" t="n">
        <x:v>669.9</x:v>
      </x:c>
      <x:c r="Q850" s="38" t="n">
        <x:v>19.88</x:v>
      </x:c>
      <x:c r="R850" s="38" t="n">
        <x:v>43.7475</x:v>
      </x:c>
      <x:c r="S850" s="38" t="n">
        <x:v>75.98</x:v>
      </x:c>
      <x:c r="T850" s="40" t="n">
        <x:v>30.34</x:v>
      </x:c>
      <x:c r="U850" s="40" t="n">
        <x:v>0.33</x:v>
      </x:c>
      <x:c r="V850" s="38" t="n">
        <x:f>L850*(1-T850/100)*(1-U850/100)</x:f>
        <x:v>242.67355101684004</x:v>
      </x:c>
      <x:c r="W850" s="38" t="n">
        <x:f>G850*N850</x:f>
        <x:v>142993.11412</x:v>
      </x:c>
      <x:c r="X850" s="38" t="n">
        <x:f>H850*O850</x:f>
        <x:v>33492.8088</x:v>
      </x:c>
      <x:c r="Y850" s="38" t="n">
        <x:f>I850*P850</x:f>
        <x:v>10843.6713</x:v>
      </x:c>
      <x:c r="Z850" s="38" t="n">
        <x:f>J850*Q850+K850*P850</x:f>
        <x:v>2614.0746799999997</x:v>
      </x:c>
      <x:c r="AA850" s="38" t="n">
        <x:f>M850*R850</x:f>
        <x:v>19165.9984875</x:v>
      </x:c>
      <x:c r="AB850" s="38" t="n">
        <x:f>SUM(W850:AA850)</x:f>
        <x:v>209109.6673875</x:v>
      </x:c>
      <x:c r="AC850" s="38" t="n">
        <x:v>17.89</x:v>
      </x:c>
      <x:c r="AD850" s="38" t="n">
        <x:v>174.33</x:v>
      </x:c>
      <x:c r="AE850" s="38" t="n">
        <x:v>134.42</x:v>
      </x:c>
      <x:c r="AF850" s="38" t="n">
        <x:v>4.8148</x:v>
      </x:c>
      <x:c r="AG850" s="38" t="n">
        <x:v>5.46</x:v>
      </x:c>
      <x:c r="AH850" s="38" t="n">
        <x:f>IF(E850="Fason",L850*S850,0)</x:f>
        <x:v>0</x:v>
      </x:c>
      <x:c r="AI850" s="38" t="n">
        <x:f>IF(E850="Kurum içi",AC850*AD850+AE850*AF850+AB850*12%,0)</x:f>
        <x:v>28859.1292025</x:v>
      </x:c>
      <x:c r="AJ850" s="38" t="n">
        <x:f>V850*AG850</x:f>
        <x:v>1324.9975885519466</x:v>
      </x:c>
      <x:c r="AK850" s="38" t="n">
        <x:f>AB850*2%</x:f>
        <x:v>4182.19334775</x:v>
      </x:c>
      <x:c r="AL850" s="38" t="n">
        <x:f>AB850+AH850+AI850+AJ850+AK850</x:f>
        <x:v>243475.98752630193</x:v>
      </x:c>
      <x:c r="AM850" s="38" t="n">
        <x:f>AL850/V850</x:f>
        <x:v>1003.3066500494165</x:v>
      </x:c>
      <x:c r="AN850" s="40" t="n">
        <x:f>(W850+X850)/AL850*100</x:f>
        <x:v>72.48596656823696</x:v>
      </x:c>
      <x:c r="AO850" s="28" t="str">
        <x:v>R01-R20; ilgili satırdaki bölgesel fiyat ve maliyet varsayımları</x:v>
      </x:c>
      <x:c r="AP850" s="28" t="str">
        <x:v>Girdi miktarları, alım fiyatı değişimi, fason bedeli ve parti sonucu simüle edilmiştir; işletme kaydı değildir.</x:v>
      </x:c>
    </x:row>
    <x:row r="851" ht="22" customHeight="1">
      <x:c r="A851" t="str">
        <x:v>SUC-0850</x:v>
      </x:c>
      <x:c r="B851" s="36" t="n">
        <x:v>46274</x:v>
      </x:c>
      <x:c r="C851" t="str">
        <x:v>Güneydoğu Anadolu</x:v>
      </x:c>
      <x:c r="D851" t="str">
        <x:v>MEB_STANDART</x:v>
      </x:c>
      <x:c r="E851" t="str">
        <x:v>Kurum içi</x:v>
      </x:c>
      <x:c r="F851" s="42" t="str">
        <x:v>SENTETİK/SİMÜLE — gerçek parti kaydı değildir</x:v>
      </x:c>
      <x:c r="G851" s="38" t="n">
        <x:v>283.953</x:v>
      </x:c>
      <x:c r="H851" s="38" t="n">
        <x:v>89.227</x:v>
      </x:c>
      <x:c r="I851" s="38" t="n">
        <x:v>19.071</x:v>
      </x:c>
      <x:c r="J851" s="38" t="n">
        <x:v>10.32</x:v>
      </x:c>
      <x:c r="K851" s="38" t="n">
        <x:v>3.91</x:v>
      </x:c>
      <x:c r="L851" s="38" t="n">
        <x:f>SUM(G851:K851)</x:f>
        <x:v>406.481</x:v>
      </x:c>
      <x:c r="M851" s="38" t="n">
        <x:v>503.99</x:v>
      </x:c>
      <x:c r="N851" s="38" t="n">
        <x:v>599.87</x:v>
      </x:c>
      <x:c r="O851" s="38" t="n">
        <x:v>461.65</x:v>
      </x:c>
      <x:c r="P851" s="38" t="n">
        <x:v>550</x:v>
      </x:c>
      <x:c r="Q851" s="38" t="n">
        <x:v>19.88</x:v>
      </x:c>
      <x:c r="R851" s="38" t="n">
        <x:v>43.7475</x:v>
      </x:c>
      <x:c r="S851" s="38" t="n">
        <x:v>76.52</x:v>
      </x:c>
      <x:c r="T851" s="40" t="n">
        <x:v>16.34</x:v>
      </x:c>
      <x:c r="U851" s="40" t="n">
        <x:v>1.44</x:v>
      </x:c>
      <x:c r="V851" s="38" t="n">
        <x:f>L851*(1-T851/100)*(1-U851/100)</x:f>
        <x:v>335.16511173376006</x:v>
      </x:c>
      <x:c r="W851" s="38" t="n">
        <x:f>G851*N851</x:f>
        <x:v>170334.88611</x:v>
      </x:c>
      <x:c r="X851" s="38" t="n">
        <x:f>H851*O851</x:f>
        <x:v>41191.64455</x:v>
      </x:c>
      <x:c r="Y851" s="38" t="n">
        <x:f>I851*P851</x:f>
        <x:v>10489.050000000001</x:v>
      </x:c>
      <x:c r="Z851" s="38" t="n">
        <x:f>J851*Q851+K851*P851</x:f>
        <x:v>2355.6616</x:v>
      </x:c>
      <x:c r="AA851" s="38" t="n">
        <x:f>M851*R851</x:f>
        <x:v>22048.302525000003</x:v>
      </x:c>
      <x:c r="AB851" s="38" t="n">
        <x:f>SUM(W851:AA851)</x:f>
        <x:v>246419.54478499998</x:v>
      </x:c>
      <x:c r="AC851" s="38" t="n">
        <x:v>23.5</x:v>
      </x:c>
      <x:c r="AD851" s="38" t="n">
        <x:v>174.33</x:v>
      </x:c>
      <x:c r="AE851" s="38" t="n">
        <x:v>165.15</x:v>
      </x:c>
      <x:c r="AF851" s="38" t="n">
        <x:v>4.8148</x:v>
      </x:c>
      <x:c r="AG851" s="38" t="n">
        <x:v>5.45</x:v>
      </x:c>
      <x:c r="AH851" s="38" t="n">
        <x:f>IF(E851="Fason",L851*S851,0)</x:f>
        <x:v>0</x:v>
      </x:c>
      <x:c r="AI851" s="38" t="n">
        <x:f>IF(E851="Kurum içi",AC851*AD851+AE851*AF851+AB851*12%,0)</x:f>
        <x:v>34462.264594199994</x:v>
      </x:c>
      <x:c r="AJ851" s="38" t="n">
        <x:f>V851*AG851</x:f>
        <x:v>1826.6498589489925</x:v>
      </x:c>
      <x:c r="AK851" s="38" t="n">
        <x:f>AB851*2%</x:f>
        <x:v>4928.390895699999</x:v>
      </x:c>
      <x:c r="AL851" s="38" t="n">
        <x:f>AB851+AH851+AI851+AJ851+AK851</x:f>
        <x:v>287636.850133849</x:v>
      </x:c>
      <x:c r="AM851" s="38" t="n">
        <x:f>AL851/V851</x:f>
        <x:v>858.1944840438365</x:v>
      </x:c>
      <x:c r="AN851" s="40" t="n">
        <x:f>(W851+X851)/AL851*100</x:f>
        <x:v>73.53944063897521</x:v>
      </x:c>
      <x:c r="AO851" s="28" t="str">
        <x:v>R01-R20; ilgili satırdaki bölgesel fiyat ve maliyet varsayımları</x:v>
      </x:c>
      <x:c r="AP851" s="28" t="str">
        <x:v>Girdi miktarları, alım fiyatı değişimi, fason bedeli ve parti sonucu simüle edilmiştir; işletme kaydı değildir.</x:v>
      </x:c>
    </x:row>
    <x:row r="852" ht="22" customHeight="1">
      <x:c r="A852" t="str">
        <x:v>SUC-0851</x:v>
      </x:c>
      <x:c r="B852" s="36" t="n">
        <x:v>46281</x:v>
      </x:c>
      <x:c r="C852" t="str">
        <x:v>Karadeniz</x:v>
      </x:c>
      <x:c r="D852" t="str">
        <x:v>ERZURUM_CI</x:v>
      </x:c>
      <x:c r="E852" t="str">
        <x:v>Fason</x:v>
      </x:c>
      <x:c r="F852" s="42" t="str">
        <x:v>SENTETİK/SİMÜLE — gerçek parti kaydı değildir</x:v>
      </x:c>
      <x:c r="G852" s="38" t="n">
        <x:v>95.678</x:v>
      </x:c>
      <x:c r="H852" s="38" t="n">
        <x:v>17.755</x:v>
      </x:c>
      <x:c r="I852" s="38" t="n">
        <x:v>5.408</x:v>
      </x:c>
      <x:c r="J852" s="38" t="n">
        <x:v>2.106</x:v>
      </x:c>
      <x:c r="K852" s="38" t="n">
        <x:v>0.114</x:v>
      </x:c>
      <x:c r="L852" s="38" t="n">
        <x:f>SUM(G852:K852)</x:f>
        <x:v>121.06099999999999</x:v>
      </x:c>
      <x:c r="M852" s="38" t="n">
        <x:v>158.041</x:v>
      </x:c>
      <x:c r="N852" s="38" t="n">
        <x:v>589.54</x:v>
      </x:c>
      <x:c r="O852" s="38" t="n">
        <x:v>474.33</x:v>
      </x:c>
      <x:c r="P852" s="38" t="n">
        <x:v>550</x:v>
      </x:c>
      <x:c r="Q852" s="38" t="n">
        <x:v>19.88</x:v>
      </x:c>
      <x:c r="R852" s="38" t="n">
        <x:v>43.7475</x:v>
      </x:c>
      <x:c r="S852" s="38" t="n">
        <x:v>81.22</x:v>
      </x:c>
      <x:c r="T852" s="40" t="n">
        <x:v>23.81</x:v>
      </x:c>
      <x:c r="U852" s="40" t="n">
        <x:v>1.11</x:v>
      </x:c>
      <x:c r="V852" s="38" t="n">
        <x:f>L852*(1-T852/100)*(1-U852/100)</x:f>
        <x:v>91.21255212751</x:v>
      </x:c>
      <x:c r="W852" s="38" t="n">
        <x:f>G852*N852</x:f>
        <x:v>56406.00811999999</x:v>
      </x:c>
      <x:c r="X852" s="38" t="n">
        <x:f>H852*O852</x:f>
        <x:v>8421.72915</x:v>
      </x:c>
      <x:c r="Y852" s="38" t="n">
        <x:f>I852*P852</x:f>
        <x:v>2974.4</x:v>
      </x:c>
      <x:c r="Z852" s="38" t="n">
        <x:f>J852*Q852+K852*P852</x:f>
        <x:v>104.56728</x:v>
      </x:c>
      <x:c r="AA852" s="38" t="n">
        <x:f>M852*R852</x:f>
        <x:v>6913.8986475</x:v>
      </x:c>
      <x:c r="AB852" s="38" t="n">
        <x:f>SUM(W852:AA852)</x:f>
        <x:v>74820.6031975</x:v>
      </x:c>
      <x:c r="AC852" s="38" t="n">
        <x:v>7.19</x:v>
      </x:c>
      <x:c r="AD852" s="38" t="n">
        <x:v>174.33</x:v>
      </x:c>
      <x:c r="AE852" s="38" t="n">
        <x:v>32.87</x:v>
      </x:c>
      <x:c r="AF852" s="38" t="n">
        <x:v>4.8148</x:v>
      </x:c>
      <x:c r="AG852" s="38" t="n">
        <x:v>5.77</x:v>
      </x:c>
      <x:c r="AH852" s="38" t="n">
        <x:f>IF(E852="Fason",L852*S852,0)</x:f>
        <x:v>9832.574419999999</x:v>
      </x:c>
      <x:c r="AI852" s="38" t="n">
        <x:f>IF(E852="Kurum içi",AC852*AD852+AE852*AF852+AB852*12%,0)</x:f>
        <x:v>0</x:v>
      </x:c>
      <x:c r="AJ852" s="38" t="n">
        <x:f>V852*AG852</x:f>
        <x:v>526.2964257757326</x:v>
      </x:c>
      <x:c r="AK852" s="38" t="n">
        <x:f>AB852*2%</x:f>
        <x:v>1496.41206395</x:v>
      </x:c>
      <x:c r="AL852" s="38" t="n">
        <x:f>AB852+AH852+AI852+AJ852+AK852</x:f>
        <x:v>86675.88610722573</x:v>
      </x:c>
      <x:c r="AM852" s="38" t="n">
        <x:f>AL852/V852</x:f>
        <x:v>950.2627005333404</x:v>
      </x:c>
      <x:c r="AN852" s="40" t="n">
        <x:f>(W852+X852)/AL852*100</x:f>
        <x:v>74.79327894012224</x:v>
      </x:c>
      <x:c r="AO852" s="28" t="str">
        <x:v>R01-R20; ilgili satırdaki bölgesel fiyat ve maliyet varsayımları</x:v>
      </x:c>
      <x:c r="AP852" s="28" t="str">
        <x:v>Girdi miktarları, alım fiyatı değişimi, fason bedeli ve parti sonucu simüle edilmiştir; işletme kaydı değildir.</x:v>
      </x:c>
    </x:row>
    <x:row r="853" ht="22" customHeight="1">
      <x:c r="A853" t="str">
        <x:v>SUC-0852</x:v>
      </x:c>
      <x:c r="B853" s="36" t="n">
        <x:v>46279</x:v>
      </x:c>
      <x:c r="C853" t="str">
        <x:v>İç Anadolu</x:v>
      </x:c>
      <x:c r="D853" t="str">
        <x:v>MEB_STANDART</x:v>
      </x:c>
      <x:c r="E853" t="str">
        <x:v>Kurum içi</x:v>
      </x:c>
      <x:c r="F853" s="42" t="str">
        <x:v>SENTETİK/SİMÜLE — gerçek parti kaydı değildir</x:v>
      </x:c>
      <x:c r="G853" s="38" t="n">
        <x:v>230.392</x:v>
      </x:c>
      <x:c r="H853" s="38" t="n">
        <x:v>75.071</x:v>
      </x:c>
      <x:c r="I853" s="38" t="n">
        <x:v>15.097</x:v>
      </x:c>
      <x:c r="J853" s="38" t="n">
        <x:v>7.895</x:v>
      </x:c>
      <x:c r="K853" s="38" t="n">
        <x:v>3.17</x:v>
      </x:c>
      <x:c r="L853" s="38" t="n">
        <x:f>SUM(G853:K853)</x:f>
        <x:v>331.62499999999994</x:v>
      </x:c>
      <x:c r="M853" s="38" t="n">
        <x:v>423.309</x:v>
      </x:c>
      <x:c r="N853" s="38" t="n">
        <x:v>602.48</x:v>
      </x:c>
      <x:c r="O853" s="38" t="n">
        <x:v>447.68</x:v>
      </x:c>
      <x:c r="P853" s="38" t="n">
        <x:v>400</x:v>
      </x:c>
      <x:c r="Q853" s="38" t="n">
        <x:v>19.88</x:v>
      </x:c>
      <x:c r="R853" s="38" t="n">
        <x:v>43.7475</x:v>
      </x:c>
      <x:c r="S853" s="38" t="n">
        <x:v>96.73</x:v>
      </x:c>
      <x:c r="T853" s="40" t="n">
        <x:v>16.81</x:v>
      </x:c>
      <x:c r="U853" s="40" t="n">
        <x:v>1.1</x:v>
      </x:c>
      <x:c r="V853" s="38" t="n">
        <x:f>L853*(1-T853/100)*(1-U853/100)</x:f>
        <x:v>272.84417028749994</x:v>
      </x:c>
      <x:c r="W853" s="38" t="n">
        <x:f>G853*N853</x:f>
        <x:v>138806.57216</x:v>
      </x:c>
      <x:c r="X853" s="38" t="n">
        <x:f>H853*O853</x:f>
        <x:v>33607.78528</x:v>
      </x:c>
      <x:c r="Y853" s="38" t="n">
        <x:f>I853*P853</x:f>
        <x:v>6038.8</x:v>
      </x:c>
      <x:c r="Z853" s="38" t="n">
        <x:f>J853*Q853+K853*P853</x:f>
        <x:v>1424.9526</x:v>
      </x:c>
      <x:c r="AA853" s="38" t="n">
        <x:f>M853*R853</x:f>
        <x:v>18518.7104775</x:v>
      </x:c>
      <x:c r="AB853" s="38" t="n">
        <x:f>SUM(W853:AA853)</x:f>
        <x:v>198396.82051749996</x:v>
      </x:c>
      <x:c r="AC853" s="38" t="n">
        <x:v>14.4</x:v>
      </x:c>
      <x:c r="AD853" s="38" t="n">
        <x:v>174.33</x:v>
      </x:c>
      <x:c r="AE853" s="38" t="n">
        <x:v>88.39</x:v>
      </x:c>
      <x:c r="AF853" s="38" t="n">
        <x:v>4.8148</x:v>
      </x:c>
      <x:c r="AG853" s="38" t="n">
        <x:v>5.62</x:v>
      </x:c>
      <x:c r="AH853" s="38" t="n">
        <x:f>IF(E853="Fason",L853*S853,0)</x:f>
        <x:v>0</x:v>
      </x:c>
      <x:c r="AI853" s="38" t="n">
        <x:f>IF(E853="Kurum içi",AC853*AD853+AE853*AF853+AB853*12%,0)</x:f>
        <x:v>26743.550634099996</x:v>
      </x:c>
      <x:c r="AJ853" s="38" t="n">
        <x:f>V853*AG853</x:f>
        <x:v>1533.3842370157497</x:v>
      </x:c>
      <x:c r="AK853" s="38" t="n">
        <x:f>AB853*2%</x:f>
        <x:v>3967.9364103499993</x:v>
      </x:c>
      <x:c r="AL853" s="38" t="n">
        <x:f>AB853+AH853+AI853+AJ853+AK853</x:f>
        <x:v>230641.69179896568</x:v>
      </x:c>
      <x:c r="AM853" s="38" t="n">
        <x:f>AL853/V853</x:f>
        <x:v>845.3238768339273</x:v>
      </x:c>
      <x:c r="AN853" s="40" t="n">
        <x:f>(W853+X853)/AL853*100</x:f>
        <x:v>74.75420254473401</x:v>
      </x:c>
      <x:c r="AO853" s="28" t="str">
        <x:v>R01-R20; ilgili satırdaki bölgesel fiyat ve maliyet varsayımları</x:v>
      </x:c>
      <x:c r="AP853" s="28" t="str">
        <x:v>Girdi miktarları, alım fiyatı değişimi, fason bedeli ve parti sonucu simüle edilmiştir; işletme kaydı değildir.</x:v>
      </x:c>
    </x:row>
    <x:row r="854" ht="22" customHeight="1">
      <x:c r="A854" t="str">
        <x:v>SUC-0853</x:v>
      </x:c>
      <x:c r="B854" s="36" t="n">
        <x:v>46268</x:v>
      </x:c>
      <x:c r="C854" t="str">
        <x:v>Doğu Anadolu</x:v>
      </x:c>
      <x:c r="D854" t="str">
        <x:v>ERZURUM_CI</x:v>
      </x:c>
      <x:c r="E854" t="str">
        <x:v>Kurum içi</x:v>
      </x:c>
      <x:c r="F854" s="42" t="str">
        <x:v>SENTETİK/SİMÜLE — gerçek parti kaydı değildir</x:v>
      </x:c>
      <x:c r="G854" s="38" t="n">
        <x:v>187.463</x:v>
      </x:c>
      <x:c r="H854" s="38" t="n">
        <x:v>34.357</x:v>
      </x:c>
      <x:c r="I854" s="38" t="n">
        <x:v>10.548</x:v>
      </x:c>
      <x:c r="J854" s="38" t="n">
        <x:v>3.677</x:v>
      </x:c>
      <x:c r="K854" s="38" t="n">
        <x:v>0.565</x:v>
      </x:c>
      <x:c r="L854" s="38" t="n">
        <x:f>SUM(G854:K854)</x:f>
        <x:v>236.60999999999999</x:v>
      </x:c>
      <x:c r="M854" s="38" t="n">
        <x:v>286.086</x:v>
      </x:c>
      <x:c r="N854" s="38" t="n">
        <x:v>602.41</x:v>
      </x:c>
      <x:c r="O854" s="38" t="n">
        <x:v>437.36</x:v>
      </x:c>
      <x:c r="P854" s="38" t="n">
        <x:v>400</x:v>
      </x:c>
      <x:c r="Q854" s="38" t="n">
        <x:v>19.88</x:v>
      </x:c>
      <x:c r="R854" s="38" t="n">
        <x:v>43.7475</x:v>
      </x:c>
      <x:c r="S854" s="38" t="n">
        <x:v>121.52</x:v>
      </x:c>
      <x:c r="T854" s="40" t="n">
        <x:v>20.16</x:v>
      </x:c>
      <x:c r="U854" s="40" t="n">
        <x:v>1.51</x:v>
      </x:c>
      <x:c r="V854" s="38" t="n">
        <x:f>L854*(1-T854/100)*(1-U854/100)</x:f>
        <x:v>186.0568916976</x:v>
      </x:c>
      <x:c r="W854" s="38" t="n">
        <x:f>G854*N854</x:f>
        <x:v>112929.58583</x:v>
      </x:c>
      <x:c r="X854" s="38" t="n">
        <x:f>H854*O854</x:f>
        <x:v>15026.37752</x:v>
      </x:c>
      <x:c r="Y854" s="38" t="n">
        <x:f>I854*P854</x:f>
        <x:v>4219.2</x:v>
      </x:c>
      <x:c r="Z854" s="38" t="n">
        <x:f>J854*Q854+K854*P854</x:f>
        <x:v>299.09875999999997</x:v>
      </x:c>
      <x:c r="AA854" s="38" t="n">
        <x:f>M854*R854</x:f>
        <x:v>12515.547285</x:v>
      </x:c>
      <x:c r="AB854" s="38" t="n">
        <x:f>SUM(W854:AA854)</x:f>
        <x:v>144989.809395</x:v>
      </x:c>
      <x:c r="AC854" s="38" t="n">
        <x:v>11.67</x:v>
      </x:c>
      <x:c r="AD854" s="38" t="n">
        <x:v>174.33</x:v>
      </x:c>
      <x:c r="AE854" s="38" t="n">
        <x:v>77.08</x:v>
      </x:c>
      <x:c r="AF854" s="38" t="n">
        <x:v>4.8148</x:v>
      </x:c>
      <x:c r="AG854" s="38" t="n">
        <x:v>5.16</x:v>
      </x:c>
      <x:c r="AH854" s="38" t="n">
        <x:f>IF(E854="Fason",L854*S854,0)</x:f>
        <x:v>0</x:v>
      </x:c>
      <x:c r="AI854" s="38" t="n">
        <x:f>IF(E854="Kurum içi",AC854*AD854+AE854*AF854+AB854*12%,0)</x:f>
        <x:v>19804.3330114</x:v>
      </x:c>
      <x:c r="AJ854" s="38" t="n">
        <x:f>V854*AG854</x:f>
        <x:v>960.053561159616</x:v>
      </x:c>
      <x:c r="AK854" s="38" t="n">
        <x:f>AB854*2%</x:f>
        <x:v>2899.7961879</x:v>
      </x:c>
      <x:c r="AL854" s="38" t="n">
        <x:f>AB854+AH854+AI854+AJ854+AK854</x:f>
        <x:v>168653.99215545962</x:v>
      </x:c>
      <x:c r="AM854" s="38" t="n">
        <x:f>AL854/V854</x:f>
        <x:v>906.4646335679654</x:v>
      </x:c>
      <x:c r="AN854" s="40" t="n">
        <x:f>(W854+X854)/AL854*100</x:f>
        <x:v>75.86892057203985</x:v>
      </x:c>
      <x:c r="AO854" s="28" t="str">
        <x:v>R01-R20; ilgili satırdaki bölgesel fiyat ve maliyet varsayımları</x:v>
      </x:c>
      <x:c r="AP854" s="28" t="str">
        <x:v>Girdi miktarları, alım fiyatı değişimi, fason bedeli ve parti sonucu simüle edilmiştir; işletme kaydı değildir.</x:v>
      </x:c>
    </x:row>
    <x:row r="855" ht="22" customHeight="1">
      <x:c r="A855" t="str">
        <x:v>SUC-0854</x:v>
      </x:c>
      <x:c r="B855" s="36" t="n">
        <x:v>46281</x:v>
      </x:c>
      <x:c r="C855" t="str">
        <x:v>Güneydoğu Anadolu</x:v>
      </x:c>
      <x:c r="D855" t="str">
        <x:v>MEB_STANDART</x:v>
      </x:c>
      <x:c r="E855" t="str">
        <x:v>Fason</x:v>
      </x:c>
      <x:c r="F855" s="42" t="str">
        <x:v>SENTETİK/SİMÜLE — gerçek parti kaydı değildir</x:v>
      </x:c>
      <x:c r="G855" s="38" t="n">
        <x:v>284.005</x:v>
      </x:c>
      <x:c r="H855" s="38" t="n">
        <x:v>85.205</x:v>
      </x:c>
      <x:c r="I855" s="38" t="n">
        <x:v>19.102</x:v>
      </x:c>
      <x:c r="J855" s="38" t="n">
        <x:v>10.06</x:v>
      </x:c>
      <x:c r="K855" s="38" t="n">
        <x:v>4.029</x:v>
      </x:c>
      <x:c r="L855" s="38" t="n">
        <x:f>SUM(G855:K855)</x:f>
        <x:v>402.40099999999995</x:v>
      </x:c>
      <x:c r="M855" s="38" t="n">
        <x:v>531.231</x:v>
      </x:c>
      <x:c r="N855" s="38" t="n">
        <x:v>567.26</x:v>
      </x:c>
      <x:c r="O855" s="38" t="n">
        <x:v>458.27</x:v>
      </x:c>
      <x:c r="P855" s="38" t="n">
        <x:v>550</x:v>
      </x:c>
      <x:c r="Q855" s="38" t="n">
        <x:v>19.88</x:v>
      </x:c>
      <x:c r="R855" s="38" t="n">
        <x:v>43.7475</x:v>
      </x:c>
      <x:c r="S855" s="38" t="n">
        <x:v>102.28</x:v>
      </x:c>
      <x:c r="T855" s="40" t="n">
        <x:v>19.11</x:v>
      </x:c>
      <x:c r="U855" s="40" t="n">
        <x:v>1.52</x:v>
      </x:c>
      <x:c r="V855" s="38" t="n">
        <x:f>L855*(1-T855/100)*(1-U855/100)</x:f>
        <x:v>320.55453593271994</x:v>
      </x:c>
      <x:c r="W855" s="38" t="n">
        <x:f>G855*N855</x:f>
        <x:v>161104.6763</x:v>
      </x:c>
      <x:c r="X855" s="38" t="n">
        <x:f>H855*O855</x:f>
        <x:v>39046.89535</x:v>
      </x:c>
      <x:c r="Y855" s="38" t="n">
        <x:f>I855*P855</x:f>
        <x:v>10506.1</x:v>
      </x:c>
      <x:c r="Z855" s="38" t="n">
        <x:f>J855*Q855+K855*P855</x:f>
        <x:v>2415.9428</x:v>
      </x:c>
      <x:c r="AA855" s="38" t="n">
        <x:f>M855*R855</x:f>
        <x:v>23240.028172500002</x:v>
      </x:c>
      <x:c r="AB855" s="38" t="n">
        <x:f>SUM(W855:AA855)</x:f>
        <x:v>236313.6426225</x:v>
      </x:c>
      <x:c r="AC855" s="38" t="n">
        <x:v>20.84</x:v>
      </x:c>
      <x:c r="AD855" s="38" t="n">
        <x:v>174.33</x:v>
      </x:c>
      <x:c r="AE855" s="38" t="n">
        <x:v>90.44</x:v>
      </x:c>
      <x:c r="AF855" s="38" t="n">
        <x:v>4.8148</x:v>
      </x:c>
      <x:c r="AG855" s="38" t="n">
        <x:v>5.23</x:v>
      </x:c>
      <x:c r="AH855" s="38" t="n">
        <x:f>IF(E855="Fason",L855*S855,0)</x:f>
        <x:v>41157.57427999999</x:v>
      </x:c>
      <x:c r="AI855" s="38" t="n">
        <x:f>IF(E855="Kurum içi",AC855*AD855+AE855*AF855+AB855*12%,0)</x:f>
        <x:v>0</x:v>
      </x:c>
      <x:c r="AJ855" s="38" t="n">
        <x:f>V855*AG855</x:f>
        <x:v>1676.5002229281254</x:v>
      </x:c>
      <x:c r="AK855" s="38" t="n">
        <x:f>AB855*2%</x:f>
        <x:v>4726.27285245</x:v>
      </x:c>
      <x:c r="AL855" s="38" t="n">
        <x:f>AB855+AH855+AI855+AJ855+AK855</x:f>
        <x:v>283873.9899778781</x:v>
      </x:c>
      <x:c r="AM855" s="38" t="n">
        <x:f>AL855/V855</x:f>
        <x:v>885.5715897199452</x:v>
      </x:c>
      <x:c r="AN855" s="40" t="n">
        <x:f>(W855+X855)/AL855*100</x:f>
        <x:v>70.50718935736153</x:v>
      </x:c>
      <x:c r="AO855" s="28" t="str">
        <x:v>R01-R20; ilgili satırdaki bölgesel fiyat ve maliyet varsayımları</x:v>
      </x:c>
      <x:c r="AP855" s="28" t="str">
        <x:v>Girdi miktarları, alım fiyatı değişimi, fason bedeli ve parti sonucu simüle edilmiştir; işletme kaydı değildir.</x:v>
      </x:c>
    </x:row>
    <x:row r="856" ht="22" customHeight="1">
      <x:c r="A856" t="str">
        <x:v>SUC-0855</x:v>
      </x:c>
      <x:c r="B856" s="36" t="n">
        <x:v>46285</x:v>
      </x:c>
      <x:c r="C856" t="str">
        <x:v>Ege</x:v>
      </x:c>
      <x:c r="D856" t="str">
        <x:v>MEB_STANDART</x:v>
      </x:c>
      <x:c r="E856" t="str">
        <x:v>Kurum içi</x:v>
      </x:c>
      <x:c r="F856" s="42" t="str">
        <x:v>SENTETİK/SİMÜLE — gerçek parti kaydı değildir</x:v>
      </x:c>
      <x:c r="G856" s="38" t="n">
        <x:v>197.57</x:v>
      </x:c>
      <x:c r="H856" s="38" t="n">
        <x:v>62.15</x:v>
      </x:c>
      <x:c r="I856" s="38" t="n">
        <x:v>12.492</x:v>
      </x:c>
      <x:c r="J856" s="38" t="n">
        <x:v>7.443</x:v>
      </x:c>
      <x:c r="K856" s="38" t="n">
        <x:v>3.044</x:v>
      </x:c>
      <x:c r="L856" s="38" t="n">
        <x:f>SUM(G856:K856)</x:f>
        <x:v>282.69899999999996</x:v>
      </x:c>
      <x:c r="M856" s="38" t="n">
        <x:v>343.106</x:v>
      </x:c>
      <x:c r="N856" s="38" t="n">
        <x:v>603.31</x:v>
      </x:c>
      <x:c r="O856" s="38" t="n">
        <x:v>471.77</x:v>
      </x:c>
      <x:c r="P856" s="38" t="n">
        <x:v>550</x:v>
      </x:c>
      <x:c r="Q856" s="38" t="n">
        <x:v>19.88</x:v>
      </x:c>
      <x:c r="R856" s="38" t="n">
        <x:v>43.7475</x:v>
      </x:c>
      <x:c r="S856" s="38" t="n">
        <x:v>96.1</x:v>
      </x:c>
      <x:c r="T856" s="40" t="n">
        <x:v>17.5</x:v>
      </x:c>
      <x:c r="U856" s="40" t="n">
        <x:v>1.49</x:v>
      </x:c>
      <x:c r="V856" s="38" t="n">
        <x:f>L856*(1-T856/100)*(1-U856/100)</x:f>
        <x:v>229.75159754249995</x:v>
      </x:c>
      <x:c r="W856" s="38" t="n">
        <x:f>G856*N856</x:f>
        <x:v>119195.95669999998</x:v>
      </x:c>
      <x:c r="X856" s="38" t="n">
        <x:f>H856*O856</x:f>
        <x:v>29320.5055</x:v>
      </x:c>
      <x:c r="Y856" s="38" t="n">
        <x:f>I856*P856</x:f>
        <x:v>6870.6</x:v>
      </x:c>
      <x:c r="Z856" s="38" t="n">
        <x:f>J856*Q856+K856*P856</x:f>
        <x:v>1822.16684</x:v>
      </x:c>
      <x:c r="AA856" s="38" t="n">
        <x:f>M856*R856</x:f>
        <x:v>15010.029735</x:v>
      </x:c>
      <x:c r="AB856" s="38" t="n">
        <x:f>SUM(W856:AA856)</x:f>
        <x:v>172219.25877499997</x:v>
      </x:c>
      <x:c r="AC856" s="38" t="n">
        <x:v>11.06</x:v>
      </x:c>
      <x:c r="AD856" s="38" t="n">
        <x:v>174.33</x:v>
      </x:c>
      <x:c r="AE856" s="38" t="n">
        <x:v>131.05</x:v>
      </x:c>
      <x:c r="AF856" s="38" t="n">
        <x:v>4.8148</x:v>
      </x:c>
      <x:c r="AG856" s="38" t="n">
        <x:v>5.25</x:v>
      </x:c>
      <x:c r="AH856" s="38" t="n">
        <x:f>IF(E856="Fason",L856*S856,0)</x:f>
        <x:v>0</x:v>
      </x:c>
      <x:c r="AI856" s="38" t="n">
        <x:f>IF(E856="Kurum içi",AC856*AD856+AE856*AF856+AB856*12%,0)</x:f>
        <x:v>23225.380392999992</x:v>
      </x:c>
      <x:c r="AJ856" s="38" t="n">
        <x:f>V856*AG856</x:f>
        <x:v>1206.1958870981248</x:v>
      </x:c>
      <x:c r="AK856" s="38" t="n">
        <x:f>AB856*2%</x:f>
        <x:v>3444.3851754999996</x:v>
      </x:c>
      <x:c r="AL856" s="38" t="n">
        <x:f>AB856+AH856+AI856+AJ856+AK856</x:f>
        <x:v>200095.2202305981</x:v>
      </x:c>
      <x:c r="AM856" s="38" t="n">
        <x:f>AL856/V856</x:f>
        <x:v>870.9198211062886</x:v>
      </x:c>
      <x:c r="AN856" s="40" t="n">
        <x:f>(W856+X856)/AL856*100</x:f>
        <x:v>74.22289349482881</x:v>
      </x:c>
      <x:c r="AO856" s="28" t="str">
        <x:v>R01-R20; ilgili satırdaki bölgesel fiyat ve maliyet varsayımları</x:v>
      </x:c>
      <x:c r="AP856" s="28" t="str">
        <x:v>Girdi miktarları, alım fiyatı değişimi, fason bedeli ve parti sonucu simüle edilmiştir; işletme kaydı değildir.</x:v>
      </x:c>
    </x:row>
    <x:row r="857" ht="22" customHeight="1">
      <x:c r="A857" t="str">
        <x:v>SUC-0856</x:v>
      </x:c>
      <x:c r="B857" s="36" t="n">
        <x:v>46270</x:v>
      </x:c>
      <x:c r="C857" t="str">
        <x:v>Akdeniz</x:v>
      </x:c>
      <x:c r="D857" t="str">
        <x:v>MEB_STANDART</x:v>
      </x:c>
      <x:c r="E857" t="str">
        <x:v>Kurum içi</x:v>
      </x:c>
      <x:c r="F857" s="42" t="str">
        <x:v>SENTETİK/SİMÜLE — gerçek parti kaydı değildir</x:v>
      </x:c>
      <x:c r="G857" s="38" t="n">
        <x:v>124.209</x:v>
      </x:c>
      <x:c r="H857" s="38" t="n">
        <x:v>37.88</x:v>
      </x:c>
      <x:c r="I857" s="38" t="n">
        <x:v>8.243</x:v>
      </x:c>
      <x:c r="J857" s="38" t="n">
        <x:v>4.112</x:v>
      </x:c>
      <x:c r="K857" s="38" t="n">
        <x:v>1.953</x:v>
      </x:c>
      <x:c r="L857" s="38" t="n">
        <x:f>SUM(G857:K857)</x:f>
        <x:v>176.397</x:v>
      </x:c>
      <x:c r="M857" s="38" t="n">
        <x:v>218.732</x:v>
      </x:c>
      <x:c r="N857" s="38" t="n">
        <x:v>597.55</x:v>
      </x:c>
      <x:c r="O857" s="38" t="n">
        <x:v>483.14</x:v>
      </x:c>
      <x:c r="P857" s="38" t="n">
        <x:v>550</x:v>
      </x:c>
      <x:c r="Q857" s="38" t="n">
        <x:v>19.88</x:v>
      </x:c>
      <x:c r="R857" s="38" t="n">
        <x:v>43.7475</x:v>
      </x:c>
      <x:c r="S857" s="38" t="n">
        <x:v>111.15</x:v>
      </x:c>
      <x:c r="T857" s="40" t="n">
        <x:v>24.04</x:v>
      </x:c>
      <x:c r="U857" s="40" t="n">
        <x:v>1.05</x:v>
      </x:c>
      <x:c r="V857" s="38" t="n">
        <x:f>L857*(1-T857/100)*(1-U857/100)</x:f>
        <x:v>132.5842540074</x:v>
      </x:c>
      <x:c r="W857" s="38" t="n">
        <x:f>G857*N857</x:f>
        <x:v>74221.08795</x:v>
      </x:c>
      <x:c r="X857" s="38" t="n">
        <x:f>H857*O857</x:f>
        <x:v>18301.3432</x:v>
      </x:c>
      <x:c r="Y857" s="38" t="n">
        <x:f>I857*P857</x:f>
        <x:v>4533.650000000001</x:v>
      </x:c>
      <x:c r="Z857" s="38" t="n">
        <x:f>J857*Q857+K857*P857</x:f>
        <x:v>1155.8965600000001</x:v>
      </x:c>
      <x:c r="AA857" s="38" t="n">
        <x:f>M857*R857</x:f>
        <x:v>9568.97817</x:v>
      </x:c>
      <x:c r="AB857" s="38" t="n">
        <x:f>SUM(W857:AA857)</x:f>
        <x:v>107780.95588</x:v>
      </x:c>
      <x:c r="AC857" s="38" t="n">
        <x:v>8.77</x:v>
      </x:c>
      <x:c r="AD857" s="38" t="n">
        <x:v>174.33</x:v>
      </x:c>
      <x:c r="AE857" s="38" t="n">
        <x:v>65.87</x:v>
      </x:c>
      <x:c r="AF857" s="38" t="n">
        <x:v>4.8148</x:v>
      </x:c>
      <x:c r="AG857" s="38" t="n">
        <x:v>5.68</x:v>
      </x:c>
      <x:c r="AH857" s="38" t="n">
        <x:f>IF(E857="Fason",L857*S857,0)</x:f>
        <x:v>0</x:v>
      </x:c>
      <x:c r="AI857" s="38" t="n">
        <x:f>IF(E857="Kurum içi",AC857*AD857+AE857*AF857+AB857*12%,0)</x:f>
        <x:v>14779.7396816</x:v>
      </x:c>
      <x:c r="AJ857" s="38" t="n">
        <x:f>V857*AG857</x:f>
        <x:v>753.078562762032</x:v>
      </x:c>
      <x:c r="AK857" s="38" t="n">
        <x:f>AB857*2%</x:f>
        <x:v>2155.6191175999998</x:v>
      </x:c>
      <x:c r="AL857" s="38" t="n">
        <x:f>AB857+AH857+AI857+AJ857+AK857</x:f>
        <x:v>125469.39324196203</x:v>
      </x:c>
      <x:c r="AM857" s="38" t="n">
        <x:f>AL857/V857</x:f>
        <x:v>946.3370607716292</x:v>
      </x:c>
      <x:c r="AN857" s="40" t="n">
        <x:f>(W857+X857)/AL857*100</x:f>
        <x:v>73.74103656624425</x:v>
      </x:c>
      <x:c r="AO857" s="28" t="str">
        <x:v>R01-R20; ilgili satırdaki bölgesel fiyat ve maliyet varsayımları</x:v>
      </x:c>
      <x:c r="AP857" s="28" t="str">
        <x:v>Girdi miktarları, alım fiyatı değişimi, fason bedeli ve parti sonucu simüle edilmiştir; işletme kaydı değildir.</x:v>
      </x:c>
    </x:row>
    <x:row r="858" ht="22" customHeight="1">
      <x:c r="A858" t="str">
        <x:v>SUC-0857</x:v>
      </x:c>
      <x:c r="B858" s="36" t="n">
        <x:v>46317</x:v>
      </x:c>
      <x:c r="C858" t="str">
        <x:v>Ege</x:v>
      </x:c>
      <x:c r="D858" t="str">
        <x:v>MEB_STANDART</x:v>
      </x:c>
      <x:c r="E858" t="str">
        <x:v>Kurum içi</x:v>
      </x:c>
      <x:c r="F858" s="42" t="str">
        <x:v>SENTETİK/SİMÜLE — gerçek parti kaydı değildir</x:v>
      </x:c>
      <x:c r="G858" s="38" t="n">
        <x:v>85.38</x:v>
      </x:c>
      <x:c r="H858" s="38" t="n">
        <x:v>26.902</x:v>
      </x:c>
      <x:c r="I858" s="38" t="n">
        <x:v>5.178</x:v>
      </x:c>
      <x:c r="J858" s="38" t="n">
        <x:v>3.122</x:v>
      </x:c>
      <x:c r="K858" s="38" t="n">
        <x:v>1.356</x:v>
      </x:c>
      <x:c r="L858" s="38" t="n">
        <x:f>SUM(G858:K858)</x:f>
        <x:v>121.93799999999999</x:v>
      </x:c>
      <x:c r="M858" s="38" t="n">
        <x:v>148.85</x:v>
      </x:c>
      <x:c r="N858" s="38" t="n">
        <x:v>598.08</x:v>
      </x:c>
      <x:c r="O858" s="38" t="n">
        <x:v>478.68</x:v>
      </x:c>
      <x:c r="P858" s="38" t="n">
        <x:v>550</x:v>
      </x:c>
      <x:c r="Q858" s="38" t="n">
        <x:v>19.88</x:v>
      </x:c>
      <x:c r="R858" s="38" t="n">
        <x:v>43.7475</x:v>
      </x:c>
      <x:c r="S858" s="38" t="n">
        <x:v>71.29</x:v>
      </x:c>
      <x:c r="T858" s="40" t="n">
        <x:v>22.82</x:v>
      </x:c>
      <x:c r="U858" s="40" t="n">
        <x:v>0.68</x:v>
      </x:c>
      <x:c r="V858" s="38" t="n">
        <x:f>L858*(1-T858/100)*(1-U858/100)</x:f>
        <x:v>93.47178851087999</x:v>
      </x:c>
      <x:c r="W858" s="38" t="n">
        <x:f>G858*N858</x:f>
        <x:v>51064.070400000004</x:v>
      </x:c>
      <x:c r="X858" s="38" t="n">
        <x:f>H858*O858</x:f>
        <x:v>12877.44936</x:v>
      </x:c>
      <x:c r="Y858" s="38" t="n">
        <x:f>I858*P858</x:f>
        <x:v>2847.9</x:v>
      </x:c>
      <x:c r="Z858" s="38" t="n">
        <x:f>J858*Q858+K858*P858</x:f>
        <x:v>807.86536</x:v>
      </x:c>
      <x:c r="AA858" s="38" t="n">
        <x:f>M858*R858</x:f>
        <x:v>6511.815375</x:v>
      </x:c>
      <x:c r="AB858" s="38" t="n">
        <x:f>SUM(W858:AA858)</x:f>
        <x:v>74109.100495</x:v>
      </x:c>
      <x:c r="AC858" s="38" t="n">
        <x:v>5.41</x:v>
      </x:c>
      <x:c r="AD858" s="38" t="n">
        <x:v>174.33</x:v>
      </x:c>
      <x:c r="AE858" s="38" t="n">
        <x:v>53.03</x:v>
      </x:c>
      <x:c r="AF858" s="38" t="n">
        <x:v>4.8148</x:v>
      </x:c>
      <x:c r="AG858" s="38" t="n">
        <x:v>5.16</x:v>
      </x:c>
      <x:c r="AH858" s="38" t="n">
        <x:f>IF(E858="Fason",L858*S858,0)</x:f>
        <x:v>0</x:v>
      </x:c>
      <x:c r="AI858" s="38" t="n">
        <x:f>IF(E858="Kurum içi",AC858*AD858+AE858*AF858+AB858*12%,0)</x:f>
        <x:v>10091.5462034</x:v>
      </x:c>
      <x:c r="AJ858" s="38" t="n">
        <x:f>V858*AG858</x:f>
        <x:v>482.31442871614075</x:v>
      </x:c>
      <x:c r="AK858" s="38" t="n">
        <x:f>AB858*2%</x:f>
        <x:v>1482.1820099000001</x:v>
      </x:c>
      <x:c r="AL858" s="38" t="n">
        <x:f>AB858+AH858+AI858+AJ858+AK858</x:f>
        <x:v>86165.14313701614</x:v>
      </x:c>
      <x:c r="AM858" s="38" t="n">
        <x:f>AL858/V858</x:f>
        <x:v>921.8304743038766</x:v>
      </x:c>
      <x:c r="AN858" s="40" t="n">
        <x:f>(W858+X858)/AL858*100</x:f>
        <x:v>74.20810484620553</x:v>
      </x:c>
      <x:c r="AO858" s="28" t="str">
        <x:v>R01-R20; ilgili satırdaki bölgesel fiyat ve maliyet varsayımları</x:v>
      </x:c>
      <x:c r="AP858" s="28" t="str">
        <x:v>Girdi miktarları, alım fiyatı değişimi, fason bedeli ve parti sonucu simüle edilmiştir; işletme kaydı değildir.</x:v>
      </x:c>
    </x:row>
    <x:row r="859" ht="22" customHeight="1">
      <x:c r="A859" t="str">
        <x:v>SUC-0858</x:v>
      </x:c>
      <x:c r="B859" s="36" t="n">
        <x:v>46273</x:v>
      </x:c>
      <x:c r="C859" t="str">
        <x:v>Doğu Anadolu</x:v>
      </x:c>
      <x:c r="D859" t="str">
        <x:v>ERZURUM_CI</x:v>
      </x:c>
      <x:c r="E859" t="str">
        <x:v>Fason</x:v>
      </x:c>
      <x:c r="F859" s="42" t="str">
        <x:v>SENTETİK/SİMÜLE — gerçek parti kaydı değildir</x:v>
      </x:c>
      <x:c r="G859" s="38" t="n">
        <x:v>69.637</x:v>
      </x:c>
      <x:c r="H859" s="38" t="n">
        <x:v>13.015</x:v>
      </x:c>
      <x:c r="I859" s="38" t="n">
        <x:v>4.213</x:v>
      </x:c>
      <x:c r="J859" s="38" t="n">
        <x:v>1.284</x:v>
      </x:c>
      <x:c r="K859" s="38" t="n">
        <x:v>0.208</x:v>
      </x:c>
      <x:c r="L859" s="38" t="n">
        <x:f>SUM(G859:K859)</x:f>
        <x:v>88.357</x:v>
      </x:c>
      <x:c r="M859" s="38" t="n">
        <x:v>104.479</x:v>
      </x:c>
      <x:c r="N859" s="38" t="n">
        <x:v>587.04</x:v>
      </x:c>
      <x:c r="O859" s="38" t="n">
        <x:v>451.63</x:v>
      </x:c>
      <x:c r="P859" s="38" t="n">
        <x:v>669.9</x:v>
      </x:c>
      <x:c r="Q859" s="38" t="n">
        <x:v>19.88</x:v>
      </x:c>
      <x:c r="R859" s="38" t="n">
        <x:v>43.7475</x:v>
      </x:c>
      <x:c r="S859" s="38" t="n">
        <x:v>77.56</x:v>
      </x:c>
      <x:c r="T859" s="40" t="n">
        <x:v>15.93</x:v>
      </x:c>
      <x:c r="U859" s="40" t="n">
        <x:v>0.65</x:v>
      </x:c>
      <x:c r="V859" s="38" t="n">
        <x:f>L859*(1-T859/100)*(1-U859/100)</x:f>
        <x:v>73.79889865565</x:v>
      </x:c>
      <x:c r="W859" s="38" t="n">
        <x:f>G859*N859</x:f>
        <x:v>40879.70448</x:v>
      </x:c>
      <x:c r="X859" s="38" t="n">
        <x:f>H859*O859</x:f>
        <x:v>5877.96445</x:v>
      </x:c>
      <x:c r="Y859" s="38" t="n">
        <x:f>I859*P859</x:f>
        <x:v>2822.2887</x:v>
      </x:c>
      <x:c r="Z859" s="38" t="n">
        <x:f>J859*Q859+K859*P859</x:f>
        <x:v>164.86512</x:v>
      </x:c>
      <x:c r="AA859" s="38" t="n">
        <x:f>M859*R859</x:f>
        <x:v>4570.6950525</x:v>
      </x:c>
      <x:c r="AB859" s="38" t="n">
        <x:f>SUM(W859:AA859)</x:f>
        <x:v>54315.5178025</x:v>
      </x:c>
      <x:c r="AC859" s="38" t="n">
        <x:v>3.61</x:v>
      </x:c>
      <x:c r="AD859" s="38" t="n">
        <x:v>174.33</x:v>
      </x:c>
      <x:c r="AE859" s="38" t="n">
        <x:v>24.35</x:v>
      </x:c>
      <x:c r="AF859" s="38" t="n">
        <x:v>4.8148</x:v>
      </x:c>
      <x:c r="AG859" s="38" t="n">
        <x:v>5.81</x:v>
      </x:c>
      <x:c r="AH859" s="38" t="n">
        <x:f>IF(E859="Fason",L859*S859,0)</x:f>
        <x:v>6852.96892</x:v>
      </x:c>
      <x:c r="AI859" s="38" t="n">
        <x:f>IF(E859="Kurum içi",AC859*AD859+AE859*AF859+AB859*12%,0)</x:f>
        <x:v>0</x:v>
      </x:c>
      <x:c r="AJ859" s="38" t="n">
        <x:f>V859*AG859</x:f>
        <x:v>428.77160118932653</x:v>
      </x:c>
      <x:c r="AK859" s="38" t="n">
        <x:f>AB859*2%</x:f>
        <x:v>1086.3103560499999</x:v>
      </x:c>
      <x:c r="AL859" s="38" t="n">
        <x:f>AB859+AH859+AI859+AJ859+AK859</x:f>
        <x:v>62683.56867973933</x:v>
      </x:c>
      <x:c r="AM859" s="38" t="n">
        <x:f>AL859/V859</x:f>
        <x:v>849.3835249794789</x:v>
      </x:c>
      <x:c r="AN859" s="40" t="n">
        <x:f>(W859+X859)/AL859*100</x:f>
        <x:v>74.59318273484496</x:v>
      </x:c>
      <x:c r="AO859" s="28" t="str">
        <x:v>R01-R20; ilgili satırdaki bölgesel fiyat ve maliyet varsayımları</x:v>
      </x:c>
      <x:c r="AP859" s="28" t="str">
        <x:v>Girdi miktarları, alım fiyatı değişimi, fason bedeli ve parti sonucu simüle edilmiştir; işletme kaydı değildir.</x:v>
      </x:c>
    </x:row>
    <x:row r="860" ht="22" customHeight="1">
      <x:c r="A860" t="str">
        <x:v>SUC-0859</x:v>
      </x:c>
      <x:c r="B860" s="36" t="n">
        <x:v>46303</x:v>
      </x:c>
      <x:c r="C860" t="str">
        <x:v>Güneydoğu Anadolu</x:v>
      </x:c>
      <x:c r="D860" t="str">
        <x:v>ERZURUM_CI</x:v>
      </x:c>
      <x:c r="E860" t="str">
        <x:v>Kurum içi</x:v>
      </x:c>
      <x:c r="F860" s="42" t="str">
        <x:v>SENTETİK/SİMÜLE — gerçek parti kaydı değildir</x:v>
      </x:c>
      <x:c r="G860" s="38" t="n">
        <x:v>372.183</x:v>
      </x:c>
      <x:c r="H860" s="38" t="n">
        <x:v>64.938</x:v>
      </x:c>
      <x:c r="I860" s="38" t="n">
        <x:v>22.748</x:v>
      </x:c>
      <x:c r="J860" s="38" t="n">
        <x:v>7.444</x:v>
      </x:c>
      <x:c r="K860" s="38" t="n">
        <x:v>0.472</x:v>
      </x:c>
      <x:c r="L860" s="38" t="n">
        <x:f>SUM(G860:K860)</x:f>
        <x:v>467.78499999999997</x:v>
      </x:c>
      <x:c r="M860" s="38" t="n">
        <x:v>593.915</x:v>
      </x:c>
      <x:c r="N860" s="38" t="n">
        <x:v>567.13</x:v>
      </x:c>
      <x:c r="O860" s="38" t="n">
        <x:v>430.47</x:v>
      </x:c>
      <x:c r="P860" s="38" t="n">
        <x:v>400</x:v>
      </x:c>
      <x:c r="Q860" s="38" t="n">
        <x:v>19.88</x:v>
      </x:c>
      <x:c r="R860" s="38" t="n">
        <x:v>43.7475</x:v>
      </x:c>
      <x:c r="S860" s="38" t="n">
        <x:v>67.73</x:v>
      </x:c>
      <x:c r="T860" s="40" t="n">
        <x:v>23.01</x:v>
      </x:c>
      <x:c r="U860" s="40" t="n">
        <x:v>1.19</x:v>
      </x:c>
      <x:c r="V860" s="38" t="n">
        <x:f>L860*(1-T860/100)*(1-U860/100)</x:f>
        <x:v>355.86191420915</x:v>
      </x:c>
      <x:c r="W860" s="38" t="n">
        <x:f>G860*N860</x:f>
        <x:v>211076.14479</x:v>
      </x:c>
      <x:c r="X860" s="38" t="n">
        <x:f>H860*O860</x:f>
        <x:v>27953.860860000004</x:v>
      </x:c>
      <x:c r="Y860" s="38" t="n">
        <x:f>I860*P860</x:f>
        <x:v>9099.2</x:v>
      </x:c>
      <x:c r="Z860" s="38" t="n">
        <x:f>J860*Q860+K860*P860</x:f>
        <x:v>336.78671999999995</x:v>
      </x:c>
      <x:c r="AA860" s="38" t="n">
        <x:f>M860*R860</x:f>
        <x:v>25982.2964625</x:v>
      </x:c>
      <x:c r="AB860" s="38" t="n">
        <x:f>SUM(W860:AA860)</x:f>
        <x:v>274448.2888325</x:v>
      </x:c>
      <x:c r="AC860" s="38" t="n">
        <x:v>21.9</x:v>
      </x:c>
      <x:c r="AD860" s="38" t="n">
        <x:v>174.33</x:v>
      </x:c>
      <x:c r="AE860" s="38" t="n">
        <x:v>125.05</x:v>
      </x:c>
      <x:c r="AF860" s="38" t="n">
        <x:v>4.8148</x:v>
      </x:c>
      <x:c r="AG860" s="38" t="n">
        <x:v>5.85</x:v>
      </x:c>
      <x:c r="AH860" s="38" t="n">
        <x:f>IF(E860="Fason",L860*S860,0)</x:f>
        <x:v>0</x:v>
      </x:c>
      <x:c r="AI860" s="38" t="n">
        <x:f>IF(E860="Kurum içi",AC860*AD860+AE860*AF860+AB860*12%,0)</x:f>
        <x:v>37353.712399899996</x:v>
      </x:c>
      <x:c r="AJ860" s="38" t="n">
        <x:f>V860*AG860</x:f>
        <x:v>2081.792198123527</x:v>
      </x:c>
      <x:c r="AK860" s="38" t="n">
        <x:f>AB860*2%</x:f>
        <x:v>5488.96577665</x:v>
      </x:c>
      <x:c r="AL860" s="38" t="n">
        <x:f>AB860+AH860+AI860+AJ860+AK860</x:f>
        <x:v>319372.75920717354</x:v>
      </x:c>
      <x:c r="AM860" s="38" t="n">
        <x:f>AL860/V860</x:f>
        <x:v>897.4626012365832</x:v>
      </x:c>
      <x:c r="AN860" s="40" t="n">
        <x:f>(W860+X860)/AL860*100</x:f>
        <x:v>74.84357972276024</x:v>
      </x:c>
      <x:c r="AO860" s="28" t="str">
        <x:v>R01-R20; ilgili satırdaki bölgesel fiyat ve maliyet varsayımları</x:v>
      </x:c>
      <x:c r="AP860" s="28" t="str">
        <x:v>Girdi miktarları, alım fiyatı değişimi, fason bedeli ve parti sonucu simüle edilmiştir; işletme kaydı değildir.</x:v>
      </x:c>
    </x:row>
    <x:row r="861" ht="22" customHeight="1">
      <x:c r="A861" t="str">
        <x:v>SUC-0860</x:v>
      </x:c>
      <x:c r="B861" s="36" t="n">
        <x:v>46275</x:v>
      </x:c>
      <x:c r="C861" t="str">
        <x:v>Karadeniz</x:v>
      </x:c>
      <x:c r="D861" t="str">
        <x:v>ERZURUM_CI</x:v>
      </x:c>
      <x:c r="E861" t="str">
        <x:v>Kurum içi</x:v>
      </x:c>
      <x:c r="F861" s="42" t="str">
        <x:v>SENTETİK/SİMÜLE — gerçek parti kaydı değildir</x:v>
      </x:c>
      <x:c r="G861" s="38" t="n">
        <x:v>316.918</x:v>
      </x:c>
      <x:c r="H861" s="38" t="n">
        <x:v>58.915</x:v>
      </x:c>
      <x:c r="I861" s="38" t="n">
        <x:v>18.27</x:v>
      </x:c>
      <x:c r="J861" s="38" t="n">
        <x:v>6.241</x:v>
      </x:c>
      <x:c r="K861" s="38" t="n">
        <x:v>0.243</x:v>
      </x:c>
      <x:c r="L861" s="38" t="n">
        <x:f>SUM(G861:K861)</x:f>
        <x:v>400.587</x:v>
      </x:c>
      <x:c r="M861" s="38" t="n">
        <x:v>483.227</x:v>
      </x:c>
      <x:c r="N861" s="38" t="n">
        <x:v>598.26</x:v>
      </x:c>
      <x:c r="O861" s="38" t="n">
        <x:v>420.87</x:v>
      </x:c>
      <x:c r="P861" s="38" t="n">
        <x:v>550</x:v>
      </x:c>
      <x:c r="Q861" s="38" t="n">
        <x:v>19.88</x:v>
      </x:c>
      <x:c r="R861" s="38" t="n">
        <x:v>43.7475</x:v>
      </x:c>
      <x:c r="S861" s="38" t="n">
        <x:v>72.39</x:v>
      </x:c>
      <x:c r="T861" s="40" t="n">
        <x:v>15.87</x:v>
      </x:c>
      <x:c r="U861" s="40" t="n">
        <x:v>0.78</x:v>
      </x:c>
      <x:c r="V861" s="38" t="n">
        <x:f>L861*(1-T861/100)*(1-U861/100)</x:f>
        <x:v>334.38513512382</x:v>
      </x:c>
      <x:c r="W861" s="38" t="n">
        <x:f>G861*N861</x:f>
        <x:v>189599.36268</x:v>
      </x:c>
      <x:c r="X861" s="38" t="n">
        <x:f>H861*O861</x:f>
        <x:v>24795.55605</x:v>
      </x:c>
      <x:c r="Y861" s="38" t="n">
        <x:f>I861*P861</x:f>
        <x:v>10048.5</x:v>
      </x:c>
      <x:c r="Z861" s="38" t="n">
        <x:f>J861*Q861+K861*P861</x:f>
        <x:v>257.72108</x:v>
      </x:c>
      <x:c r="AA861" s="38" t="n">
        <x:f>M861*R861</x:f>
        <x:v>21139.9731825</x:v>
      </x:c>
      <x:c r="AB861" s="38" t="n">
        <x:f>SUM(W861:AA861)</x:f>
        <x:v>245841.11299249995</x:v>
      </x:c>
      <x:c r="AC861" s="38" t="n">
        <x:v>20.69</x:v>
      </x:c>
      <x:c r="AD861" s="38" t="n">
        <x:v>174.33</x:v>
      </x:c>
      <x:c r="AE861" s="38" t="n">
        <x:v>101.45</x:v>
      </x:c>
      <x:c r="AF861" s="38" t="n">
        <x:v>4.8148</x:v>
      </x:c>
      <x:c r="AG861" s="38" t="n">
        <x:v>5.79</x:v>
      </x:c>
      <x:c r="AH861" s="38" t="n">
        <x:f>IF(E861="Fason",L861*S861,0)</x:f>
        <x:v>0</x:v>
      </x:c>
      <x:c r="AI861" s="38" t="n">
        <x:f>IF(E861="Kurum içi",AC861*AD861+AE861*AF861+AB861*12%,0)</x:f>
        <x:v>33596.282719099996</x:v>
      </x:c>
      <x:c r="AJ861" s="38" t="n">
        <x:f>V861*AG861</x:f>
        <x:v>1936.089932366918</x:v>
      </x:c>
      <x:c r="AK861" s="38" t="n">
        <x:f>AB861*2%</x:f>
        <x:v>4916.822259849999</x:v>
      </x:c>
      <x:c r="AL861" s="38" t="n">
        <x:f>AB861+AH861+AI861+AJ861+AK861</x:f>
        <x:v>286290.30790381687</x:v>
      </x:c>
      <x:c r="AM861" s="38" t="n">
        <x:f>AL861/V861</x:f>
        <x:v>856.1693623067483</x:v>
      </x:c>
      <x:c r="AN861" s="40" t="n">
        <x:f>(W861+X861)/AL861*100</x:f>
        <x:v>74.88724305750122</x:v>
      </x:c>
      <x:c r="AO861" s="28" t="str">
        <x:v>R01-R20; ilgili satırdaki bölgesel fiyat ve maliyet varsayımları</x:v>
      </x:c>
      <x:c r="AP861" s="28" t="str">
        <x:v>Girdi miktarları, alım fiyatı değişimi, fason bedeli ve parti sonucu simüle edilmiştir; işletme kaydı değildir.</x:v>
      </x:c>
    </x:row>
    <x:row r="862" ht="22" customHeight="1">
      <x:c r="A862" t="str">
        <x:v>SUC-0861</x:v>
      </x:c>
      <x:c r="B862" s="36" t="n">
        <x:v>46308</x:v>
      </x:c>
      <x:c r="C862" t="str">
        <x:v>İç Anadolu</x:v>
      </x:c>
      <x:c r="D862" t="str">
        <x:v>MEB_STANDART</x:v>
      </x:c>
      <x:c r="E862" t="str">
        <x:v>Kurum içi</x:v>
      </x:c>
      <x:c r="F862" s="42" t="str">
        <x:v>SENTETİK/SİMÜLE — gerçek parti kaydı değildir</x:v>
      </x:c>
      <x:c r="G862" s="38" t="n">
        <x:v>80.435</x:v>
      </x:c>
      <x:c r="H862" s="38" t="n">
        <x:v>25.618</x:v>
      </x:c>
      <x:c r="I862" s="38" t="n">
        <x:v>5.265</x:v>
      </x:c>
      <x:c r="J862" s="38" t="n">
        <x:v>2.776</x:v>
      </x:c>
      <x:c r="K862" s="38" t="n">
        <x:v>1.281</x:v>
      </x:c>
      <x:c r="L862" s="38" t="n">
        <x:f>SUM(G862:K862)</x:f>
        <x:v>115.375</x:v>
      </x:c>
      <x:c r="M862" s="38" t="n">
        <x:v>137.178</x:v>
      </x:c>
      <x:c r="N862" s="38" t="n">
        <x:v>601.04</x:v>
      </x:c>
      <x:c r="O862" s="38" t="n">
        <x:v>460.94</x:v>
      </x:c>
      <x:c r="P862" s="38" t="n">
        <x:v>669.9</x:v>
      </x:c>
      <x:c r="Q862" s="38" t="n">
        <x:v>19.88</x:v>
      </x:c>
      <x:c r="R862" s="38" t="n">
        <x:v>43.7475</x:v>
      </x:c>
      <x:c r="S862" s="38" t="n">
        <x:v>70.09</x:v>
      </x:c>
      <x:c r="T862" s="40" t="n">
        <x:v>18.6</x:v>
      </x:c>
      <x:c r="U862" s="40" t="n">
        <x:v>0.7</x:v>
      </x:c>
      <x:c r="V862" s="38" t="n">
        <x:f>L862*(1-T862/100)*(1-U862/100)</x:f>
        <x:v>93.25784325</x:v>
      </x:c>
      <x:c r="W862" s="38" t="n">
        <x:f>G862*N862</x:f>
        <x:v>48344.6524</x:v>
      </x:c>
      <x:c r="X862" s="38" t="n">
        <x:f>H862*O862</x:f>
        <x:v>11808.36092</x:v>
      </x:c>
      <x:c r="Y862" s="38" t="n">
        <x:f>I862*P862</x:f>
        <x:v>3527.0235</x:v>
      </x:c>
      <x:c r="Z862" s="38" t="n">
        <x:f>J862*Q862+K862*P862</x:f>
        <x:v>913.3287799999999</x:v>
      </x:c>
      <x:c r="AA862" s="38" t="n">
        <x:f>M862*R862</x:f>
        <x:v>6001.194555</x:v>
      </x:c>
      <x:c r="AB862" s="38" t="n">
        <x:f>SUM(W862:AA862)</x:f>
        <x:v>70594.560155</x:v>
      </x:c>
      <x:c r="AC862" s="38" t="n">
        <x:v>4.16</x:v>
      </x:c>
      <x:c r="AD862" s="38" t="n">
        <x:v>174.33</x:v>
      </x:c>
      <x:c r="AE862" s="38" t="n">
        <x:v>44.87</x:v>
      </x:c>
      <x:c r="AF862" s="38" t="n">
        <x:v>4.8148</x:v>
      </x:c>
      <x:c r="AG862" s="38" t="n">
        <x:v>5.37</x:v>
      </x:c>
      <x:c r="AH862" s="38" t="n">
        <x:f>IF(E862="Fason",L862*S862,0)</x:f>
        <x:v>0</x:v>
      </x:c>
      <x:c r="AI862" s="38" t="n">
        <x:f>IF(E862="Kurum içi",AC862*AD862+AE862*AF862+AB862*12%,0)</x:f>
        <x:v>9412.6000946</x:v>
      </x:c>
      <x:c r="AJ862" s="38" t="n">
        <x:f>V862*AG862</x:f>
        <x:v>500.79461825249996</x:v>
      </x:c>
      <x:c r="AK862" s="38" t="n">
        <x:f>AB862*2%</x:f>
        <x:v>1411.8912031</x:v>
      </x:c>
      <x:c r="AL862" s="38" t="n">
        <x:f>AB862+AH862+AI862+AJ862+AK862</x:f>
        <x:v>81919.84607095251</x:v>
      </x:c>
      <x:c r="AM862" s="38" t="n">
        <x:f>AL862/V862</x:f>
        <x:v>878.423124705412</x:v>
      </x:c>
      <x:c r="AN862" s="40" t="n">
        <x:f>(W862+X862)/AL862*100</x:f>
        <x:v>73.42910931241278</x:v>
      </x:c>
      <x:c r="AO862" s="28" t="str">
        <x:v>R01-R20; ilgili satırdaki bölgesel fiyat ve maliyet varsayımları</x:v>
      </x:c>
      <x:c r="AP862" s="28" t="str">
        <x:v>Girdi miktarları, alım fiyatı değişimi, fason bedeli ve parti sonucu simüle edilmiştir; işletme kaydı değildir.</x:v>
      </x:c>
    </x:row>
    <x:row r="863" ht="22" customHeight="1">
      <x:c r="A863" t="str">
        <x:v>SUC-0862</x:v>
      </x:c>
      <x:c r="B863" s="36" t="n">
        <x:v>46267</x:v>
      </x:c>
      <x:c r="C863" t="str">
        <x:v>Güneydoğu Anadolu</x:v>
      </x:c>
      <x:c r="D863" t="str">
        <x:v>MEB_STANDART</x:v>
      </x:c>
      <x:c r="E863" t="str">
        <x:v>Kurum içi</x:v>
      </x:c>
      <x:c r="F863" s="42" t="str">
        <x:v>SENTETİK/SİMÜLE — gerçek parti kaydı değildir</x:v>
      </x:c>
      <x:c r="G863" s="38" t="n">
        <x:v>312.89</x:v>
      </x:c>
      <x:c r="H863" s="38" t="n">
        <x:v>94.677</x:v>
      </x:c>
      <x:c r="I863" s="38" t="n">
        <x:v>18.663</x:v>
      </x:c>
      <x:c r="J863" s="38" t="n">
        <x:v>11.254</x:v>
      </x:c>
      <x:c r="K863" s="38" t="n">
        <x:v>4.05</x:v>
      </x:c>
      <x:c r="L863" s="38" t="n">
        <x:f>SUM(G863:K863)</x:f>
        <x:v>441.53400000000005</x:v>
      </x:c>
      <x:c r="M863" s="38" t="n">
        <x:v>535.367</x:v>
      </x:c>
      <x:c r="N863" s="38" t="n">
        <x:v>591.09</x:v>
      </x:c>
      <x:c r="O863" s="38" t="n">
        <x:v>472.02</x:v>
      </x:c>
      <x:c r="P863" s="38" t="n">
        <x:v>400</x:v>
      </x:c>
      <x:c r="Q863" s="38" t="n">
        <x:v>19.88</x:v>
      </x:c>
      <x:c r="R863" s="38" t="n">
        <x:v>43.7475</x:v>
      </x:c>
      <x:c r="S863" s="38" t="n">
        <x:v>83.26</x:v>
      </x:c>
      <x:c r="T863" s="40" t="n">
        <x:v>16.33</x:v>
      </x:c>
      <x:c r="U863" s="40" t="n">
        <x:v>1.55</x:v>
      </x:c>
      <x:c r="V863" s="38" t="n">
        <x:f>L863*(1-T863/100)*(1-U863/100)</x:f>
        <x:v>363.70530958410006</x:v>
      </x:c>
      <x:c r="W863" s="38" t="n">
        <x:f>G863*N863</x:f>
        <x:v>184946.1501</x:v>
      </x:c>
      <x:c r="X863" s="38" t="n">
        <x:f>H863*O863</x:f>
        <x:v>44689.43754</x:v>
      </x:c>
      <x:c r="Y863" s="38" t="n">
        <x:f>I863*P863</x:f>
        <x:v>7465.2</x:v>
      </x:c>
      <x:c r="Z863" s="38" t="n">
        <x:f>J863*Q863+K863*P863</x:f>
        <x:v>1843.7295199999999</x:v>
      </x:c>
      <x:c r="AA863" s="38" t="n">
        <x:f>M863*R863</x:f>
        <x:v>23420.9678325</x:v>
      </x:c>
      <x:c r="AB863" s="38" t="n">
        <x:f>SUM(W863:AA863)</x:f>
        <x:v>262365.4849925</x:v>
      </x:c>
      <x:c r="AC863" s="38" t="n">
        <x:v>25.82</x:v>
      </x:c>
      <x:c r="AD863" s="38" t="n">
        <x:v>174.33</x:v>
      </x:c>
      <x:c r="AE863" s="38" t="n">
        <x:v>145.03</x:v>
      </x:c>
      <x:c r="AF863" s="38" t="n">
        <x:v>4.8148</x:v>
      </x:c>
      <x:c r="AG863" s="38" t="n">
        <x:v>5.8</x:v>
      </x:c>
      <x:c r="AH863" s="38" t="n">
        <x:f>IF(E863="Fason",L863*S863,0)</x:f>
        <x:v>0</x:v>
      </x:c>
      <x:c r="AI863" s="38" t="n">
        <x:f>IF(E863="Kurum içi",AC863*AD863+AE863*AF863+AB863*12%,0)</x:f>
        <x:v>36683.3492431</x:v>
      </x:c>
      <x:c r="AJ863" s="38" t="n">
        <x:f>V863*AG863</x:f>
        <x:v>2109.49079558778</x:v>
      </x:c>
      <x:c r="AK863" s="38" t="n">
        <x:f>AB863*2%</x:f>
        <x:v>5247.30969985</x:v>
      </x:c>
      <x:c r="AL863" s="38" t="n">
        <x:f>AB863+AH863+AI863+AJ863+AK863</x:f>
        <x:v>306405.6347310377</x:v>
      </x:c>
      <x:c r="AM863" s="38" t="n">
        <x:f>AL863/V863</x:f>
        <x:v>842.4557647547543</x:v>
      </x:c>
      <x:c r="AN863" s="40" t="n">
        <x:f>(W863+X863)/AL863*100</x:f>
        <x:v>74.94496236714892</x:v>
      </x:c>
      <x:c r="AO863" s="28" t="str">
        <x:v>R01-R20; ilgili satırdaki bölgesel fiyat ve maliyet varsayımları</x:v>
      </x:c>
      <x:c r="AP863" s="28" t="str">
        <x:v>Girdi miktarları, alım fiyatı değişimi, fason bedeli ve parti sonucu simüle edilmiştir; işletme kaydı değildir.</x:v>
      </x:c>
    </x:row>
    <x:row r="864" ht="22" customHeight="1">
      <x:c r="A864" t="str">
        <x:v>SUC-0863</x:v>
      </x:c>
      <x:c r="B864" s="36" t="n">
        <x:v>46278</x:v>
      </x:c>
      <x:c r="C864" t="str">
        <x:v>İç Anadolu</x:v>
      </x:c>
      <x:c r="D864" t="str">
        <x:v>ERZURUM_CI</x:v>
      </x:c>
      <x:c r="E864" t="str">
        <x:v>Kurum içi</x:v>
      </x:c>
      <x:c r="F864" s="42" t="str">
        <x:v>SENTETİK/SİMÜLE — gerçek parti kaydı değildir</x:v>
      </x:c>
      <x:c r="G864" s="38" t="n">
        <x:v>155.55</x:v>
      </x:c>
      <x:c r="H864" s="38" t="n">
        <x:v>26.816</x:v>
      </x:c>
      <x:c r="I864" s="38" t="n">
        <x:v>9.51</x:v>
      </x:c>
      <x:c r="J864" s="38" t="n">
        <x:v>3.105</x:v>
      </x:c>
      <x:c r="K864" s="38" t="n">
        <x:v>0.019</x:v>
      </x:c>
      <x:c r="L864" s="38" t="n">
        <x:f>SUM(G864:K864)</x:f>
        <x:v>195</x:v>
      </x:c>
      <x:c r="M864" s="38" t="n">
        <x:v>262.883</x:v>
      </x:c>
      <x:c r="N864" s="38" t="n">
        <x:v>577.27</x:v>
      </x:c>
      <x:c r="O864" s="38" t="n">
        <x:v>418.85</x:v>
      </x:c>
      <x:c r="P864" s="38" t="n">
        <x:v>669.9</x:v>
      </x:c>
      <x:c r="Q864" s="38" t="n">
        <x:v>19.88</x:v>
      </x:c>
      <x:c r="R864" s="38" t="n">
        <x:v>43.7475</x:v>
      </x:c>
      <x:c r="S864" s="38" t="n">
        <x:v>75.49</x:v>
      </x:c>
      <x:c r="T864" s="40" t="n">
        <x:v>32.44</x:v>
      </x:c>
      <x:c r="U864" s="40" t="n">
        <x:v>1.33</x:v>
      </x:c>
      <x:c r="V864" s="38" t="n">
        <x:f>L864*(1-T864/100)*(1-U864/100)</x:f>
        <x:v>129.98983139999999</x:v>
      </x:c>
      <x:c r="W864" s="38" t="n">
        <x:f>G864*N864</x:f>
        <x:v>89794.34850000001</x:v>
      </x:c>
      <x:c r="X864" s="38" t="n">
        <x:f>H864*O864</x:f>
        <x:v>11231.8816</x:v>
      </x:c>
      <x:c r="Y864" s="38" t="n">
        <x:f>I864*P864</x:f>
        <x:v>6370.749</x:v>
      </x:c>
      <x:c r="Z864" s="38" t="n">
        <x:f>J864*Q864+K864*P864</x:f>
        <x:v>74.4555</x:v>
      </x:c>
      <x:c r="AA864" s="38" t="n">
        <x:f>M864*R864</x:f>
        <x:v>11500.4740425</x:v>
      </x:c>
      <x:c r="AB864" s="38" t="n">
        <x:f>SUM(W864:AA864)</x:f>
        <x:v>118971.90864250001</x:v>
      </x:c>
      <x:c r="AC864" s="38" t="n">
        <x:v>12.45</x:v>
      </x:c>
      <x:c r="AD864" s="38" t="n">
        <x:v>174.33</x:v>
      </x:c>
      <x:c r="AE864" s="38" t="n">
        <x:v>82.07</x:v>
      </x:c>
      <x:c r="AF864" s="38" t="n">
        <x:v>4.8148</x:v>
      </x:c>
      <x:c r="AG864" s="38" t="n">
        <x:v>5.65</x:v>
      </x:c>
      <x:c r="AH864" s="38" t="n">
        <x:f>IF(E864="Fason",L864*S864,0)</x:f>
        <x:v>0</x:v>
      </x:c>
      <x:c r="AI864" s="38" t="n">
        <x:f>IF(E864="Kurum içi",AC864*AD864+AE864*AF864+AB864*12%,0)</x:f>
        <x:v>16842.188173100003</x:v>
      </x:c>
      <x:c r="AJ864" s="38" t="n">
        <x:f>V864*AG864</x:f>
        <x:v>734.44254741</x:v>
      </x:c>
      <x:c r="AK864" s="38" t="n">
        <x:f>AB864*2%</x:f>
        <x:v>2379.4381728500002</x:v>
      </x:c>
      <x:c r="AL864" s="38" t="n">
        <x:f>AB864+AH864+AI864+AJ864+AK864</x:f>
        <x:v>138927.97753586</x:v>
      </x:c>
      <x:c r="AM864" s="38" t="n">
        <x:f>AL864/V864</x:f>
        <x:v>1068.7603487103224</x:v>
      </x:c>
      <x:c r="AN864" s="40" t="n">
        <x:f>(W864+X864)/AL864*100</x:f>
        <x:v>72.7184199265574</x:v>
      </x:c>
      <x:c r="AO864" s="28" t="str">
        <x:v>R01-R20; ilgili satırdaki bölgesel fiyat ve maliyet varsayımları</x:v>
      </x:c>
      <x:c r="AP864" s="28" t="str">
        <x:v>Girdi miktarları, alım fiyatı değişimi, fason bedeli ve parti sonucu simüle edilmiştir; işletme kaydı değildir.</x:v>
      </x:c>
    </x:row>
    <x:row r="865" ht="22" customHeight="1">
      <x:c r="A865" t="str">
        <x:v>SUC-0864</x:v>
      </x:c>
      <x:c r="B865" s="36" t="n">
        <x:v>46277</x:v>
      </x:c>
      <x:c r="C865" t="str">
        <x:v>İç Anadolu</x:v>
      </x:c>
      <x:c r="D865" t="str">
        <x:v>ERZURUM_CI</x:v>
      </x:c>
      <x:c r="E865" t="str">
        <x:v>Kurum içi</x:v>
      </x:c>
      <x:c r="F865" s="42" t="str">
        <x:v>SENTETİK/SİMÜLE — gerçek parti kaydı değildir</x:v>
      </x:c>
      <x:c r="G865" s="38" t="n">
        <x:v>167.768</x:v>
      </x:c>
      <x:c r="H865" s="38" t="n">
        <x:v>28.164</x:v>
      </x:c>
      <x:c r="I865" s="38" t="n">
        <x:v>9.761</x:v>
      </x:c>
      <x:c r="J865" s="38" t="n">
        <x:v>3.523</x:v>
      </x:c>
      <x:c r="K865" s="38" t="n">
        <x:v>0.021</x:v>
      </x:c>
      <x:c r="L865" s="38" t="n">
        <x:f>SUM(G865:K865)</x:f>
        <x:v>209.237</x:v>
      </x:c>
      <x:c r="M865" s="38" t="n">
        <x:v>275.374</x:v>
      </x:c>
      <x:c r="N865" s="38" t="n">
        <x:v>581.48</x:v>
      </x:c>
      <x:c r="O865" s="38" t="n">
        <x:v>456.41</x:v>
      </x:c>
      <x:c r="P865" s="38" t="n">
        <x:v>550</x:v>
      </x:c>
      <x:c r="Q865" s="38" t="n">
        <x:v>19.88</x:v>
      </x:c>
      <x:c r="R865" s="38" t="n">
        <x:v>43.7475</x:v>
      </x:c>
      <x:c r="S865" s="38" t="n">
        <x:v>70.79</x:v>
      </x:c>
      <x:c r="T865" s="40" t="n">
        <x:v>22.97</x:v>
      </x:c>
      <x:c r="U865" s="40" t="n">
        <x:v>0.99</x:v>
      </x:c>
      <x:c r="V865" s="38" t="n">
        <x:f>L865*(1-T865/100)*(1-U865/100)</x:f>
        <x:v>159.57962601511</x:v>
      </x:c>
      <x:c r="W865" s="38" t="n">
        <x:f>G865*N865</x:f>
        <x:v>97553.73664</x:v>
      </x:c>
      <x:c r="X865" s="38" t="n">
        <x:f>H865*O865</x:f>
        <x:v>12854.331240000001</x:v>
      </x:c>
      <x:c r="Y865" s="38" t="n">
        <x:f>I865*P865</x:f>
        <x:v>5368.549999999999</x:v>
      </x:c>
      <x:c r="Z865" s="38" t="n">
        <x:f>J865*Q865+K865*P865</x:f>
        <x:v>81.58724</x:v>
      </x:c>
      <x:c r="AA865" s="38" t="n">
        <x:f>M865*R865</x:f>
        <x:v>12046.924065000001</x:v>
      </x:c>
      <x:c r="AB865" s="38" t="n">
        <x:f>SUM(W865:AA865)</x:f>
        <x:v>127905.129185</x:v>
      </x:c>
      <x:c r="AC865" s="38" t="n">
        <x:v>11.7</x:v>
      </x:c>
      <x:c r="AD865" s="38" t="n">
        <x:v>174.33</x:v>
      </x:c>
      <x:c r="AE865" s="38" t="n">
        <x:v>65.31</x:v>
      </x:c>
      <x:c r="AF865" s="38" t="n">
        <x:v>4.8148</x:v>
      </x:c>
      <x:c r="AG865" s="38" t="n">
        <x:v>5.48</x:v>
      </x:c>
      <x:c r="AH865" s="38" t="n">
        <x:f>IF(E865="Fason",L865*S865,0)</x:f>
        <x:v>0</x:v>
      </x:c>
      <x:c r="AI865" s="38" t="n">
        <x:f>IF(E865="Kurum içi",AC865*AD865+AE865*AF865+AB865*12%,0)</x:f>
        <x:v>17702.7310902</x:v>
      </x:c>
      <x:c r="AJ865" s="38" t="n">
        <x:f>V865*AG865</x:f>
        <x:v>874.4963505628028</x:v>
      </x:c>
      <x:c r="AK865" s="38" t="n">
        <x:f>AB865*2%</x:f>
        <x:v>2558.1025837</x:v>
      </x:c>
      <x:c r="AL865" s="38" t="n">
        <x:f>AB865+AH865+AI865+AJ865+AK865</x:f>
        <x:v>149040.4592094628</x:v>
      </x:c>
      <x:c r="AM865" s="38" t="n">
        <x:f>AL865/V865</x:f>
        <x:v>933.95668940439</x:v>
      </x:c>
      <x:c r="AN865" s="40" t="n">
        <x:f>(W865+X865)/AL865*100</x:f>
        <x:v>74.07925905866374</x:v>
      </x:c>
      <x:c r="AO865" s="28" t="str">
        <x:v>R01-R20; ilgili satırdaki bölgesel fiyat ve maliyet varsayımları</x:v>
      </x:c>
      <x:c r="AP865" s="28" t="str">
        <x:v>Girdi miktarları, alım fiyatı değişimi, fason bedeli ve parti sonucu simüle edilmiştir; işletme kaydı değildir.</x:v>
      </x:c>
    </x:row>
    <x:row r="866" ht="22" customHeight="1">
      <x:c r="A866" t="str">
        <x:v>SUC-0865</x:v>
      </x:c>
      <x:c r="B866" s="36" t="n">
        <x:v>46306</x:v>
      </x:c>
      <x:c r="C866" t="str">
        <x:v>İç Anadolu</x:v>
      </x:c>
      <x:c r="D866" t="str">
        <x:v>MEB_STANDART</x:v>
      </x:c>
      <x:c r="E866" t="str">
        <x:v>Kurum içi</x:v>
      </x:c>
      <x:c r="F866" s="42" t="str">
        <x:v>SENTETİK/SİMÜLE — gerçek parti kaydı değildir</x:v>
      </x:c>
      <x:c r="G866" s="38" t="n">
        <x:v>185.911</x:v>
      </x:c>
      <x:c r="H866" s="38" t="n">
        <x:v>58.498</x:v>
      </x:c>
      <x:c r="I866" s="38" t="n">
        <x:v>11.875</x:v>
      </x:c>
      <x:c r="J866" s="38" t="n">
        <x:v>6.121</x:v>
      </x:c>
      <x:c r="K866" s="38" t="n">
        <x:v>2.627</x:v>
      </x:c>
      <x:c r="L866" s="38" t="n">
        <x:f>SUM(G866:K866)</x:f>
        <x:v>265.032</x:v>
      </x:c>
      <x:c r="M866" s="38" t="n">
        <x:v>357.768</x:v>
      </x:c>
      <x:c r="N866" s="38" t="n">
        <x:v>578.74</x:v>
      </x:c>
      <x:c r="O866" s="38" t="n">
        <x:v>469.7</x:v>
      </x:c>
      <x:c r="P866" s="38" t="n">
        <x:v>400</x:v>
      </x:c>
      <x:c r="Q866" s="38" t="n">
        <x:v>19.88</x:v>
      </x:c>
      <x:c r="R866" s="38" t="n">
        <x:v>43.7475</x:v>
      </x:c>
      <x:c r="S866" s="38" t="n">
        <x:v>102.77</x:v>
      </x:c>
      <x:c r="T866" s="40" t="n">
        <x:v>16.24</x:v>
      </x:c>
      <x:c r="U866" s="40" t="n">
        <x:v>0.67</x:v>
      </x:c>
      <x:c r="V866" s="38" t="n">
        <x:f>L866*(1-T866/100)*(1-U866/100)</x:f>
        <x:v>220.50346481856</x:v>
      </x:c>
      <x:c r="W866" s="38" t="n">
        <x:f>G866*N866</x:f>
        <x:v>107594.13214</x:v>
      </x:c>
      <x:c r="X866" s="38" t="n">
        <x:f>H866*O866</x:f>
        <x:v>27476.510599999998</x:v>
      </x:c>
      <x:c r="Y866" s="38" t="n">
        <x:f>I866*P866</x:f>
        <x:v>4750</x:v>
      </x:c>
      <x:c r="Z866" s="38" t="n">
        <x:f>J866*Q866+K866*P866</x:f>
        <x:v>1172.48548</x:v>
      </x:c>
      <x:c r="AA866" s="38" t="n">
        <x:f>M866*R866</x:f>
        <x:v>15651.45558</x:v>
      </x:c>
      <x:c r="AB866" s="38" t="n">
        <x:f>SUM(W866:AA866)</x:f>
        <x:v>156644.58380000002</x:v>
      </x:c>
      <x:c r="AC866" s="38" t="n">
        <x:v>16.19</x:v>
      </x:c>
      <x:c r="AD866" s="38" t="n">
        <x:v>174.33</x:v>
      </x:c>
      <x:c r="AE866" s="38" t="n">
        <x:v>109.32</x:v>
      </x:c>
      <x:c r="AF866" s="38" t="n">
        <x:v>4.8148</x:v>
      </x:c>
      <x:c r="AG866" s="38" t="n">
        <x:v>5.49</x:v>
      </x:c>
      <x:c r="AH866" s="38" t="n">
        <x:f>IF(E866="Fason",L866*S866,0)</x:f>
        <x:v>0</x:v>
      </x:c>
      <x:c r="AI866" s="38" t="n">
        <x:f>IF(E866="Kurum içi",AC866*AD866+AE866*AF866+AB866*12%,0)</x:f>
        <x:v>22146.106692000005</x:v>
      </x:c>
      <x:c r="AJ866" s="38" t="n">
        <x:f>V866*AG866</x:f>
        <x:v>1210.5640218538945</x:v>
      </x:c>
      <x:c r="AK866" s="38" t="n">
        <x:f>AB866*2%</x:f>
        <x:v>3132.8916760000006</x:v>
      </x:c>
      <x:c r="AL866" s="38" t="n">
        <x:f>AB866+AH866+AI866+AJ866+AK866</x:f>
        <x:v>183134.14618985393</x:v>
      </x:c>
      <x:c r="AM866" s="38" t="n">
        <x:f>AL866/V866</x:f>
        <x:v>830.5272950724144</x:v>
      </x:c>
      <x:c r="AN866" s="40" t="n">
        <x:f>(W866+X866)/AL866*100</x:f>
        <x:v>73.75502905939409</x:v>
      </x:c>
      <x:c r="AO866" s="28" t="str">
        <x:v>R01-R20; ilgili satırdaki bölgesel fiyat ve maliyet varsayımları</x:v>
      </x:c>
      <x:c r="AP866" s="28" t="str">
        <x:v>Girdi miktarları, alım fiyatı değişimi, fason bedeli ve parti sonucu simüle edilmiştir; işletme kaydı değildir.</x:v>
      </x:c>
    </x:row>
    <x:row r="867" ht="22" customHeight="1">
      <x:c r="A867" t="str">
        <x:v>SUC-0866</x:v>
      </x:c>
      <x:c r="B867" s="36" t="n">
        <x:v>46306</x:v>
      </x:c>
      <x:c r="C867" t="str">
        <x:v>Karadeniz</x:v>
      </x:c>
      <x:c r="D867" t="str">
        <x:v>ERZURUM_CI</x:v>
      </x:c>
      <x:c r="E867" t="str">
        <x:v>Kurum içi</x:v>
      </x:c>
      <x:c r="F867" s="42" t="str">
        <x:v>SENTETİK/SİMÜLE — gerçek parti kaydı değildir</x:v>
      </x:c>
      <x:c r="G867" s="38" t="n">
        <x:v>372.955</x:v>
      </x:c>
      <x:c r="H867" s="38" t="n">
        <x:v>64.183</x:v>
      </x:c>
      <x:c r="I867" s="38" t="n">
        <x:v>23.006</x:v>
      </x:c>
      <x:c r="J867" s="38" t="n">
        <x:v>7.745</x:v>
      </x:c>
      <x:c r="K867" s="38" t="n">
        <x:v>0.216</x:v>
      </x:c>
      <x:c r="L867" s="38" t="n">
        <x:f>SUM(G867:K867)</x:f>
        <x:v>468.105</x:v>
      </x:c>
      <x:c r="M867" s="38" t="n">
        <x:v>620.338</x:v>
      </x:c>
      <x:c r="N867" s="38" t="n">
        <x:v>597.28</x:v>
      </x:c>
      <x:c r="O867" s="38" t="n">
        <x:v>471.12</x:v>
      </x:c>
      <x:c r="P867" s="38" t="n">
        <x:v>400</x:v>
      </x:c>
      <x:c r="Q867" s="38" t="n">
        <x:v>19.88</x:v>
      </x:c>
      <x:c r="R867" s="38" t="n">
        <x:v>43.7475</x:v>
      </x:c>
      <x:c r="S867" s="38" t="n">
        <x:v>65.42</x:v>
      </x:c>
      <x:c r="T867" s="40" t="n">
        <x:v>21.43</x:v>
      </x:c>
      <x:c r="U867" s="40" t="n">
        <x:v>1.04</x:v>
      </x:c>
      <x:c r="V867" s="38" t="n">
        <x:f>L867*(1-T867/100)*(1-U867/100)</x:f>
        <x:v>363.9650814756001</x:v>
      </x:c>
      <x:c r="W867" s="38" t="n">
        <x:f>G867*N867</x:f>
        <x:v>222758.56239999997</x:v>
      </x:c>
      <x:c r="X867" s="38" t="n">
        <x:f>H867*O867</x:f>
        <x:v>30237.894960000005</x:v>
      </x:c>
      <x:c r="Y867" s="38" t="n">
        <x:f>I867*P867</x:f>
        <x:v>9202.4</x:v>
      </x:c>
      <x:c r="Z867" s="38" t="n">
        <x:f>J867*Q867+K867*P867</x:f>
        <x:v>240.3706</x:v>
      </x:c>
      <x:c r="AA867" s="38" t="n">
        <x:f>M867*R867</x:f>
        <x:v>27138.236655</x:v>
      </x:c>
      <x:c r="AB867" s="38" t="n">
        <x:f>SUM(W867:AA867)</x:f>
        <x:v>289577.464615</x:v>
      </x:c>
      <x:c r="AC867" s="38" t="n">
        <x:v>30.53</x:v>
      </x:c>
      <x:c r="AD867" s="38" t="n">
        <x:v>174.33</x:v>
      </x:c>
      <x:c r="AE867" s="38" t="n">
        <x:v>183.45</x:v>
      </x:c>
      <x:c r="AF867" s="38" t="n">
        <x:v>4.8148</x:v>
      </x:c>
      <x:c r="AG867" s="38" t="n">
        <x:v>5.58</x:v>
      </x:c>
      <x:c r="AH867" s="38" t="n">
        <x:f>IF(E867="Fason",L867*S867,0)</x:f>
        <x:v>0</x:v>
      </x:c>
      <x:c r="AI867" s="38" t="n">
        <x:f>IF(E867="Kurum içi",AC867*AD867+AE867*AF867+AB867*12%,0)</x:f>
        <x:v>40954.8657138</x:v>
      </x:c>
      <x:c r="AJ867" s="38" t="n">
        <x:f>V867*AG867</x:f>
        <x:v>2030.9251546338485</x:v>
      </x:c>
      <x:c r="AK867" s="38" t="n">
        <x:f>AB867*2%</x:f>
        <x:v>5791.5492923</x:v>
      </x:c>
      <x:c r="AL867" s="38" t="n">
        <x:f>AB867+AH867+AI867+AJ867+AK867</x:f>
        <x:v>338354.80477573385</x:v>
      </x:c>
      <x:c r="AM867" s="38" t="n">
        <x:f>AL867/V867</x:f>
        <x:v>929.6353468963667</x:v>
      </x:c>
      <x:c r="AN867" s="40" t="n">
        <x:f>(W867+X867)/AL867*100</x:f>
        <x:v>74.7725327937014</x:v>
      </x:c>
      <x:c r="AO867" s="28" t="str">
        <x:v>R01-R20; ilgili satırdaki bölgesel fiyat ve maliyet varsayımları</x:v>
      </x:c>
      <x:c r="AP867" s="28" t="str">
        <x:v>Girdi miktarları, alım fiyatı değişimi, fason bedeli ve parti sonucu simüle edilmiştir; işletme kaydı değildir.</x:v>
      </x:c>
    </x:row>
    <x:row r="868" ht="22" customHeight="1">
      <x:c r="A868" t="str">
        <x:v>SUC-0867</x:v>
      </x:c>
      <x:c r="B868" s="36" t="n">
        <x:v>46302</x:v>
      </x:c>
      <x:c r="C868" t="str">
        <x:v>Marmara</x:v>
      </x:c>
      <x:c r="D868" t="str">
        <x:v>MEB_STANDART</x:v>
      </x:c>
      <x:c r="E868" t="str">
        <x:v>Fason</x:v>
      </x:c>
      <x:c r="F868" s="42" t="str">
        <x:v>SENTETİK/SİMÜLE — gerçek parti kaydı değildir</x:v>
      </x:c>
      <x:c r="G868" s="38" t="n">
        <x:v>117.147</x:v>
      </x:c>
      <x:c r="H868" s="38" t="n">
        <x:v>38.46</x:v>
      </x:c>
      <x:c r="I868" s="38" t="n">
        <x:v>7.652</x:v>
      </x:c>
      <x:c r="J868" s="38" t="n">
        <x:v>4.015</x:v>
      </x:c>
      <x:c r="K868" s="38" t="n">
        <x:v>1.768</x:v>
      </x:c>
      <x:c r="L868" s="38" t="n">
        <x:f>SUM(G868:K868)</x:f>
        <x:v>169.04199999999997</x:v>
      </x:c>
      <x:c r="M868" s="38" t="n">
        <x:v>204.52</x:v>
      </x:c>
      <x:c r="N868" s="38" t="n">
        <x:v>592.54</x:v>
      </x:c>
      <x:c r="O868" s="38" t="n">
        <x:v>410.96</x:v>
      </x:c>
      <x:c r="P868" s="38" t="n">
        <x:v>400</x:v>
      </x:c>
      <x:c r="Q868" s="38" t="n">
        <x:v>19.88</x:v>
      </x:c>
      <x:c r="R868" s="38" t="n">
        <x:v>43.7475</x:v>
      </x:c>
      <x:c r="S868" s="38" t="n">
        <x:v>68.12</x:v>
      </x:c>
      <x:c r="T868" s="40" t="n">
        <x:v>19.98</x:v>
      </x:c>
      <x:c r="U868" s="40" t="n">
        <x:v>1.43</x:v>
      </x:c>
      <x:c r="V868" s="38" t="n">
        <x:f>L868*(1-T868/100)*(1-U868/100)</x:f>
        <x:v>133.33308445987998</x:v>
      </x:c>
      <x:c r="W868" s="38" t="n">
        <x:f>G868*N868</x:f>
        <x:v>69414.28338</x:v>
      </x:c>
      <x:c r="X868" s="38" t="n">
        <x:f>H868*O868</x:f>
        <x:v>15805.5216</x:v>
      </x:c>
      <x:c r="Y868" s="38" t="n">
        <x:f>I868*P868</x:f>
        <x:v>3060.8</x:v>
      </x:c>
      <x:c r="Z868" s="38" t="n">
        <x:f>J868*Q868+K868*P868</x:f>
        <x:v>787.0182</x:v>
      </x:c>
      <x:c r="AA868" s="38" t="n">
        <x:f>M868*R868</x:f>
        <x:v>8947.238700000002</x:v>
      </x:c>
      <x:c r="AB868" s="38" t="n">
        <x:f>SUM(W868:AA868)</x:f>
        <x:v>98014.86188</x:v>
      </x:c>
      <x:c r="AC868" s="38" t="n">
        <x:v>9.49</x:v>
      </x:c>
      <x:c r="AD868" s="38" t="n">
        <x:v>174.33</x:v>
      </x:c>
      <x:c r="AE868" s="38" t="n">
        <x:v>79.4</x:v>
      </x:c>
      <x:c r="AF868" s="38" t="n">
        <x:v>4.8148</x:v>
      </x:c>
      <x:c r="AG868" s="38" t="n">
        <x:v>5.2</x:v>
      </x:c>
      <x:c r="AH868" s="38" t="n">
        <x:f>IF(E868="Fason",L868*S868,0)</x:f>
        <x:v>11515.141039999999</x:v>
      </x:c>
      <x:c r="AI868" s="38" t="n">
        <x:f>IF(E868="Kurum içi",AC868*AD868+AE868*AF868+AB868*12%,0)</x:f>
        <x:v>0</x:v>
      </x:c>
      <x:c r="AJ868" s="38" t="n">
        <x:f>V868*AG868</x:f>
        <x:v>693.332039191376</x:v>
      </x:c>
      <x:c r="AK868" s="38" t="n">
        <x:f>AB868*2%</x:f>
        <x:v>1960.2972376</x:v>
      </x:c>
      <x:c r="AL868" s="38" t="n">
        <x:f>AB868+AH868+AI868+AJ868+AK868</x:f>
        <x:v>112183.63219679137</x:v>
      </x:c>
      <x:c r="AM868" s="38" t="n">
        <x:f>AL868/V868</x:f>
        <x:v>841.3788119523141</x:v>
      </x:c>
      <x:c r="AN868" s="40" t="n">
        <x:f>(W868+X868)/AL868*100</x:f>
        <x:v>75.96456213015841</x:v>
      </x:c>
      <x:c r="AO868" s="28" t="str">
        <x:v>R01-R20; ilgili satırdaki bölgesel fiyat ve maliyet varsayımları</x:v>
      </x:c>
      <x:c r="AP868" s="28" t="str">
        <x:v>Girdi miktarları, alım fiyatı değişimi, fason bedeli ve parti sonucu simüle edilmiştir; işletme kaydı değildir.</x:v>
      </x:c>
    </x:row>
    <x:row r="869" ht="22" customHeight="1">
      <x:c r="A869" t="str">
        <x:v>SUC-0868</x:v>
      </x:c>
      <x:c r="B869" s="36" t="n">
        <x:v>46266</x:v>
      </x:c>
      <x:c r="C869" t="str">
        <x:v>Doğu Anadolu</x:v>
      </x:c>
      <x:c r="D869" t="str">
        <x:v>ERZURUM_CI</x:v>
      </x:c>
      <x:c r="E869" t="str">
        <x:v>Kurum içi</x:v>
      </x:c>
      <x:c r="F869" s="42" t="str">
        <x:v>SENTETİK/SİMÜLE — gerçek parti kaydı değildir</x:v>
      </x:c>
      <x:c r="G869" s="38" t="n">
        <x:v>197.545</x:v>
      </x:c>
      <x:c r="H869" s="38" t="n">
        <x:v>36.245</x:v>
      </x:c>
      <x:c r="I869" s="38" t="n">
        <x:v>12.118</x:v>
      </x:c>
      <x:c r="J869" s="38" t="n">
        <x:v>3.425</x:v>
      </x:c>
      <x:c r="K869" s="38" t="n">
        <x:v>0.165</x:v>
      </x:c>
      <x:c r="L869" s="38" t="n">
        <x:f>SUM(G869:K869)</x:f>
        <x:v>249.498</x:v>
      </x:c>
      <x:c r="M869" s="38" t="n">
        <x:v>297.469</x:v>
      </x:c>
      <x:c r="N869" s="38" t="n">
        <x:v>606.69</x:v>
      </x:c>
      <x:c r="O869" s="38" t="n">
        <x:v>469.28</x:v>
      </x:c>
      <x:c r="P869" s="38" t="n">
        <x:v>400</x:v>
      </x:c>
      <x:c r="Q869" s="38" t="n">
        <x:v>19.88</x:v>
      </x:c>
      <x:c r="R869" s="38" t="n">
        <x:v>43.7475</x:v>
      </x:c>
      <x:c r="S869" s="38" t="n">
        <x:v>100</x:v>
      </x:c>
      <x:c r="T869" s="40" t="n">
        <x:v>18.25</x:v>
      </x:c>
      <x:c r="U869" s="40" t="n">
        <x:v>0.34</x:v>
      </x:c>
      <x:c r="V869" s="38" t="n">
        <x:f>L869*(1-T869/100)*(1-U869/100)</x:f>
        <x:v>203.271135309</x:v>
      </x:c>
      <x:c r="W869" s="38" t="n">
        <x:f>G869*N869</x:f>
        <x:v>119848.57605</x:v>
      </x:c>
      <x:c r="X869" s="38" t="n">
        <x:f>H869*O869</x:f>
        <x:v>17009.0536</x:v>
      </x:c>
      <x:c r="Y869" s="38" t="n">
        <x:f>I869*P869</x:f>
        <x:v>4847.2</x:v>
      </x:c>
      <x:c r="Z869" s="38" t="n">
        <x:f>J869*Q869+K869*P869</x:f>
        <x:v>134.089</x:v>
      </x:c>
      <x:c r="AA869" s="38" t="n">
        <x:f>M869*R869</x:f>
        <x:v>13013.5250775</x:v>
      </x:c>
      <x:c r="AB869" s="38" t="n">
        <x:f>SUM(W869:AA869)</x:f>
        <x:v>154852.44372750004</x:v>
      </x:c>
      <x:c r="AC869" s="38" t="n">
        <x:v>14.88</x:v>
      </x:c>
      <x:c r="AD869" s="38" t="n">
        <x:v>174.33</x:v>
      </x:c>
      <x:c r="AE869" s="38" t="n">
        <x:v>55.45</x:v>
      </x:c>
      <x:c r="AF869" s="38" t="n">
        <x:v>4.8148</x:v>
      </x:c>
      <x:c r="AG869" s="38" t="n">
        <x:v>5.34</x:v>
      </x:c>
      <x:c r="AH869" s="38" t="n">
        <x:f>IF(E869="Fason",L869*S869,0)</x:f>
        <x:v>0</x:v>
      </x:c>
      <x:c r="AI869" s="38" t="n">
        <x:f>IF(E869="Kurum içi",AC869*AD869+AE869*AF869+AB869*12%,0)</x:f>
        <x:v>21443.304307300004</x:v>
      </x:c>
      <x:c r="AJ869" s="38" t="n">
        <x:f>V869*AG869</x:f>
        <x:v>1085.4678625500599</x:v>
      </x:c>
      <x:c r="AK869" s="38" t="n">
        <x:f>AB869*2%</x:f>
        <x:v>3097.0488745500006</x:v>
      </x:c>
      <x:c r="AL869" s="38" t="n">
        <x:f>AB869+AH869+AI869+AJ869+AK869</x:f>
        <x:v>180478.2647719001</x:v>
      </x:c>
      <x:c r="AM869" s="38" t="n">
        <x:f>AL869/V869</x:f>
        <x:v>887.8696156124105</x:v>
      </x:c>
      <x:c r="AN869" s="40" t="n">
        <x:f>(W869+X869)/AL869*100</x:f>
        <x:v>75.83053273643193</x:v>
      </x:c>
      <x:c r="AO869" s="28" t="str">
        <x:v>R01-R20; ilgili satırdaki bölgesel fiyat ve maliyet varsayımları</x:v>
      </x:c>
      <x:c r="AP869" s="28" t="str">
        <x:v>Girdi miktarları, alım fiyatı değişimi, fason bedeli ve parti sonucu simüle edilmiştir; işletme kaydı değildir.</x:v>
      </x:c>
    </x:row>
    <x:row r="870" ht="22" customHeight="1">
      <x:c r="A870" t="str">
        <x:v>SUC-0869</x:v>
      </x:c>
      <x:c r="B870" s="36" t="n">
        <x:v>46274</x:v>
      </x:c>
      <x:c r="C870" t="str">
        <x:v>Güneydoğu Anadolu</x:v>
      </x:c>
      <x:c r="D870" t="str">
        <x:v>ERZURUM_CI</x:v>
      </x:c>
      <x:c r="E870" t="str">
        <x:v>Fason</x:v>
      </x:c>
      <x:c r="F870" s="42" t="str">
        <x:v>SENTETİK/SİMÜLE — gerçek parti kaydı değildir</x:v>
      </x:c>
      <x:c r="G870" s="38" t="n">
        <x:v>238.397</x:v>
      </x:c>
      <x:c r="H870" s="38" t="n">
        <x:v>45.669</x:v>
      </x:c>
      <x:c r="I870" s="38" t="n">
        <x:v>14.956</x:v>
      </x:c>
      <x:c r="J870" s="38" t="n">
        <x:v>5.064</x:v>
      </x:c>
      <x:c r="K870" s="38" t="n">
        <x:v>0.268</x:v>
      </x:c>
      <x:c r="L870" s="38" t="n">
        <x:f>SUM(G870:K870)</x:f>
        <x:v>304.354</x:v>
      </x:c>
      <x:c r="M870" s="38" t="n">
        <x:v>361.809</x:v>
      </x:c>
      <x:c r="N870" s="38" t="n">
        <x:v>584.84</x:v>
      </x:c>
      <x:c r="O870" s="38" t="n">
        <x:v>453.57</x:v>
      </x:c>
      <x:c r="P870" s="38" t="n">
        <x:v>400</x:v>
      </x:c>
      <x:c r="Q870" s="38" t="n">
        <x:v>19.88</x:v>
      </x:c>
      <x:c r="R870" s="38" t="n">
        <x:v>43.7475</x:v>
      </x:c>
      <x:c r="S870" s="38" t="n">
        <x:v>86.88</x:v>
      </x:c>
      <x:c r="T870" s="40" t="n">
        <x:v>30.73</x:v>
      </x:c>
      <x:c r="U870" s="40" t="n">
        <x:v>0.87</x:v>
      </x:c>
      <x:c r="V870" s="38" t="n">
        <x:f>L870*(1-T870/100)*(1-U870/100)</x:f>
        <x:v>208.99182946253998</x:v>
      </x:c>
      <x:c r="W870" s="38" t="n">
        <x:f>G870*N870</x:f>
        <x:v>139424.10148</x:v>
      </x:c>
      <x:c r="X870" s="38" t="n">
        <x:f>H870*O870</x:f>
        <x:v>20714.08833</x:v>
      </x:c>
      <x:c r="Y870" s="38" t="n">
        <x:f>I870*P870</x:f>
        <x:v>5982.4</x:v>
      </x:c>
      <x:c r="Z870" s="38" t="n">
        <x:f>J870*Q870+K870*P870</x:f>
        <x:v>207.87232</x:v>
      </x:c>
      <x:c r="AA870" s="38" t="n">
        <x:f>M870*R870</x:f>
        <x:v>15828.239227500002</x:v>
      </x:c>
      <x:c r="AB870" s="38" t="n">
        <x:f>SUM(W870:AA870)</x:f>
        <x:v>182156.7013575</x:v>
      </x:c>
      <x:c r="AC870" s="38" t="n">
        <x:v>17.97</x:v>
      </x:c>
      <x:c r="AD870" s="38" t="n">
        <x:v>174.33</x:v>
      </x:c>
      <x:c r="AE870" s="38" t="n">
        <x:v>68.85</x:v>
      </x:c>
      <x:c r="AF870" s="38" t="n">
        <x:v>4.8148</x:v>
      </x:c>
      <x:c r="AG870" s="38" t="n">
        <x:v>5.21</x:v>
      </x:c>
      <x:c r="AH870" s="38" t="n">
        <x:f>IF(E870="Fason",L870*S870,0)</x:f>
        <x:v>26442.275519999996</x:v>
      </x:c>
      <x:c r="AI870" s="38" t="n">
        <x:f>IF(E870="Kurum içi",AC870*AD870+AE870*AF870+AB870*12%,0)</x:f>
        <x:v>0</x:v>
      </x:c>
      <x:c r="AJ870" s="38" t="n">
        <x:f>V870*AG870</x:f>
        <x:v>1088.8474314998332</x:v>
      </x:c>
      <x:c r="AK870" s="38" t="n">
        <x:f>AB870*2%</x:f>
        <x:v>3643.13402715</x:v>
      </x:c>
      <x:c r="AL870" s="38" t="n">
        <x:f>AB870+AH870+AI870+AJ870+AK870</x:f>
        <x:v>213330.9583361498</x:v>
      </x:c>
      <x:c r="AM870" s="38" t="n">
        <x:f>AL870/V870</x:f>
        <x:v>1020.7621938368054</x:v>
      </x:c>
      <x:c r="AN870" s="40" t="n">
        <x:f>(W870+X870)/AL870*100</x:f>
        <x:v>75.06561216383189</x:v>
      </x:c>
      <x:c r="AO870" s="28" t="str">
        <x:v>R01-R20; ilgili satırdaki bölgesel fiyat ve maliyet varsayımları</x:v>
      </x:c>
      <x:c r="AP870" s="28" t="str">
        <x:v>Girdi miktarları, alım fiyatı değişimi, fason bedeli ve parti sonucu simüle edilmiştir; işletme kaydı değildir.</x:v>
      </x:c>
    </x:row>
    <x:row r="871" ht="22" customHeight="1">
      <x:c r="A871" t="str">
        <x:v>SUC-0870</x:v>
      </x:c>
      <x:c r="B871" s="36" t="n">
        <x:v>46305</x:v>
      </x:c>
      <x:c r="C871" t="str">
        <x:v>Akdeniz</x:v>
      </x:c>
      <x:c r="D871" t="str">
        <x:v>MEB_STANDART</x:v>
      </x:c>
      <x:c r="E871" t="str">
        <x:v>Fason</x:v>
      </x:c>
      <x:c r="F871" s="42" t="str">
        <x:v>SENTETİK/SİMÜLE — gerçek parti kaydı değildir</x:v>
      </x:c>
      <x:c r="G871" s="38" t="n">
        <x:v>307.633</x:v>
      </x:c>
      <x:c r="H871" s="38" t="n">
        <x:v>100.046</x:v>
      </x:c>
      <x:c r="I871" s="38" t="n">
        <x:v>18.918</x:v>
      </x:c>
      <x:c r="J871" s="38" t="n">
        <x:v>10.929</x:v>
      </x:c>
      <x:c r="K871" s="38" t="n">
        <x:v>4.733</x:v>
      </x:c>
      <x:c r="L871" s="38" t="n">
        <x:f>SUM(G871:K871)</x:f>
        <x:v>442.25899999999996</x:v>
      </x:c>
      <x:c r="M871" s="38" t="n">
        <x:v>576.335</x:v>
      </x:c>
      <x:c r="N871" s="38" t="n">
        <x:v>605.27</x:v>
      </x:c>
      <x:c r="O871" s="38" t="n">
        <x:v>419.1</x:v>
      </x:c>
      <x:c r="P871" s="38" t="n">
        <x:v>400</x:v>
      </x:c>
      <x:c r="Q871" s="38" t="n">
        <x:v>19.88</x:v>
      </x:c>
      <x:c r="R871" s="38" t="n">
        <x:v>43.7475</x:v>
      </x:c>
      <x:c r="S871" s="38" t="n">
        <x:v>113.58</x:v>
      </x:c>
      <x:c r="T871" s="40" t="n">
        <x:v>16.95</x:v>
      </x:c>
      <x:c r="U871" s="40" t="n">
        <x:v>1.79</x:v>
      </x:c>
      <x:c r="V871" s="38" t="n">
        <x:f>L871*(1-T871/100)*(1-U871/100)</x:f>
        <x:v>360.72149931894995</x:v>
      </x:c>
      <x:c r="W871" s="38" t="n">
        <x:f>G871*N871</x:f>
        <x:v>186201.02591</x:v>
      </x:c>
      <x:c r="X871" s="38" t="n">
        <x:f>H871*O871</x:f>
        <x:v>41929.278600000005</x:v>
      </x:c>
      <x:c r="Y871" s="38" t="n">
        <x:f>I871*P871</x:f>
        <x:v>7567.2</x:v>
      </x:c>
      <x:c r="Z871" s="38" t="n">
        <x:f>J871*Q871+K871*P871</x:f>
        <x:v>2110.46852</x:v>
      </x:c>
      <x:c r="AA871" s="38" t="n">
        <x:f>M871*R871</x:f>
        <x:v>25213.2154125</x:v>
      </x:c>
      <x:c r="AB871" s="38" t="n">
        <x:f>SUM(W871:AA871)</x:f>
        <x:v>263021.1884425</x:v>
      </x:c>
      <x:c r="AC871" s="38" t="n">
        <x:v>17.38</x:v>
      </x:c>
      <x:c r="AD871" s="38" t="n">
        <x:v>174.33</x:v>
      </x:c>
      <x:c r="AE871" s="38" t="n">
        <x:v>175.62</x:v>
      </x:c>
      <x:c r="AF871" s="38" t="n">
        <x:v>4.8148</x:v>
      </x:c>
      <x:c r="AG871" s="38" t="n">
        <x:v>5.47</x:v>
      </x:c>
      <x:c r="AH871" s="38" t="n">
        <x:f>IF(E871="Fason",L871*S871,0)</x:f>
        <x:v>50231.777219999996</x:v>
      </x:c>
      <x:c r="AI871" s="38" t="n">
        <x:f>IF(E871="Kurum içi",AC871*AD871+AE871*AF871+AB871*12%,0)</x:f>
        <x:v>0</x:v>
      </x:c>
      <x:c r="AJ871" s="38" t="n">
        <x:f>V871*AG871</x:f>
        <x:v>1973.1466012746562</x:v>
      </x:c>
      <x:c r="AK871" s="38" t="n">
        <x:f>AB871*2%</x:f>
        <x:v>5260.423768850001</x:v>
      </x:c>
      <x:c r="AL871" s="38" t="n">
        <x:f>AB871+AH871+AI871+AJ871+AK871</x:f>
        <x:v>320486.53603262466</x:v>
      </x:c>
      <x:c r="AM871" s="38" t="n">
        <x:f>AL871/V871</x:f>
        <x:v>888.4597581173016</x:v>
      </x:c>
      <x:c r="AN871" s="40" t="n">
        <x:f>(W871+X871)/AL871*100</x:f>
        <x:v>71.18249251094184</x:v>
      </x:c>
      <x:c r="AO871" s="28" t="str">
        <x:v>R01-R20; ilgili satırdaki bölgesel fiyat ve maliyet varsayımları</x:v>
      </x:c>
      <x:c r="AP871" s="28" t="str">
        <x:v>Girdi miktarları, alım fiyatı değişimi, fason bedeli ve parti sonucu simüle edilmiştir; işletme kaydı değildir.</x:v>
      </x:c>
    </x:row>
    <x:row r="872" ht="22" customHeight="1">
      <x:c r="A872" t="str">
        <x:v>SUC-0871</x:v>
      </x:c>
      <x:c r="B872" s="36" t="n">
        <x:v>46269</x:v>
      </x:c>
      <x:c r="C872" t="str">
        <x:v>Karadeniz</x:v>
      </x:c>
      <x:c r="D872" t="str">
        <x:v>ERZURUM_CI</x:v>
      </x:c>
      <x:c r="E872" t="str">
        <x:v>Fason</x:v>
      </x:c>
      <x:c r="F872" s="42" t="str">
        <x:v>SENTETİK/SİMÜLE — gerçek parti kaydı değildir</x:v>
      </x:c>
      <x:c r="G872" s="38" t="n">
        <x:v>197.89</x:v>
      </x:c>
      <x:c r="H872" s="38" t="n">
        <x:v>36.5</x:v>
      </x:c>
      <x:c r="I872" s="38" t="n">
        <x:v>12.026</x:v>
      </x:c>
      <x:c r="J872" s="38" t="n">
        <x:v>3.834</x:v>
      </x:c>
      <x:c r="K872" s="38" t="n">
        <x:v>0.025</x:v>
      </x:c>
      <x:c r="L872" s="38" t="n">
        <x:f>SUM(G872:K872)</x:f>
        <x:v>250.275</x:v>
      </x:c>
      <x:c r="M872" s="38" t="n">
        <x:v>312.442</x:v>
      </x:c>
      <x:c r="N872" s="38" t="n">
        <x:v>618.48</x:v>
      </x:c>
      <x:c r="O872" s="38" t="n">
        <x:v>467.84</x:v>
      </x:c>
      <x:c r="P872" s="38" t="n">
        <x:v>550</x:v>
      </x:c>
      <x:c r="Q872" s="38" t="n">
        <x:v>19.88</x:v>
      </x:c>
      <x:c r="R872" s="38" t="n">
        <x:v>43.7475</x:v>
      </x:c>
      <x:c r="S872" s="38" t="n">
        <x:v>73.67</x:v>
      </x:c>
      <x:c r="T872" s="40" t="n">
        <x:v>16.09</x:v>
      </x:c>
      <x:c r="U872" s="40" t="n">
        <x:v>0.41</x:v>
      </x:c>
      <x:c r="V872" s="38" t="n">
        <x:f>L872*(1-T872/100)*(1-U872/100)</x:f>
        <x:v>209.14472891475</x:v>
      </x:c>
      <x:c r="W872" s="38" t="n">
        <x:f>G872*N872</x:f>
        <x:v>122391.0072</x:v>
      </x:c>
      <x:c r="X872" s="38" t="n">
        <x:f>H872*O872</x:f>
        <x:v>17076.16</x:v>
      </x:c>
      <x:c r="Y872" s="38" t="n">
        <x:f>I872*P872</x:f>
        <x:v>6614.3</x:v>
      </x:c>
      <x:c r="Z872" s="38" t="n">
        <x:f>J872*Q872+K872*P872</x:f>
        <x:v>89.96992</x:v>
      </x:c>
      <x:c r="AA872" s="38" t="n">
        <x:f>M872*R872</x:f>
        <x:v>13668.556395000001</x:v>
      </x:c>
      <x:c r="AB872" s="38" t="n">
        <x:f>SUM(W872:AA872)</x:f>
        <x:v>159839.99351499998</x:v>
      </x:c>
      <x:c r="AC872" s="38" t="n">
        <x:v>16.24</x:v>
      </x:c>
      <x:c r="AD872" s="38" t="n">
        <x:v>174.33</x:v>
      </x:c>
      <x:c r="AE872" s="38" t="n">
        <x:v>90.55</x:v>
      </x:c>
      <x:c r="AF872" s="38" t="n">
        <x:v>4.8148</x:v>
      </x:c>
      <x:c r="AG872" s="38" t="n">
        <x:v>5.58</x:v>
      </x:c>
      <x:c r="AH872" s="38" t="n">
        <x:f>IF(E872="Fason",L872*S872,0)</x:f>
        <x:v>18437.75925</x:v>
      </x:c>
      <x:c r="AI872" s="38" t="n">
        <x:f>IF(E872="Kurum içi",AC872*AD872+AE872*AF872+AB872*12%,0)</x:f>
        <x:v>0</x:v>
      </x:c>
      <x:c r="AJ872" s="38" t="n">
        <x:f>V872*AG872</x:f>
        <x:v>1167.027587344305</x:v>
      </x:c>
      <x:c r="AK872" s="38" t="n">
        <x:f>AB872*2%</x:f>
        <x:v>3196.7998703</x:v>
      </x:c>
      <x:c r="AL872" s="38" t="n">
        <x:f>AB872+AH872+AI872+AJ872+AK872</x:f>
        <x:v>182641.5802226443</x:v>
      </x:c>
      <x:c r="AM872" s="38" t="n">
        <x:f>AL872/V872</x:f>
        <x:v>873.2784286286807</x:v>
      </x:c>
      <x:c r="AN872" s="40" t="n">
        <x:f>(W872+X872)/AL872*100</x:f>
        <x:v>76.361125998793</x:v>
      </x:c>
      <x:c r="AO872" s="28" t="str">
        <x:v>R01-R20; ilgili satırdaki bölgesel fiyat ve maliyet varsayımları</x:v>
      </x:c>
      <x:c r="AP872" s="28" t="str">
        <x:v>Girdi miktarları, alım fiyatı değişimi, fason bedeli ve parti sonucu simüle edilmiştir; işletme kaydı değildir.</x:v>
      </x:c>
    </x:row>
    <x:row r="873" ht="22" customHeight="1">
      <x:c r="A873" t="str">
        <x:v>SUC-0872</x:v>
      </x:c>
      <x:c r="B873" s="36" t="n">
        <x:v>46272</x:v>
      </x:c>
      <x:c r="C873" t="str">
        <x:v>Ege</x:v>
      </x:c>
      <x:c r="D873" t="str">
        <x:v>MEB_STANDART</x:v>
      </x:c>
      <x:c r="E873" t="str">
        <x:v>Fason</x:v>
      </x:c>
      <x:c r="F873" s="42" t="str">
        <x:v>SENTETİK/SİMÜLE — gerçek parti kaydı değildir</x:v>
      </x:c>
      <x:c r="G873" s="38" t="n">
        <x:v>259.277</x:v>
      </x:c>
      <x:c r="H873" s="38" t="n">
        <x:v>85.461</x:v>
      </x:c>
      <x:c r="I873" s="38" t="n">
        <x:v>17.583</x:v>
      </x:c>
      <x:c r="J873" s="38" t="n">
        <x:v>10.035</x:v>
      </x:c>
      <x:c r="K873" s="38" t="n">
        <x:v>3.336</x:v>
      </x:c>
      <x:c r="L873" s="38" t="n">
        <x:f>SUM(G873:K873)</x:f>
        <x:v>375.69200000000006</x:v>
      </x:c>
      <x:c r="M873" s="38" t="n">
        <x:v>447.08</x:v>
      </x:c>
      <x:c r="N873" s="38" t="n">
        <x:v>583.66</x:v>
      </x:c>
      <x:c r="O873" s="38" t="n">
        <x:v>423.06</x:v>
      </x:c>
      <x:c r="P873" s="38" t="n">
        <x:v>550</x:v>
      </x:c>
      <x:c r="Q873" s="38" t="n">
        <x:v>19.88</x:v>
      </x:c>
      <x:c r="R873" s="38" t="n">
        <x:v>43.7475</x:v>
      </x:c>
      <x:c r="S873" s="38" t="n">
        <x:v>77.74</x:v>
      </x:c>
      <x:c r="T873" s="40" t="n">
        <x:v>30.17</x:v>
      </x:c>
      <x:c r="U873" s="40" t="n">
        <x:v>1.24</x:v>
      </x:c>
      <x:c r="V873" s="38" t="n">
        <x:f>L873*(1-T873/100)*(1-U873/100)</x:f>
        <x:v>259.09263662736004</x:v>
      </x:c>
      <x:c r="W873" s="38" t="n">
        <x:f>G873*N873</x:f>
        <x:v>151329.61381999997</x:v>
      </x:c>
      <x:c r="X873" s="38" t="n">
        <x:f>H873*O873</x:f>
        <x:v>36155.13066</x:v>
      </x:c>
      <x:c r="Y873" s="38" t="n">
        <x:f>I873*P873</x:f>
        <x:v>9670.65</x:v>
      </x:c>
      <x:c r="Z873" s="38" t="n">
        <x:f>J873*Q873+K873*P873</x:f>
        <x:v>2034.2957999999999</x:v>
      </x:c>
      <x:c r="AA873" s="38" t="n">
        <x:f>M873*R873</x:f>
        <x:v>19558.6323</x:v>
      </x:c>
      <x:c r="AB873" s="38" t="n">
        <x:f>SUM(W873:AA873)</x:f>
        <x:v>218748.32257999995</x:v>
      </x:c>
      <x:c r="AC873" s="38" t="n">
        <x:v>23.04</x:v>
      </x:c>
      <x:c r="AD873" s="38" t="n">
        <x:v>174.33</x:v>
      </x:c>
      <x:c r="AE873" s="38" t="n">
        <x:v>122.76</x:v>
      </x:c>
      <x:c r="AF873" s="38" t="n">
        <x:v>4.8148</x:v>
      </x:c>
      <x:c r="AG873" s="38" t="n">
        <x:v>5.81</x:v>
      </x:c>
      <x:c r="AH873" s="38" t="n">
        <x:f>IF(E873="Fason",L873*S873,0)</x:f>
        <x:v>29206.296080000004</x:v>
      </x:c>
      <x:c r="AI873" s="38" t="n">
        <x:f>IF(E873="Kurum içi",AC873*AD873+AE873*AF873+AB873*12%,0)</x:f>
        <x:v>0</x:v>
      </x:c>
      <x:c r="AJ873" s="38" t="n">
        <x:f>V873*AG873</x:f>
        <x:v>1505.3282188049618</x:v>
      </x:c>
      <x:c r="AK873" s="38" t="n">
        <x:f>AB873*2%</x:f>
        <x:v>4374.966451599999</x:v>
      </x:c>
      <x:c r="AL873" s="38" t="n">
        <x:f>AB873+AH873+AI873+AJ873+AK873</x:f>
        <x:v>253834.9133304049</x:v>
      </x:c>
      <x:c r="AM873" s="38" t="n">
        <x:f>AL873/V873</x:f>
        <x:v>979.7071681951461</x:v>
      </x:c>
      <x:c r="AN873" s="40" t="n">
        <x:f>(W873+X873)/AL873*100</x:f>
        <x:v>73.86089723440051</x:v>
      </x:c>
      <x:c r="AO873" s="28" t="str">
        <x:v>R01-R20; ilgili satırdaki bölgesel fiyat ve maliyet varsayımları</x:v>
      </x:c>
      <x:c r="AP873" s="28" t="str">
        <x:v>Girdi miktarları, alım fiyatı değişimi, fason bedeli ve parti sonucu simüle edilmiştir; işletme kaydı değildir.</x:v>
      </x:c>
    </x:row>
    <x:row r="874" ht="22" customHeight="1">
      <x:c r="A874" t="str">
        <x:v>SUC-0873</x:v>
      </x:c>
      <x:c r="B874" s="36" t="n">
        <x:v>46284</x:v>
      </x:c>
      <x:c r="C874" t="str">
        <x:v>İç Anadolu</x:v>
      </x:c>
      <x:c r="D874" t="str">
        <x:v>MEB_STANDART</x:v>
      </x:c>
      <x:c r="E874" t="str">
        <x:v>Kurum içi</x:v>
      </x:c>
      <x:c r="F874" s="42" t="str">
        <x:v>SENTETİK/SİMÜLE — gerçek parti kaydı değildir</x:v>
      </x:c>
      <x:c r="G874" s="38" t="n">
        <x:v>116.905</x:v>
      </x:c>
      <x:c r="H874" s="38" t="n">
        <x:v>36.762</x:v>
      </x:c>
      <x:c r="I874" s="38" t="n">
        <x:v>7.878</x:v>
      </x:c>
      <x:c r="J874" s="38" t="n">
        <x:v>3.942</x:v>
      </x:c>
      <x:c r="K874" s="38" t="n">
        <x:v>1.798</x:v>
      </x:c>
      <x:c r="L874" s="38" t="n">
        <x:f>SUM(G874:K874)</x:f>
        <x:v>167.28500000000003</x:v>
      </x:c>
      <x:c r="M874" s="38" t="n">
        <x:v>195.181</x:v>
      </x:c>
      <x:c r="N874" s="38" t="n">
        <x:v>598.52</x:v>
      </x:c>
      <x:c r="O874" s="38" t="n">
        <x:v>450.21</x:v>
      </x:c>
      <x:c r="P874" s="38" t="n">
        <x:v>400</x:v>
      </x:c>
      <x:c r="Q874" s="38" t="n">
        <x:v>19.88</x:v>
      </x:c>
      <x:c r="R874" s="38" t="n">
        <x:v>43.7475</x:v>
      </x:c>
      <x:c r="S874" s="38" t="n">
        <x:v>68.67</x:v>
      </x:c>
      <x:c r="T874" s="40" t="n">
        <x:v>16.4</x:v>
      </x:c>
      <x:c r="U874" s="40" t="n">
        <x:v>0.59</x:v>
      </x:c>
      <x:c r="V874" s="38" t="n">
        <x:f>L874*(1-T874/100)*(1-U874/100)</x:f>
        <x:v>139.02514346600003</x:v>
      </x:c>
      <x:c r="W874" s="38" t="n">
        <x:f>G874*N874</x:f>
        <x:v>69969.9806</x:v>
      </x:c>
      <x:c r="X874" s="38" t="n">
        <x:f>H874*O874</x:f>
        <x:v>16550.62002</x:v>
      </x:c>
      <x:c r="Y874" s="38" t="n">
        <x:f>I874*P874</x:f>
        <x:v>3151.2</x:v>
      </x:c>
      <x:c r="Z874" s="38" t="n">
        <x:f>J874*Q874+K874*P874</x:f>
        <x:v>797.5669600000001</x:v>
      </x:c>
      <x:c r="AA874" s="38" t="n">
        <x:f>M874*R874</x:f>
        <x:v>8538.680797500001</x:v>
      </x:c>
      <x:c r="AB874" s="38" t="n">
        <x:f>SUM(W874:AA874)</x:f>
        <x:v>99008.04837749999</x:v>
      </x:c>
      <x:c r="AC874" s="38" t="n">
        <x:v>10.97</x:v>
      </x:c>
      <x:c r="AD874" s="38" t="n">
        <x:v>174.33</x:v>
      </x:c>
      <x:c r="AE874" s="38" t="n">
        <x:v>50.32</x:v>
      </x:c>
      <x:c r="AF874" s="38" t="n">
        <x:v>4.8148</x:v>
      </x:c>
      <x:c r="AG874" s="38" t="n">
        <x:v>5.33</x:v>
      </x:c>
      <x:c r="AH874" s="38" t="n">
        <x:f>IF(E874="Fason",L874*S874,0)</x:f>
        <x:v>0</x:v>
      </x:c>
      <x:c r="AI874" s="38" t="n">
        <x:f>IF(E874="Kurum içi",AC874*AD874+AE874*AF874+AB874*12%,0)</x:f>
        <x:v>14035.646641299998</x:v>
      </x:c>
      <x:c r="AJ874" s="38" t="n">
        <x:f>V874*AG874</x:f>
        <x:v>741.0040146737801</x:v>
      </x:c>
      <x:c r="AK874" s="38" t="n">
        <x:f>AB874*2%</x:f>
        <x:v>1980.16096755</x:v>
      </x:c>
      <x:c r="AL874" s="38" t="n">
        <x:f>AB874+AH874+AI874+AJ874+AK874</x:f>
        <x:v>115764.86000102376</x:v>
      </x:c>
      <x:c r="AM874" s="38" t="n">
        <x:f>AL874/V874</x:f>
        <x:v>832.6900955821361</x:v>
      </x:c>
      <x:c r="AN874" s="40" t="n">
        <x:f>(W874+X874)/AL874*100</x:f>
        <x:v>74.73822420658122</x:v>
      </x:c>
      <x:c r="AO874" s="28" t="str">
        <x:v>R01-R20; ilgili satırdaki bölgesel fiyat ve maliyet varsayımları</x:v>
      </x:c>
      <x:c r="AP874" s="28" t="str">
        <x:v>Girdi miktarları, alım fiyatı değişimi, fason bedeli ve parti sonucu simüle edilmiştir; işletme kaydı değildir.</x:v>
      </x:c>
    </x:row>
    <x:row r="875" ht="22" customHeight="1">
      <x:c r="A875" t="str">
        <x:v>SUC-0874</x:v>
      </x:c>
      <x:c r="B875" s="36" t="n">
        <x:v>46297</x:v>
      </x:c>
      <x:c r="C875" t="str">
        <x:v>Karadeniz</x:v>
      </x:c>
      <x:c r="D875" t="str">
        <x:v>MEB_STANDART</x:v>
      </x:c>
      <x:c r="E875" t="str">
        <x:v>Fason</x:v>
      </x:c>
      <x:c r="F875" s="42" t="str">
        <x:v>SENTETİK/SİMÜLE — gerçek parti kaydı değildir</x:v>
      </x:c>
      <x:c r="G875" s="38" t="n">
        <x:v>290.279</x:v>
      </x:c>
      <x:c r="H875" s="38" t="n">
        <x:v>90.519</x:v>
      </x:c>
      <x:c r="I875" s="38" t="n">
        <x:v>18.824</x:v>
      </x:c>
      <x:c r="J875" s="38" t="n">
        <x:v>10.819</x:v>
      </x:c>
      <x:c r="K875" s="38" t="n">
        <x:v>4.197</x:v>
      </x:c>
      <x:c r="L875" s="38" t="n">
        <x:f>SUM(G875:K875)</x:f>
        <x:v>414.63800000000003</x:v>
      </x:c>
      <x:c r="M875" s="38" t="n">
        <x:v>534.604</x:v>
      </x:c>
      <x:c r="N875" s="38" t="n">
        <x:v>617.43</x:v>
      </x:c>
      <x:c r="O875" s="38" t="n">
        <x:v>418.5</x:v>
      </x:c>
      <x:c r="P875" s="38" t="n">
        <x:v>400</x:v>
      </x:c>
      <x:c r="Q875" s="38" t="n">
        <x:v>19.88</x:v>
      </x:c>
      <x:c r="R875" s="38" t="n">
        <x:v>43.7475</x:v>
      </x:c>
      <x:c r="S875" s="38" t="n">
        <x:v>100.17</x:v>
      </x:c>
      <x:c r="T875" s="40" t="n">
        <x:v>24.71</x:v>
      </x:c>
      <x:c r="U875" s="40" t="n">
        <x:v>1.01</x:v>
      </x:c>
      <x:c r="V875" s="38" t="n">
        <x:f>L875*(1-T875/100)*(1-U875/100)</x:f>
        <x:v>309.02792260298</x:v>
      </x:c>
      <x:c r="W875" s="38" t="n">
        <x:f>G875*N875</x:f>
        <x:v>179226.96297</x:v>
      </x:c>
      <x:c r="X875" s="38" t="n">
        <x:f>H875*O875</x:f>
        <x:v>37882.2015</x:v>
      </x:c>
      <x:c r="Y875" s="38" t="n">
        <x:f>I875*P875</x:f>
        <x:v>7529.6</x:v>
      </x:c>
      <x:c r="Z875" s="38" t="n">
        <x:f>J875*Q875+K875*P875</x:f>
        <x:v>1893.8817199999999</x:v>
      </x:c>
      <x:c r="AA875" s="38" t="n">
        <x:f>M875*R875</x:f>
        <x:v>23387.588490000002</x:v>
      </x:c>
      <x:c r="AB875" s="38" t="n">
        <x:f>SUM(W875:AA875)</x:f>
        <x:v>249920.23468</x:v>
      </x:c>
      <x:c r="AC875" s="38" t="n">
        <x:v>18.72</x:v>
      </x:c>
      <x:c r="AD875" s="38" t="n">
        <x:v>174.33</x:v>
      </x:c>
      <x:c r="AE875" s="38" t="n">
        <x:v>165.93</x:v>
      </x:c>
      <x:c r="AF875" s="38" t="n">
        <x:v>4.8148</x:v>
      </x:c>
      <x:c r="AG875" s="38" t="n">
        <x:v>5.33</x:v>
      </x:c>
      <x:c r="AH875" s="38" t="n">
        <x:f>IF(E875="Fason",L875*S875,0)</x:f>
        <x:v>41534.28846</x:v>
      </x:c>
      <x:c r="AI875" s="38" t="n">
        <x:f>IF(E875="Kurum içi",AC875*AD875+AE875*AF875+AB875*12%,0)</x:f>
        <x:v>0</x:v>
      </x:c>
      <x:c r="AJ875" s="38" t="n">
        <x:f>V875*AG875</x:f>
        <x:v>1647.1188274738836</x:v>
      </x:c>
      <x:c r="AK875" s="38" t="n">
        <x:f>AB875*2%</x:f>
        <x:v>4998.4046936</x:v>
      </x:c>
      <x:c r="AL875" s="38" t="n">
        <x:f>AB875+AH875+AI875+AJ875+AK875</x:f>
        <x:v>298100.0466610739</x:v>
      </x:c>
      <x:c r="AM875" s="38" t="n">
        <x:f>AL875/V875</x:f>
        <x:v>964.6379011648551</x:v>
      </x:c>
      <x:c r="AN875" s="40" t="n">
        <x:f>(W875+X875)/AL875*100</x:f>
        <x:v>72.83097299103852</x:v>
      </x:c>
      <x:c r="AO875" s="28" t="str">
        <x:v>R01-R20; ilgili satırdaki bölgesel fiyat ve maliyet varsayımları</x:v>
      </x:c>
      <x:c r="AP875" s="28" t="str">
        <x:v>Girdi miktarları, alım fiyatı değişimi, fason bedeli ve parti sonucu simüle edilmiştir; işletme kaydı değildir.</x:v>
      </x:c>
    </x:row>
    <x:row r="876" ht="22" customHeight="1">
      <x:c r="A876" t="str">
        <x:v>SUC-0875</x:v>
      </x:c>
      <x:c r="B876" s="36" t="n">
        <x:v>46269</x:v>
      </x:c>
      <x:c r="C876" t="str">
        <x:v>Güneydoğu Anadolu</x:v>
      </x:c>
      <x:c r="D876" t="str">
        <x:v>ERZURUM_CI</x:v>
      </x:c>
      <x:c r="E876" t="str">
        <x:v>Kurum içi</x:v>
      </x:c>
      <x:c r="F876" s="42" t="str">
        <x:v>SENTETİK/SİMÜLE — gerçek parti kaydı değildir</x:v>
      </x:c>
      <x:c r="G876" s="38" t="n">
        <x:v>163.571</x:v>
      </x:c>
      <x:c r="H876" s="38" t="n">
        <x:v>29.945</x:v>
      </x:c>
      <x:c r="I876" s="38" t="n">
        <x:v>9.146</x:v>
      </x:c>
      <x:c r="J876" s="38" t="n">
        <x:v>3.097</x:v>
      </x:c>
      <x:c r="K876" s="38" t="n">
        <x:v>0.141</x:v>
      </x:c>
      <x:c r="L876" s="38" t="n">
        <x:f>SUM(G876:K876)</x:f>
        <x:v>205.89999999999998</x:v>
      </x:c>
      <x:c r="M876" s="38" t="n">
        <x:v>254.961</x:v>
      </x:c>
      <x:c r="N876" s="38" t="n">
        <x:v>598.4</x:v>
      </x:c>
      <x:c r="O876" s="38" t="n">
        <x:v>473.79</x:v>
      </x:c>
      <x:c r="P876" s="38" t="n">
        <x:v>669.9</x:v>
      </x:c>
      <x:c r="Q876" s="38" t="n">
        <x:v>19.88</x:v>
      </x:c>
      <x:c r="R876" s="38" t="n">
        <x:v>43.7475</x:v>
      </x:c>
      <x:c r="S876" s="38" t="n">
        <x:v>112.3</x:v>
      </x:c>
      <x:c r="T876" s="40" t="n">
        <x:v>15.61</x:v>
      </x:c>
      <x:c r="U876" s="40" t="n">
        <x:v>1.44</x:v>
      </x:c>
      <x:c r="V876" s="38" t="n">
        <x:f>L876*(1-T876/100)*(1-U876/100)</x:f>
        <x:v>171.256880256</x:v>
      </x:c>
      <x:c r="W876" s="38" t="n">
        <x:f>G876*N876</x:f>
        <x:v>97880.88639999999</x:v>
      </x:c>
      <x:c r="X876" s="38" t="n">
        <x:f>H876*O876</x:f>
        <x:v>14187.64155</x:v>
      </x:c>
      <x:c r="Y876" s="38" t="n">
        <x:f>I876*P876</x:f>
        <x:v>6126.905400000001</x:v>
      </x:c>
      <x:c r="Z876" s="38" t="n">
        <x:f>J876*Q876+K876*P876</x:f>
        <x:v>156.02425999999997</x:v>
      </x:c>
      <x:c r="AA876" s="38" t="n">
        <x:f>M876*R876</x:f>
        <x:v>11153.9063475</x:v>
      </x:c>
      <x:c r="AB876" s="38" t="n">
        <x:f>SUM(W876:AA876)</x:f>
        <x:v>129505.3639575</x:v>
      </x:c>
      <x:c r="AC876" s="38" t="n">
        <x:v>14.34</x:v>
      </x:c>
      <x:c r="AD876" s="38" t="n">
        <x:v>174.33</x:v>
      </x:c>
      <x:c r="AE876" s="38" t="n">
        <x:v>97.59</x:v>
      </x:c>
      <x:c r="AF876" s="38" t="n">
        <x:v>4.8148</x:v>
      </x:c>
      <x:c r="AG876" s="38" t="n">
        <x:v>5.74</x:v>
      </x:c>
      <x:c r="AH876" s="38" t="n">
        <x:f>IF(E876="Fason",L876*S876,0)</x:f>
        <x:v>0</x:v>
      </x:c>
      <x:c r="AI876" s="38" t="n">
        <x:f>IF(E876="Kurum içi",AC876*AD876+AE876*AF876+AB876*12%,0)</x:f>
        <x:v>18510.4122069</x:v>
      </x:c>
      <x:c r="AJ876" s="38" t="n">
        <x:f>V876*AG876</x:f>
        <x:v>983.01449266944</x:v>
      </x:c>
      <x:c r="AK876" s="38" t="n">
        <x:f>AB876*2%</x:f>
        <x:v>2590.10727915</x:v>
      </x:c>
      <x:c r="AL876" s="38" t="n">
        <x:f>AB876+AH876+AI876+AJ876+AK876</x:f>
        <x:v>151588.8979362194</x:v>
      </x:c>
      <x:c r="AM876" s="38" t="n">
        <x:f>AL876/V876</x:f>
        <x:v>885.1550822928674</x:v>
      </x:c>
      <x:c r="AN876" s="40" t="n">
        <x:f>(W876+X876)/AL876*100</x:f>
        <x:v>73.92924513321054</x:v>
      </x:c>
      <x:c r="AO876" s="28" t="str">
        <x:v>R01-R20; ilgili satırdaki bölgesel fiyat ve maliyet varsayımları</x:v>
      </x:c>
      <x:c r="AP876" s="28" t="str">
        <x:v>Girdi miktarları, alım fiyatı değişimi, fason bedeli ve parti sonucu simüle edilmiştir; işletme kaydı değildir.</x:v>
      </x:c>
    </x:row>
    <x:row r="877" ht="22" customHeight="1">
      <x:c r="A877" t="str">
        <x:v>SUC-0876</x:v>
      </x:c>
      <x:c r="B877" s="36" t="n">
        <x:v>46272</x:v>
      </x:c>
      <x:c r="C877" t="str">
        <x:v>Akdeniz</x:v>
      </x:c>
      <x:c r="D877" t="str">
        <x:v>ERZURUM_CI</x:v>
      </x:c>
      <x:c r="E877" t="str">
        <x:v>Kurum içi</x:v>
      </x:c>
      <x:c r="F877" s="42" t="str">
        <x:v>SENTETİK/SİMÜLE — gerçek parti kaydı değildir</x:v>
      </x:c>
      <x:c r="G877" s="38" t="n">
        <x:v>375.814</x:v>
      </x:c>
      <x:c r="H877" s="38" t="n">
        <x:v>66.037</x:v>
      </x:c>
      <x:c r="I877" s="38" t="n">
        <x:v>22.8</x:v>
      </x:c>
      <x:c r="J877" s="38" t="n">
        <x:v>6.777</x:v>
      </x:c>
      <x:c r="K877" s="38" t="n">
        <x:v>0.239</x:v>
      </x:c>
      <x:c r="L877" s="38" t="n">
        <x:f>SUM(G877:K877)</x:f>
        <x:v>471.667</x:v>
      </x:c>
      <x:c r="M877" s="38" t="n">
        <x:v>585.042</x:v>
      </x:c>
      <x:c r="N877" s="38" t="n">
        <x:v>573.55</x:v>
      </x:c>
      <x:c r="O877" s="38" t="n">
        <x:v>470.09</x:v>
      </x:c>
      <x:c r="P877" s="38" t="n">
        <x:v>550</x:v>
      </x:c>
      <x:c r="Q877" s="38" t="n">
        <x:v>19.88</x:v>
      </x:c>
      <x:c r="R877" s="38" t="n">
        <x:v>43.7475</x:v>
      </x:c>
      <x:c r="S877" s="38" t="n">
        <x:v>106.35</x:v>
      </x:c>
      <x:c r="T877" s="40" t="n">
        <x:v>21.9</x:v>
      </x:c>
      <x:c r="U877" s="40" t="n">
        <x:v>1.41</x:v>
      </x:c>
      <x:c r="V877" s="38" t="n">
        <x:f>L877*(1-T877/100)*(1-U877/100)</x:f>
        <x:v>363.17788282929996</x:v>
      </x:c>
      <x:c r="W877" s="38" t="n">
        <x:f>G877*N877</x:f>
        <x:v>215548.11969999998</x:v>
      </x:c>
      <x:c r="X877" s="38" t="n">
        <x:f>H877*O877</x:f>
        <x:v>31043.33333</x:v>
      </x:c>
      <x:c r="Y877" s="38" t="n">
        <x:f>I877*P877</x:f>
        <x:v>12540</x:v>
      </x:c>
      <x:c r="Z877" s="38" t="n">
        <x:f>J877*Q877+K877*P877</x:f>
        <x:v>266.17675999999994</x:v>
      </x:c>
      <x:c r="AA877" s="38" t="n">
        <x:f>M877*R877</x:f>
        <x:v>25594.124895</x:v>
      </x:c>
      <x:c r="AB877" s="38" t="n">
        <x:f>SUM(W877:AA877)</x:f>
        <x:v>284991.754685</x:v>
      </x:c>
      <x:c r="AC877" s="38" t="n">
        <x:v>17.53</x:v>
      </x:c>
      <x:c r="AD877" s="38" t="n">
        <x:v>174.33</x:v>
      </x:c>
      <x:c r="AE877" s="38" t="n">
        <x:v>128.62</x:v>
      </x:c>
      <x:c r="AF877" s="38" t="n">
        <x:v>4.8148</x:v>
      </x:c>
      <x:c r="AG877" s="38" t="n">
        <x:v>5.46</x:v>
      </x:c>
      <x:c r="AH877" s="38" t="n">
        <x:f>IF(E877="Fason",L877*S877,0)</x:f>
        <x:v>0</x:v>
      </x:c>
      <x:c r="AI877" s="38" t="n">
        <x:f>IF(E877="Kurum içi",AC877*AD877+AE877*AF877+AB877*12%,0)</x:f>
        <x:v>37874.2950382</x:v>
      </x:c>
      <x:c r="AJ877" s="38" t="n">
        <x:f>V877*AG877</x:f>
        <x:v>1982.9512402479777</x:v>
      </x:c>
      <x:c r="AK877" s="38" t="n">
        <x:f>AB877*2%</x:f>
        <x:v>5699.8350937</x:v>
      </x:c>
      <x:c r="AL877" s="38" t="n">
        <x:f>AB877+AH877+AI877+AJ877+AK877</x:f>
        <x:v>330548.83605714794</x:v>
      </x:c>
      <x:c r="AM877" s="38" t="n">
        <x:f>AL877/V877</x:f>
        <x:v>910.1568451306595</x:v>
      </x:c>
      <x:c r="AN877" s="40" t="n">
        <x:f>(W877+X877)/AL877*100</x:f>
        <x:v>74.60061150763431</x:v>
      </x:c>
      <x:c r="AO877" s="28" t="str">
        <x:v>R01-R20; ilgili satırdaki bölgesel fiyat ve maliyet varsayımları</x:v>
      </x:c>
      <x:c r="AP877" s="28" t="str">
        <x:v>Girdi miktarları, alım fiyatı değişimi, fason bedeli ve parti sonucu simüle edilmiştir; işletme kaydı değildir.</x:v>
      </x:c>
    </x:row>
    <x:row r="878" ht="22" customHeight="1">
      <x:c r="A878" t="str">
        <x:v>SUC-0877</x:v>
      </x:c>
      <x:c r="B878" s="36" t="n">
        <x:v>46317</x:v>
      </x:c>
      <x:c r="C878" t="str">
        <x:v>Doğu Anadolu</x:v>
      </x:c>
      <x:c r="D878" t="str">
        <x:v>MEB_STANDART</x:v>
      </x:c>
      <x:c r="E878" t="str">
        <x:v>Kurum içi</x:v>
      </x:c>
      <x:c r="F878" s="42" t="str">
        <x:v>SENTETİK/SİMÜLE — gerçek parti kaydı değildir</x:v>
      </x:c>
      <x:c r="G878" s="38" t="n">
        <x:v>335.073</x:v>
      </x:c>
      <x:c r="H878" s="38" t="n">
        <x:v>105.116</x:v>
      </x:c>
      <x:c r="I878" s="38" t="n">
        <x:v>20.429</x:v>
      </x:c>
      <x:c r="J878" s="38" t="n">
        <x:v>11.438</x:v>
      </x:c>
      <x:c r="K878" s="38" t="n">
        <x:v>5.235</x:v>
      </x:c>
      <x:c r="L878" s="38" t="n">
        <x:f>SUM(G878:K878)</x:f>
        <x:v>477.29099999999994</x:v>
      </x:c>
      <x:c r="M878" s="38" t="n">
        <x:v>635.489</x:v>
      </x:c>
      <x:c r="N878" s="38" t="n">
        <x:v>595.81</x:v>
      </x:c>
      <x:c r="O878" s="38" t="n">
        <x:v>460.95</x:v>
      </x:c>
      <x:c r="P878" s="38" t="n">
        <x:v>669.9</x:v>
      </x:c>
      <x:c r="Q878" s="38" t="n">
        <x:v>19.88</x:v>
      </x:c>
      <x:c r="R878" s="38" t="n">
        <x:v>43.7475</x:v>
      </x:c>
      <x:c r="S878" s="38" t="n">
        <x:v>120.55</x:v>
      </x:c>
      <x:c r="T878" s="40" t="n">
        <x:v>32</x:v>
      </x:c>
      <x:c r="U878" s="40" t="n">
        <x:v>1.72</x:v>
      </x:c>
      <x:c r="V878" s="38" t="n">
        <x:f>L878*(1-T878/100)*(1-U878/100)</x:f>
        <x:v>318.975484464</x:v>
      </x:c>
      <x:c r="W878" s="38" t="n">
        <x:f>G878*N878</x:f>
        <x:v>199639.84412999998</x:v>
      </x:c>
      <x:c r="X878" s="38" t="n">
        <x:f>H878*O878</x:f>
        <x:v>48453.220199999996</x:v>
      </x:c>
      <x:c r="Y878" s="38" t="n">
        <x:f>I878*P878</x:f>
        <x:v>13685.387099999998</x:v>
      </x:c>
      <x:c r="Z878" s="38" t="n">
        <x:f>J878*Q878+K878*P878</x:f>
        <x:v>3734.31394</x:v>
      </x:c>
      <x:c r="AA878" s="38" t="n">
        <x:f>M878*R878</x:f>
        <x:v>27801.055027500002</x:v>
      </x:c>
      <x:c r="AB878" s="38" t="n">
        <x:f>SUM(W878:AA878)</x:f>
        <x:v>293313.8203975</x:v>
      </x:c>
      <x:c r="AC878" s="38" t="n">
        <x:v>31.62</x:v>
      </x:c>
      <x:c r="AD878" s="38" t="n">
        <x:v>174.33</x:v>
      </x:c>
      <x:c r="AE878" s="38" t="n">
        <x:v>216.19</x:v>
      </x:c>
      <x:c r="AF878" s="38" t="n">
        <x:v>4.8148</x:v>
      </x:c>
      <x:c r="AG878" s="38" t="n">
        <x:v>5.44</x:v>
      </x:c>
      <x:c r="AH878" s="38" t="n">
        <x:f>IF(E878="Fason",L878*S878,0)</x:f>
        <x:v>0</x:v>
      </x:c>
      <x:c r="AI878" s="38" t="n">
        <x:f>IF(E878="Kurum içi",AC878*AD878+AE878*AF878+AB878*12%,0)</x:f>
        <x:v>41750.8846597</x:v>
      </x:c>
      <x:c r="AJ878" s="38" t="n">
        <x:f>V878*AG878</x:f>
        <x:v>1735.22663548416</x:v>
      </x:c>
      <x:c r="AK878" s="38" t="n">
        <x:f>AB878*2%</x:f>
        <x:v>5866.27640795</x:v>
      </x:c>
      <x:c r="AL878" s="38" t="n">
        <x:f>AB878+AH878+AI878+AJ878+AK878</x:f>
        <x:v>342666.2081006341</x:v>
      </x:c>
      <x:c r="AM878" s="38" t="n">
        <x:f>AL878/V878</x:f>
        <x:v>1074.2712991766234</x:v>
      </x:c>
      <x:c r="AN878" s="40" t="n">
        <x:f>(W878+X878)/AL878*100</x:f>
        <x:v>72.4007965959515</x:v>
      </x:c>
      <x:c r="AO878" s="28" t="str">
        <x:v>R01-R20; ilgili satırdaki bölgesel fiyat ve maliyet varsayımları</x:v>
      </x:c>
      <x:c r="AP878" s="28" t="str">
        <x:v>Girdi miktarları, alım fiyatı değişimi, fason bedeli ve parti sonucu simüle edilmiştir; işletme kaydı değildir.</x:v>
      </x:c>
    </x:row>
    <x:row r="879" ht="22" customHeight="1">
      <x:c r="A879" t="str">
        <x:v>SUC-0878</x:v>
      </x:c>
      <x:c r="B879" s="36" t="n">
        <x:v>46289</x:v>
      </x:c>
      <x:c r="C879" t="str">
        <x:v>Karadeniz</x:v>
      </x:c>
      <x:c r="D879" t="str">
        <x:v>MEB_STANDART</x:v>
      </x:c>
      <x:c r="E879" t="str">
        <x:v>Fason</x:v>
      </x:c>
      <x:c r="F879" s="42" t="str">
        <x:v>SENTETİK/SİMÜLE — gerçek parti kaydı değildir</x:v>
      </x:c>
      <x:c r="G879" s="38" t="n">
        <x:v>161.873</x:v>
      </x:c>
      <x:c r="H879" s="38" t="n">
        <x:v>49.214</x:v>
      </x:c>
      <x:c r="I879" s="38" t="n">
        <x:v>9.755</x:v>
      </x:c>
      <x:c r="J879" s="38" t="n">
        <x:v>5.872</x:v>
      </x:c>
      <x:c r="K879" s="38" t="n">
        <x:v>2.081</x:v>
      </x:c>
      <x:c r="L879" s="38" t="n">
        <x:f>SUM(G879:K879)</x:f>
        <x:v>228.795</x:v>
      </x:c>
      <x:c r="M879" s="38" t="n">
        <x:v>269.709</x:v>
      </x:c>
      <x:c r="N879" s="38" t="n">
        <x:v>603.47</x:v>
      </x:c>
      <x:c r="O879" s="38" t="n">
        <x:v>450.64</x:v>
      </x:c>
      <x:c r="P879" s="38" t="n">
        <x:v>550</x:v>
      </x:c>
      <x:c r="Q879" s="38" t="n">
        <x:v>19.88</x:v>
      </x:c>
      <x:c r="R879" s="38" t="n">
        <x:v>43.7475</x:v>
      </x:c>
      <x:c r="S879" s="38" t="n">
        <x:v>88.67</x:v>
      </x:c>
      <x:c r="T879" s="40" t="n">
        <x:v>27.42</x:v>
      </x:c>
      <x:c r="U879" s="40" t="n">
        <x:v>0.6</x:v>
      </x:c>
      <x:c r="V879" s="38" t="n">
        <x:f>L879*(1-T879/100)*(1-U879/100)</x:f>
        <x:v>165.06305453399997</x:v>
      </x:c>
      <x:c r="W879" s="38" t="n">
        <x:f>G879*N879</x:f>
        <x:v>97685.49931</x:v>
      </x:c>
      <x:c r="X879" s="38" t="n">
        <x:f>H879*O879</x:f>
        <x:v>22177.79696</x:v>
      </x:c>
      <x:c r="Y879" s="38" t="n">
        <x:f>I879*P879</x:f>
        <x:v>5365.25</x:v>
      </x:c>
      <x:c r="Z879" s="38" t="n">
        <x:f>J879*Q879+K879*P879</x:f>
        <x:v>1261.2853599999999</x:v>
      </x:c>
      <x:c r="AA879" s="38" t="n">
        <x:f>M879*R879</x:f>
        <x:v>11799.0944775</x:v>
      </x:c>
      <x:c r="AB879" s="38" t="n">
        <x:f>SUM(W879:AA879)</x:f>
        <x:v>138288.92610749998</x:v>
      </x:c>
      <x:c r="AC879" s="38" t="n">
        <x:v>9.56</x:v>
      </x:c>
      <x:c r="AD879" s="38" t="n">
        <x:v>174.33</x:v>
      </x:c>
      <x:c r="AE879" s="38" t="n">
        <x:v>86.45</x:v>
      </x:c>
      <x:c r="AF879" s="38" t="n">
        <x:v>4.8148</x:v>
      </x:c>
      <x:c r="AG879" s="38" t="n">
        <x:v>5.25</x:v>
      </x:c>
      <x:c r="AH879" s="38" t="n">
        <x:f>IF(E879="Fason",L879*S879,0)</x:f>
        <x:v>20287.25265</x:v>
      </x:c>
      <x:c r="AI879" s="38" t="n">
        <x:f>IF(E879="Kurum içi",AC879*AD879+AE879*AF879+AB879*12%,0)</x:f>
        <x:v>0</x:v>
      </x:c>
      <x:c r="AJ879" s="38" t="n">
        <x:f>V879*AG879</x:f>
        <x:v>866.5810363034999</x:v>
      </x:c>
      <x:c r="AK879" s="38" t="n">
        <x:f>AB879*2%</x:f>
        <x:v>2765.77852215</x:v>
      </x:c>
      <x:c r="AL879" s="38" t="n">
        <x:f>AB879+AH879+AI879+AJ879+AK879</x:f>
        <x:v>162208.5383159535</x:v>
      </x:c>
      <x:c r="AM879" s="38" t="n">
        <x:f>AL879/V879</x:f>
        <x:v>982.7065103932238</x:v>
      </x:c>
      <x:c r="AN879" s="40" t="n">
        <x:f>(W879+X879)/AL879*100</x:f>
        <x:v>73.89456653417807</x:v>
      </x:c>
      <x:c r="AO879" s="28" t="str">
        <x:v>R01-R20; ilgili satırdaki bölgesel fiyat ve maliyet varsayımları</x:v>
      </x:c>
      <x:c r="AP879" s="28" t="str">
        <x:v>Girdi miktarları, alım fiyatı değişimi, fason bedeli ve parti sonucu simüle edilmiştir; işletme kaydı değildir.</x:v>
      </x:c>
    </x:row>
    <x:row r="880" ht="22" customHeight="1">
      <x:c r="A880" t="str">
        <x:v>SUC-0879</x:v>
      </x:c>
      <x:c r="B880" s="36" t="n">
        <x:v>46275</x:v>
      </x:c>
      <x:c r="C880" t="str">
        <x:v>Akdeniz</x:v>
      </x:c>
      <x:c r="D880" t="str">
        <x:v>MEB_STANDART</x:v>
      </x:c>
      <x:c r="E880" t="str">
        <x:v>Fason</x:v>
      </x:c>
      <x:c r="F880" s="42" t="str">
        <x:v>SENTETİK/SİMÜLE — gerçek parti kaydı değildir</x:v>
      </x:c>
      <x:c r="G880" s="38" t="n">
        <x:v>100.658</x:v>
      </x:c>
      <x:c r="H880" s="38" t="n">
        <x:v>32.53</x:v>
      </x:c>
      <x:c r="I880" s="38" t="n">
        <x:v>6.088</x:v>
      </x:c>
      <x:c r="J880" s="38" t="n">
        <x:v>3.287</x:v>
      </x:c>
      <x:c r="K880" s="38" t="n">
        <x:v>1.537</x:v>
      </x:c>
      <x:c r="L880" s="38" t="n">
        <x:f>SUM(G880:K880)</x:f>
        <x:v>144.1</x:v>
      </x:c>
      <x:c r="M880" s="38" t="n">
        <x:v>167.806</x:v>
      </x:c>
      <x:c r="N880" s="38" t="n">
        <x:v>594</x:v>
      </x:c>
      <x:c r="O880" s="38" t="n">
        <x:v>473.56</x:v>
      </x:c>
      <x:c r="P880" s="38" t="n">
        <x:v>550</x:v>
      </x:c>
      <x:c r="Q880" s="38" t="n">
        <x:v>19.88</x:v>
      </x:c>
      <x:c r="R880" s="38" t="n">
        <x:v>43.7475</x:v>
      </x:c>
      <x:c r="S880" s="38" t="n">
        <x:v>80.36</x:v>
      </x:c>
      <x:c r="T880" s="40" t="n">
        <x:v>24.66</x:v>
      </x:c>
      <x:c r="U880" s="40" t="n">
        <x:v>0.93</x:v>
      </x:c>
      <x:c r="V880" s="38" t="n">
        <x:f>L880*(1-T880/100)*(1-U880/100)</x:f>
        <x:v>107.555286058</x:v>
      </x:c>
      <x:c r="W880" s="38" t="n">
        <x:f>G880*N880</x:f>
        <x:v>59790.852</x:v>
      </x:c>
      <x:c r="X880" s="38" t="n">
        <x:f>H880*O880</x:f>
        <x:v>15404.9068</x:v>
      </x:c>
      <x:c r="Y880" s="38" t="n">
        <x:f>I880*P880</x:f>
        <x:v>3348.4</x:v>
      </x:c>
      <x:c r="Z880" s="38" t="n">
        <x:f>J880*Q880+K880*P880</x:f>
        <x:v>910.6955599999999</x:v>
      </x:c>
      <x:c r="AA880" s="38" t="n">
        <x:f>M880*R880</x:f>
        <x:v>7341.092985000001</x:v>
      </x:c>
      <x:c r="AB880" s="38" t="n">
        <x:f>SUM(W880:AA880)</x:f>
        <x:v>86795.94734499998</x:v>
      </x:c>
      <x:c r="AC880" s="38" t="n">
        <x:v>8.49</x:v>
      </x:c>
      <x:c r="AD880" s="38" t="n">
        <x:v>174.33</x:v>
      </x:c>
      <x:c r="AE880" s="38" t="n">
        <x:v>54.8</x:v>
      </x:c>
      <x:c r="AF880" s="38" t="n">
        <x:v>4.8148</x:v>
      </x:c>
      <x:c r="AG880" s="38" t="n">
        <x:v>5.46</x:v>
      </x:c>
      <x:c r="AH880" s="38" t="n">
        <x:f>IF(E880="Fason",L880*S880,0)</x:f>
        <x:v>11579.876</x:v>
      </x:c>
      <x:c r="AI880" s="38" t="n">
        <x:f>IF(E880="Kurum içi",AC880*AD880+AE880*AF880+AB880*12%,0)</x:f>
        <x:v>0</x:v>
      </x:c>
      <x:c r="AJ880" s="38" t="n">
        <x:f>V880*AG880</x:f>
        <x:v>587.25186187668</x:v>
      </x:c>
      <x:c r="AK880" s="38" t="n">
        <x:f>AB880*2%</x:f>
        <x:v>1735.9189468999996</x:v>
      </x:c>
      <x:c r="AL880" s="38" t="n">
        <x:f>AB880+AH880+AI880+AJ880+AK880</x:f>
        <x:v>100698.99415377666</x:v>
      </x:c>
      <x:c r="AM880" s="38" t="n">
        <x:f>AL880/V880</x:f>
        <x:v>936.2533246341233</x:v>
      </x:c>
      <x:c r="AN880" s="40" t="n">
        <x:f>(W880+X880)/AL880*100</x:f>
        <x:v>74.67379335007968</x:v>
      </x:c>
      <x:c r="AO880" s="28" t="str">
        <x:v>R01-R20; ilgili satırdaki bölgesel fiyat ve maliyet varsayımları</x:v>
      </x:c>
      <x:c r="AP880" s="28" t="str">
        <x:v>Girdi miktarları, alım fiyatı değişimi, fason bedeli ve parti sonucu simüle edilmiştir; işletme kaydı değildir.</x:v>
      </x:c>
    </x:row>
    <x:row r="881" ht="22" customHeight="1">
      <x:c r="A881" t="str">
        <x:v>SUC-0880</x:v>
      </x:c>
      <x:c r="B881" s="36" t="n">
        <x:v>46279</x:v>
      </x:c>
      <x:c r="C881" t="str">
        <x:v>Akdeniz</x:v>
      </x:c>
      <x:c r="D881" t="str">
        <x:v>ERZURUM_CI</x:v>
      </x:c>
      <x:c r="E881" t="str">
        <x:v>Kurum içi</x:v>
      </x:c>
      <x:c r="F881" s="42" t="str">
        <x:v>SENTETİK/SİMÜLE — gerçek parti kaydı değildir</x:v>
      </x:c>
      <x:c r="G881" s="38" t="n">
        <x:v>221.49</x:v>
      </x:c>
      <x:c r="H881" s="38" t="n">
        <x:v>36.482</x:v>
      </x:c>
      <x:c r="I881" s="38" t="n">
        <x:v>12.619</x:v>
      </x:c>
      <x:c r="J881" s="38" t="n">
        <x:v>4.199</x:v>
      </x:c>
      <x:c r="K881" s="38" t="n">
        <x:v>0.576</x:v>
      </x:c>
      <x:c r="L881" s="38" t="n">
        <x:f>SUM(G881:K881)</x:f>
        <x:v>275.36600000000004</x:v>
      </x:c>
      <x:c r="M881" s="38" t="n">
        <x:v>345.865</x:v>
      </x:c>
      <x:c r="N881" s="38" t="n">
        <x:v>598.97</x:v>
      </x:c>
      <x:c r="O881" s="38" t="n">
        <x:v>447.65</x:v>
      </x:c>
      <x:c r="P881" s="38" t="n">
        <x:v>669.9</x:v>
      </x:c>
      <x:c r="Q881" s="38" t="n">
        <x:v>19.88</x:v>
      </x:c>
      <x:c r="R881" s="38" t="n">
        <x:v>43.7475</x:v>
      </x:c>
      <x:c r="S881" s="38" t="n">
        <x:v>89.02</x:v>
      </x:c>
      <x:c r="T881" s="40" t="n">
        <x:v>21.31</x:v>
      </x:c>
      <x:c r="U881" s="40" t="n">
        <x:v>0.95</x:v>
      </x:c>
      <x:c r="V881" s="38" t="n">
        <x:f>L881*(1-T881/100)*(1-U881/100)</x:f>
        <x:v>214.62699309870004</x:v>
      </x:c>
      <x:c r="W881" s="38" t="n">
        <x:f>G881*N881</x:f>
        <x:v>132665.8653</x:v>
      </x:c>
      <x:c r="X881" s="38" t="n">
        <x:f>H881*O881</x:f>
        <x:v>16331.1673</x:v>
      </x:c>
      <x:c r="Y881" s="38" t="n">
        <x:f>I881*P881</x:f>
        <x:v>8453.4681</x:v>
      </x:c>
      <x:c r="Z881" s="38" t="n">
        <x:f>J881*Q881+K881*P881</x:f>
        <x:v>469.33851999999996</x:v>
      </x:c>
      <x:c r="AA881" s="38" t="n">
        <x:f>M881*R881</x:f>
        <x:v>15130.729087500002</x:v>
      </x:c>
      <x:c r="AB881" s="38" t="n">
        <x:f>SUM(W881:AA881)</x:f>
        <x:v>173050.56830749998</x:v>
      </x:c>
      <x:c r="AC881" s="38" t="n">
        <x:v>18.56</x:v>
      </x:c>
      <x:c r="AD881" s="38" t="n">
        <x:v>174.33</x:v>
      </x:c>
      <x:c r="AE881" s="38" t="n">
        <x:v>71.4</x:v>
      </x:c>
      <x:c r="AF881" s="38" t="n">
        <x:v>4.8148</x:v>
      </x:c>
      <x:c r="AG881" s="38" t="n">
        <x:v>5.89</x:v>
      </x:c>
      <x:c r="AH881" s="38" t="n">
        <x:f>IF(E881="Fason",L881*S881,0)</x:f>
        <x:v>0</x:v>
      </x:c>
      <x:c r="AI881" s="38" t="n">
        <x:f>IF(E881="Kurum içi",AC881*AD881+AE881*AF881+AB881*12%,0)</x:f>
        <x:v>24345.409716899994</x:v>
      </x:c>
      <x:c r="AJ881" s="38" t="n">
        <x:f>V881*AG881</x:f>
        <x:v>1264.1529893513432</x:v>
      </x:c>
      <x:c r="AK881" s="38" t="n">
        <x:f>AB881*2%</x:f>
        <x:v>3461.01136615</x:v>
      </x:c>
      <x:c r="AL881" s="38" t="n">
        <x:f>AB881+AH881+AI881+AJ881+AK881</x:f>
        <x:v>202121.1423799013</x:v>
      </x:c>
      <x:c r="AM881" s="38" t="n">
        <x:f>AL881/V881</x:f>
        <x:v>941.7321626779363</x:v>
      </x:c>
      <x:c r="AN881" s="40" t="n">
        <x:f>(W881+X881)/AL881*100</x:f>
        <x:v>73.7166982363227</x:v>
      </x:c>
      <x:c r="AO881" s="28" t="str">
        <x:v>R01-R20; ilgili satırdaki bölgesel fiyat ve maliyet varsayımları</x:v>
      </x:c>
      <x:c r="AP881" s="28" t="str">
        <x:v>Girdi miktarları, alım fiyatı değişimi, fason bedeli ve parti sonucu simüle edilmiştir; işletme kaydı değildir.</x:v>
      </x:c>
    </x:row>
    <x:row r="882" ht="22" customHeight="1">
      <x:c r="A882" t="str">
        <x:v>SUC-0881</x:v>
      </x:c>
      <x:c r="B882" s="36" t="n">
        <x:v>46298</x:v>
      </x:c>
      <x:c r="C882" t="str">
        <x:v>Ege</x:v>
      </x:c>
      <x:c r="D882" t="str">
        <x:v>MEB_STANDART</x:v>
      </x:c>
      <x:c r="E882" t="str">
        <x:v>Fason</x:v>
      </x:c>
      <x:c r="F882" s="42" t="str">
        <x:v>SENTETİK/SİMÜLE — gerçek parti kaydı değildir</x:v>
      </x:c>
      <x:c r="G882" s="38" t="n">
        <x:v>71.151</x:v>
      </x:c>
      <x:c r="H882" s="38" t="n">
        <x:v>22.952</x:v>
      </x:c>
      <x:c r="I882" s="38" t="n">
        <x:v>4.753</x:v>
      </x:c>
      <x:c r="J882" s="38" t="n">
        <x:v>2.681</x:v>
      </x:c>
      <x:c r="K882" s="38" t="n">
        <x:v>0.871</x:v>
      </x:c>
      <x:c r="L882" s="38" t="n">
        <x:f>SUM(G882:K882)</x:f>
        <x:v>102.40799999999999</x:v>
      </x:c>
      <x:c r="M882" s="38" t="n">
        <x:v>134.802</x:v>
      </x:c>
      <x:c r="N882" s="38" t="n">
        <x:v>586.58</x:v>
      </x:c>
      <x:c r="O882" s="38" t="n">
        <x:v>469.59</x:v>
      </x:c>
      <x:c r="P882" s="38" t="n">
        <x:v>669.9</x:v>
      </x:c>
      <x:c r="Q882" s="38" t="n">
        <x:v>19.88</x:v>
      </x:c>
      <x:c r="R882" s="38" t="n">
        <x:v>43.7475</x:v>
      </x:c>
      <x:c r="S882" s="38" t="n">
        <x:v>86.33</x:v>
      </x:c>
      <x:c r="T882" s="40" t="n">
        <x:v>23.13</x:v>
      </x:c>
      <x:c r="U882" s="40" t="n">
        <x:v>0.85</x:v>
      </x:c>
      <x:c r="V882" s="38" t="n">
        <x:f>L882*(1-T882/100)*(1-U882/100)</x:f>
        <x:v>78.0519008484</x:v>
      </x:c>
      <x:c r="W882" s="38" t="n">
        <x:f>G882*N882</x:f>
        <x:v>41735.753580000004</x:v>
      </x:c>
      <x:c r="X882" s="38" t="n">
        <x:f>H882*O882</x:f>
        <x:v>10778.02968</x:v>
      </x:c>
      <x:c r="Y882" s="38" t="n">
        <x:f>I882*P882</x:f>
        <x:v>3184.0347</x:v>
      </x:c>
      <x:c r="Z882" s="38" t="n">
        <x:f>J882*Q882+K882*P882</x:f>
        <x:v>636.78118</x:v>
      </x:c>
      <x:c r="AA882" s="38" t="n">
        <x:f>M882*R882</x:f>
        <x:v>5897.250495</x:v>
      </x:c>
      <x:c r="AB882" s="38" t="n">
        <x:f>SUM(W882:AA882)</x:f>
        <x:v>62231.849635</x:v>
      </x:c>
      <x:c r="AC882" s="38" t="n">
        <x:v>5.65</x:v>
      </x:c>
      <x:c r="AD882" s="38" t="n">
        <x:v>174.33</x:v>
      </x:c>
      <x:c r="AE882" s="38" t="n">
        <x:v>32.76</x:v>
      </x:c>
      <x:c r="AF882" s="38" t="n">
        <x:v>4.8148</x:v>
      </x:c>
      <x:c r="AG882" s="38" t="n">
        <x:v>5.45</x:v>
      </x:c>
      <x:c r="AH882" s="38" t="n">
        <x:f>IF(E882="Fason",L882*S882,0)</x:f>
        <x:v>8840.882639999998</x:v>
      </x:c>
      <x:c r="AI882" s="38" t="n">
        <x:f>IF(E882="Kurum içi",AC882*AD882+AE882*AF882+AB882*12%,0)</x:f>
        <x:v>0</x:v>
      </x:c>
      <x:c r="AJ882" s="38" t="n">
        <x:f>V882*AG882</x:f>
        <x:v>425.38285962378</x:v>
      </x:c>
      <x:c r="AK882" s="38" t="n">
        <x:f>AB882*2%</x:f>
        <x:v>1244.6369927</x:v>
      </x:c>
      <x:c r="AL882" s="38" t="n">
        <x:f>AB882+AH882+AI882+AJ882+AK882</x:f>
        <x:v>72742.7521273238</x:v>
      </x:c>
      <x:c r="AM882" s="38" t="n">
        <x:f>AL882/V882</x:f>
        <x:v>931.9792514548986</x:v>
      </x:c>
      <x:c r="AN882" s="40" t="n">
        <x:f>(W882+X882)/AL882*100</x:f>
        <x:v>72.19108670522057</x:v>
      </x:c>
      <x:c r="AO882" s="28" t="str">
        <x:v>R01-R20; ilgili satırdaki bölgesel fiyat ve maliyet varsayımları</x:v>
      </x:c>
      <x:c r="AP882" s="28" t="str">
        <x:v>Girdi miktarları, alım fiyatı değişimi, fason bedeli ve parti sonucu simüle edilmiştir; işletme kaydı değildir.</x:v>
      </x:c>
    </x:row>
    <x:row r="883" ht="22" customHeight="1">
      <x:c r="A883" t="str">
        <x:v>SUC-0882</x:v>
      </x:c>
      <x:c r="B883" s="36" t="n">
        <x:v>46301</x:v>
      </x:c>
      <x:c r="C883" t="str">
        <x:v>Güneydoğu Anadolu</x:v>
      </x:c>
      <x:c r="D883" t="str">
        <x:v>ERZURUM_CI</x:v>
      </x:c>
      <x:c r="E883" t="str">
        <x:v>Kurum içi</x:v>
      </x:c>
      <x:c r="F883" s="42" t="str">
        <x:v>SENTETİK/SİMÜLE — gerçek parti kaydı değildir</x:v>
      </x:c>
      <x:c r="G883" s="38" t="n">
        <x:v>365.66</x:v>
      </x:c>
      <x:c r="H883" s="38" t="n">
        <x:v>65.175</x:v>
      </x:c>
      <x:c r="I883" s="38" t="n">
        <x:v>21.559</x:v>
      </x:c>
      <x:c r="J883" s="38" t="n">
        <x:v>7.367</x:v>
      </x:c>
      <x:c r="K883" s="38" t="n">
        <x:v>0.232</x:v>
      </x:c>
      <x:c r="L883" s="38" t="n">
        <x:f>SUM(G883:K883)</x:f>
        <x:v>459.9930000000001</x:v>
      </x:c>
      <x:c r="M883" s="38" t="n">
        <x:v>617.178</x:v>
      </x:c>
      <x:c r="N883" s="38" t="n">
        <x:v>593.85</x:v>
      </x:c>
      <x:c r="O883" s="38" t="n">
        <x:v>452.71</x:v>
      </x:c>
      <x:c r="P883" s="38" t="n">
        <x:v>669.9</x:v>
      </x:c>
      <x:c r="Q883" s="38" t="n">
        <x:v>19.88</x:v>
      </x:c>
      <x:c r="R883" s="38" t="n">
        <x:v>43.7475</x:v>
      </x:c>
      <x:c r="S883" s="38" t="n">
        <x:v>95.41</x:v>
      </x:c>
      <x:c r="T883" s="40" t="n">
        <x:v>15.92</x:v>
      </x:c>
      <x:c r="U883" s="40" t="n">
        <x:v>1.28</x:v>
      </x:c>
      <x:c r="V883" s="38" t="n">
        <x:f>L883*(1-T883/100)*(1-U883/100)</x:f>
        <x:v>381.81155933568004</x:v>
      </x:c>
      <x:c r="W883" s="38" t="n">
        <x:f>G883*N883</x:f>
        <x:v>217147.19100000002</x:v>
      </x:c>
      <x:c r="X883" s="38" t="n">
        <x:f>H883*O883</x:f>
        <x:v>29505.374249999997</x:v>
      </x:c>
      <x:c r="Y883" s="38" t="n">
        <x:f>I883*P883</x:f>
        <x:v>14442.3741</x:v>
      </x:c>
      <x:c r="Z883" s="38" t="n">
        <x:f>J883*Q883+K883*P883</x:f>
        <x:v>301.87275999999997</x:v>
      </x:c>
      <x:c r="AA883" s="38" t="n">
        <x:f>M883*R883</x:f>
        <x:v>26999.994555</x:v>
      </x:c>
      <x:c r="AB883" s="38" t="n">
        <x:f>SUM(W883:AA883)</x:f>
        <x:v>288396.806665</x:v>
      </x:c>
      <x:c r="AC883" s="38" t="n">
        <x:v>29.17</x:v>
      </x:c>
      <x:c r="AD883" s="38" t="n">
        <x:v>174.33</x:v>
      </x:c>
      <x:c r="AE883" s="38" t="n">
        <x:v>127.48</x:v>
      </x:c>
      <x:c r="AF883" s="38" t="n">
        <x:v>4.8148</x:v>
      </x:c>
      <x:c r="AG883" s="38" t="n">
        <x:v>5.55</x:v>
      </x:c>
      <x:c r="AH883" s="38" t="n">
        <x:f>IF(E883="Fason",L883*S883,0)</x:f>
        <x:v>0</x:v>
      </x:c>
      <x:c r="AI883" s="38" t="n">
        <x:f>IF(E883="Kurum içi",AC883*AD883+AE883*AF883+AB883*12%,0)</x:f>
        <x:v>40306.6136038</x:v>
      </x:c>
      <x:c r="AJ883" s="38" t="n">
        <x:f>V883*AG883</x:f>
        <x:v>2119.0541543130244</x:v>
      </x:c>
      <x:c r="AK883" s="38" t="n">
        <x:f>AB883*2%</x:f>
        <x:v>5767.9361333</x:v>
      </x:c>
      <x:c r="AL883" s="38" t="n">
        <x:f>AB883+AH883+AI883+AJ883+AK883</x:f>
        <x:v>336590.41055641306</x:v>
      </x:c>
      <x:c r="AM883" s="38" t="n">
        <x:f>AL883/V883</x:f>
        <x:v>881.561603692806</x:v>
      </x:c>
      <x:c r="AN883" s="40" t="n">
        <x:f>(W883+X883)/AL883*100</x:f>
        <x:v>73.2797362950008</x:v>
      </x:c>
      <x:c r="AO883" s="28" t="str">
        <x:v>R01-R20; ilgili satırdaki bölgesel fiyat ve maliyet varsayımları</x:v>
      </x:c>
      <x:c r="AP883" s="28" t="str">
        <x:v>Girdi miktarları, alım fiyatı değişimi, fason bedeli ve parti sonucu simüle edilmiştir; işletme kaydı değildir.</x:v>
      </x:c>
    </x:row>
    <x:row r="884" ht="22" customHeight="1">
      <x:c r="A884" t="str">
        <x:v>SUC-0883</x:v>
      </x:c>
      <x:c r="B884" s="36" t="n">
        <x:v>46268</x:v>
      </x:c>
      <x:c r="C884" t="str">
        <x:v>Ege</x:v>
      </x:c>
      <x:c r="D884" t="str">
        <x:v>ERZURUM_CI</x:v>
      </x:c>
      <x:c r="E884" t="str">
        <x:v>Fason</x:v>
      </x:c>
      <x:c r="F884" s="42" t="str">
        <x:v>SENTETİK/SİMÜLE — gerçek parti kaydı değildir</x:v>
      </x:c>
      <x:c r="G884" s="38" t="n">
        <x:v>294.278</x:v>
      </x:c>
      <x:c r="H884" s="38" t="n">
        <x:v>55.114</x:v>
      </x:c>
      <x:c r="I884" s="38" t="n">
        <x:v>18.546</x:v>
      </x:c>
      <x:c r="J884" s="38" t="n">
        <x:v>6.347</x:v>
      </x:c>
      <x:c r="K884" s="38" t="n">
        <x:v>0.254</x:v>
      </x:c>
      <x:c r="L884" s="38" t="n">
        <x:f>SUM(G884:K884)</x:f>
        <x:v>374.539</x:v>
      </x:c>
      <x:c r="M884" s="38" t="n">
        <x:v>497.178</x:v>
      </x:c>
      <x:c r="N884" s="38" t="n">
        <x:v>598.2</x:v>
      </x:c>
      <x:c r="O884" s="38" t="n">
        <x:v>440.53</x:v>
      </x:c>
      <x:c r="P884" s="38" t="n">
        <x:v>669.9</x:v>
      </x:c>
      <x:c r="Q884" s="38" t="n">
        <x:v>19.88</x:v>
      </x:c>
      <x:c r="R884" s="38" t="n">
        <x:v>43.7475</x:v>
      </x:c>
      <x:c r="S884" s="38" t="n">
        <x:v>102.87</x:v>
      </x:c>
      <x:c r="T884" s="40" t="n">
        <x:v>17.65</x:v>
      </x:c>
      <x:c r="U884" s="40" t="n">
        <x:v>0.72</x:v>
      </x:c>
      <x:c r="V884" s="38" t="n">
        <x:f>L884*(1-T884/100)*(1-U884/100)</x:f>
        <x:v>306.2121498612</x:v>
      </x:c>
      <x:c r="W884" s="38" t="n">
        <x:f>G884*N884</x:f>
        <x:v>176037.09960000002</x:v>
      </x:c>
      <x:c r="X884" s="38" t="n">
        <x:f>H884*O884</x:f>
        <x:v>24279.370419999996</x:v>
      </x:c>
      <x:c r="Y884" s="38" t="n">
        <x:f>I884*P884</x:f>
        <x:v>12423.9654</x:v>
      </x:c>
      <x:c r="Z884" s="38" t="n">
        <x:f>J884*Q884+K884*P884</x:f>
        <x:v>296.33295999999996</x:v>
      </x:c>
      <x:c r="AA884" s="38" t="n">
        <x:f>M884*R884</x:f>
        <x:v>21750.294555</x:v>
      </x:c>
      <x:c r="AB884" s="38" t="n">
        <x:f>SUM(W884:AA884)</x:f>
        <x:v>234787.062935</x:v>
      </x:c>
      <x:c r="AC884" s="38" t="n">
        <x:v>24.19</x:v>
      </x:c>
      <x:c r="AD884" s="38" t="n">
        <x:v>174.33</x:v>
      </x:c>
      <x:c r="AE884" s="38" t="n">
        <x:v>122.36</x:v>
      </x:c>
      <x:c r="AF884" s="38" t="n">
        <x:v>4.8148</x:v>
      </x:c>
      <x:c r="AG884" s="38" t="n">
        <x:v>5.26</x:v>
      </x:c>
      <x:c r="AH884" s="38" t="n">
        <x:f>IF(E884="Fason",L884*S884,0)</x:f>
        <x:v>38528.82693</x:v>
      </x:c>
      <x:c r="AI884" s="38" t="n">
        <x:f>IF(E884="Kurum içi",AC884*AD884+AE884*AF884+AB884*12%,0)</x:f>
        <x:v>0</x:v>
      </x:c>
      <x:c r="AJ884" s="38" t="n">
        <x:f>V884*AG884</x:f>
        <x:v>1610.6759082699118</x:v>
      </x:c>
      <x:c r="AK884" s="38" t="n">
        <x:f>AB884*2%</x:f>
        <x:v>4695.7412587</x:v>
      </x:c>
      <x:c r="AL884" s="38" t="n">
        <x:f>AB884+AH884+AI884+AJ884+AK884</x:f>
        <x:v>279622.3070319699</x:v>
      </x:c>
      <x:c r="AM884" s="38" t="n">
        <x:f>AL884/V884</x:f>
        <x:v>913.1652913142644</x:v>
      </x:c>
      <x:c r="AN884" s="40" t="n">
        <x:f>(W884+X884)/AL884*100</x:f>
        <x:v>71.63822949114619</x:v>
      </x:c>
      <x:c r="AO884" s="28" t="str">
        <x:v>R01-R20; ilgili satırdaki bölgesel fiyat ve maliyet varsayımları</x:v>
      </x:c>
      <x:c r="AP884" s="28" t="str">
        <x:v>Girdi miktarları, alım fiyatı değişimi, fason bedeli ve parti sonucu simüle edilmiştir; işletme kaydı değildir.</x:v>
      </x:c>
    </x:row>
    <x:row r="885" ht="22" customHeight="1">
      <x:c r="A885" t="str">
        <x:v>SUC-0884</x:v>
      </x:c>
      <x:c r="B885" s="36" t="n">
        <x:v>46283</x:v>
      </x:c>
      <x:c r="C885" t="str">
        <x:v>Marmara</x:v>
      </x:c>
      <x:c r="D885" t="str">
        <x:v>MEB_STANDART</x:v>
      </x:c>
      <x:c r="E885" t="str">
        <x:v>Kurum içi</x:v>
      </x:c>
      <x:c r="F885" s="42" t="str">
        <x:v>SENTETİK/SİMÜLE — gerçek parti kaydı değildir</x:v>
      </x:c>
      <x:c r="G885" s="38" t="n">
        <x:v>188.311</x:v>
      </x:c>
      <x:c r="H885" s="38" t="n">
        <x:v>59.418</x:v>
      </x:c>
      <x:c r="I885" s="38" t="n">
        <x:v>12.186</x:v>
      </x:c>
      <x:c r="J885" s="38" t="n">
        <x:v>7.108</x:v>
      </x:c>
      <x:c r="K885" s="38" t="n">
        <x:v>2.363</x:v>
      </x:c>
      <x:c r="L885" s="38" t="n">
        <x:f>SUM(G885:K885)</x:f>
        <x:v>269.386</x:v>
      </x:c>
      <x:c r="M885" s="38" t="n">
        <x:v>345.113</x:v>
      </x:c>
      <x:c r="N885" s="38" t="n">
        <x:v>622.9</x:v>
      </x:c>
      <x:c r="O885" s="38" t="n">
        <x:v>433.12</x:v>
      </x:c>
      <x:c r="P885" s="38" t="n">
        <x:v>550</x:v>
      </x:c>
      <x:c r="Q885" s="38" t="n">
        <x:v>19.88</x:v>
      </x:c>
      <x:c r="R885" s="38" t="n">
        <x:v>43.7475</x:v>
      </x:c>
      <x:c r="S885" s="38" t="n">
        <x:v>97.13</x:v>
      </x:c>
      <x:c r="T885" s="40" t="n">
        <x:v>16.13</x:v>
      </x:c>
      <x:c r="U885" s="40" t="n">
        <x:v>0.7</x:v>
      </x:c>
      <x:c r="V885" s="38" t="n">
        <x:f>L885*(1-T885/100)*(1-U885/100)</x:f>
        <x:v>224.35249993260004</x:v>
      </x:c>
      <x:c r="W885" s="38" t="n">
        <x:f>G885*N885</x:f>
        <x:v>117298.9219</x:v>
      </x:c>
      <x:c r="X885" s="38" t="n">
        <x:f>H885*O885</x:f>
        <x:v>25735.12416</x:v>
      </x:c>
      <x:c r="Y885" s="38" t="n">
        <x:f>I885*P885</x:f>
        <x:v>6702.3</x:v>
      </x:c>
      <x:c r="Z885" s="38" t="n">
        <x:f>J885*Q885+K885*P885</x:f>
        <x:v>1440.95704</x:v>
      </x:c>
      <x:c r="AA885" s="38" t="n">
        <x:f>M885*R885</x:f>
        <x:v>15097.8309675</x:v>
      </x:c>
      <x:c r="AB885" s="38" t="n">
        <x:f>SUM(W885:AA885)</x:f>
        <x:v>166275.13406749998</x:v>
      </x:c>
      <x:c r="AC885" s="38" t="n">
        <x:v>10.76</x:v>
      </x:c>
      <x:c r="AD885" s="38" t="n">
        <x:v>174.33</x:v>
      </x:c>
      <x:c r="AE885" s="38" t="n">
        <x:v>61.04</x:v>
      </x:c>
      <x:c r="AF885" s="38" t="n">
        <x:v>4.8148</x:v>
      </x:c>
      <x:c r="AG885" s="38" t="n">
        <x:v>5.34</x:v>
      </x:c>
      <x:c r="AH885" s="38" t="n">
        <x:f>IF(E885="Fason",L885*S885,0)</x:f>
        <x:v>0</x:v>
      </x:c>
      <x:c r="AI885" s="38" t="n">
        <x:f>IF(E885="Kurum içi",AC885*AD885+AE885*AF885+AB885*12%,0)</x:f>
        <x:v>22122.7022801</x:v>
      </x:c>
      <x:c r="AJ885" s="38" t="n">
        <x:f>V885*AG885</x:f>
        <x:v>1198.0423496400842</x:v>
      </x:c>
      <x:c r="AK885" s="38" t="n">
        <x:f>AB885*2%</x:f>
        <x:v>3325.50268135</x:v>
      </x:c>
      <x:c r="AL885" s="38" t="n">
        <x:f>AB885+AH885+AI885+AJ885+AK885</x:f>
        <x:v>192921.38137859004</x:v>
      </x:c>
      <x:c r="AM885" s="38" t="n">
        <x:f>AL885/V885</x:f>
        <x:v>859.9029716029349</x:v>
      </x:c>
      <x:c r="AN885" s="40" t="n">
        <x:f>(W885+X885)/AL885*100</x:f>
        <x:v>74.14110610130308</x:v>
      </x:c>
      <x:c r="AO885" s="28" t="str">
        <x:v>R01-R20; ilgili satırdaki bölgesel fiyat ve maliyet varsayımları</x:v>
      </x:c>
      <x:c r="AP885" s="28" t="str">
        <x:v>Girdi miktarları, alım fiyatı değişimi, fason bedeli ve parti sonucu simüle edilmiştir; işletme kaydı değildir.</x:v>
      </x:c>
    </x:row>
    <x:row r="886" ht="22" customHeight="1">
      <x:c r="A886" t="str">
        <x:v>SUC-0885</x:v>
      </x:c>
      <x:c r="B886" s="36" t="n">
        <x:v>46274</x:v>
      </x:c>
      <x:c r="C886" t="str">
        <x:v>Güneydoğu Anadolu</x:v>
      </x:c>
      <x:c r="D886" t="str">
        <x:v>MEB_STANDART</x:v>
      </x:c>
      <x:c r="E886" t="str">
        <x:v>Kurum içi</x:v>
      </x:c>
      <x:c r="F886" s="42" t="str">
        <x:v>SENTETİK/SİMÜLE — gerçek parti kaydı değildir</x:v>
      </x:c>
      <x:c r="G886" s="38" t="n">
        <x:v>87.166</x:v>
      </x:c>
      <x:c r="H886" s="38" t="n">
        <x:v>27.319</x:v>
      </x:c>
      <x:c r="I886" s="38" t="n">
        <x:v>5.278</x:v>
      </x:c>
      <x:c r="J886" s="38" t="n">
        <x:v>3.237</x:v>
      </x:c>
      <x:c r="K886" s="38" t="n">
        <x:v>1.1</x:v>
      </x:c>
      <x:c r="L886" s="38" t="n">
        <x:f>SUM(G886:K886)</x:f>
        <x:v>124.1</x:v>
      </x:c>
      <x:c r="M886" s="38" t="n">
        <x:v>163.988</x:v>
      </x:c>
      <x:c r="N886" s="38" t="n">
        <x:v>598.33</x:v>
      </x:c>
      <x:c r="O886" s="38" t="n">
        <x:v>449.68</x:v>
      </x:c>
      <x:c r="P886" s="38" t="n">
        <x:v>400</x:v>
      </x:c>
      <x:c r="Q886" s="38" t="n">
        <x:v>19.88</x:v>
      </x:c>
      <x:c r="R886" s="38" t="n">
        <x:v>43.7475</x:v>
      </x:c>
      <x:c r="S886" s="38" t="n">
        <x:v>122.57</x:v>
      </x:c>
      <x:c r="T886" s="40" t="n">
        <x:v>29.72</x:v>
      </x:c>
      <x:c r="U886" s="40" t="n">
        <x:v>0.46</x:v>
      </x:c>
      <x:c r="V886" s="38" t="n">
        <x:f>L886*(1-T886/100)*(1-U886/100)</x:f>
        <x:v>86.816279592</x:v>
      </x:c>
      <x:c r="W886" s="38" t="n">
        <x:f>G886*N886</x:f>
        <x:v>52154.03278</x:v>
      </x:c>
      <x:c r="X886" s="38" t="n">
        <x:f>H886*O886</x:f>
        <x:v>12284.80792</x:v>
      </x:c>
      <x:c r="Y886" s="38" t="n">
        <x:f>I886*P886</x:f>
        <x:v>2111.2</x:v>
      </x:c>
      <x:c r="Z886" s="38" t="n">
        <x:f>J886*Q886+K886*P886</x:f>
        <x:v>504.35156000000006</x:v>
      </x:c>
      <x:c r="AA886" s="38" t="n">
        <x:f>M886*R886</x:f>
        <x:v>7174.065030000001</x:v>
      </x:c>
      <x:c r="AB886" s="38" t="n">
        <x:f>SUM(W886:AA886)</x:f>
        <x:v>74228.45728999999</x:v>
      </x:c>
      <x:c r="AC886" s="38" t="n">
        <x:v>6.71</x:v>
      </x:c>
      <x:c r="AD886" s="38" t="n">
        <x:v>174.33</x:v>
      </x:c>
      <x:c r="AE886" s="38" t="n">
        <x:v>51.15</x:v>
      </x:c>
      <x:c r="AF886" s="38" t="n">
        <x:v>4.8148</x:v>
      </x:c>
      <x:c r="AG886" s="38" t="n">
        <x:v>5.83</x:v>
      </x:c>
      <x:c r="AH886" s="38" t="n">
        <x:f>IF(E886="Fason",L886*S886,0)</x:f>
        <x:v>0</x:v>
      </x:c>
      <x:c r="AI886" s="38" t="n">
        <x:f>IF(E886="Kurum içi",AC886*AD886+AE886*AF886+AB886*12%,0)</x:f>
        <x:v>10323.446194799999</x:v>
      </x:c>
      <x:c r="AJ886" s="38" t="n">
        <x:f>V886*AG886</x:f>
        <x:v>506.13891002136</x:v>
      </x:c>
      <x:c r="AK886" s="38" t="n">
        <x:f>AB886*2%</x:f>
        <x:v>1484.5691458</x:v>
      </x:c>
      <x:c r="AL886" s="38" t="n">
        <x:f>AB886+AH886+AI886+AJ886+AK886</x:f>
        <x:v>86542.61154062134</x:v>
      </x:c>
      <x:c r="AM886" s="38" t="n">
        <x:f>AL886/V886</x:f>
        <x:v>996.84773348196</x:v>
      </x:c>
      <x:c r="AN886" s="40" t="n">
        <x:f>(W886+X886)/AL886*100</x:f>
        <x:v>74.45908963557648</x:v>
      </x:c>
      <x:c r="AO886" s="28" t="str">
        <x:v>R01-R20; ilgili satırdaki bölgesel fiyat ve maliyet varsayımları</x:v>
      </x:c>
      <x:c r="AP886" s="28" t="str">
        <x:v>Girdi miktarları, alım fiyatı değişimi, fason bedeli ve parti sonucu simüle edilmiştir; işletme kaydı değildir.</x:v>
      </x:c>
    </x:row>
    <x:row r="887" ht="22" customHeight="1">
      <x:c r="A887" t="str">
        <x:v>SUC-0886</x:v>
      </x:c>
      <x:c r="B887" s="36" t="n">
        <x:v>46303</x:v>
      </x:c>
      <x:c r="C887" t="str">
        <x:v>İç Anadolu</x:v>
      </x:c>
      <x:c r="D887" t="str">
        <x:v>MEB_STANDART</x:v>
      </x:c>
      <x:c r="E887" t="str">
        <x:v>Kurum içi</x:v>
      </x:c>
      <x:c r="F887" s="42" t="str">
        <x:v>SENTETİK/SİMÜLE — gerçek parti kaydı değildir</x:v>
      </x:c>
      <x:c r="G887" s="38" t="n">
        <x:v>232.465</x:v>
      </x:c>
      <x:c r="H887" s="38" t="n">
        <x:v>76.406</x:v>
      </x:c>
      <x:c r="I887" s="38" t="n">
        <x:v>15.179</x:v>
      </x:c>
      <x:c r="J887" s="38" t="n">
        <x:v>8.985</x:v>
      </x:c>
      <x:c r="K887" s="38" t="n">
        <x:v>3.493</x:v>
      </x:c>
      <x:c r="L887" s="38" t="n">
        <x:f>SUM(G887:K887)</x:f>
        <x:v>336.52799999999996</x:v>
      </x:c>
      <x:c r="M887" s="38" t="n">
        <x:v>398.142</x:v>
      </x:c>
      <x:c r="N887" s="38" t="n">
        <x:v>601.98</x:v>
      </x:c>
      <x:c r="O887" s="38" t="n">
        <x:v>422.37</x:v>
      </x:c>
      <x:c r="P887" s="38" t="n">
        <x:v>550</x:v>
      </x:c>
      <x:c r="Q887" s="38" t="n">
        <x:v>19.88</x:v>
      </x:c>
      <x:c r="R887" s="38" t="n">
        <x:v>43.7475</x:v>
      </x:c>
      <x:c r="S887" s="38" t="n">
        <x:v>90.81</x:v>
      </x:c>
      <x:c r="T887" s="40" t="n">
        <x:v>16.03</x:v>
      </x:c>
      <x:c r="U887" s="40" t="n">
        <x:v>0.58</x:v>
      </x:c>
      <x:c r="V887" s="38" t="n">
        <x:f>L887*(1-T887/100)*(1-U887/100)</x:f>
        <x:v>280.94358274271997</x:v>
      </x:c>
      <x:c r="W887" s="38" t="n">
        <x:f>G887*N887</x:f>
        <x:v>139939.2807</x:v>
      </x:c>
      <x:c r="X887" s="38" t="n">
        <x:f>H887*O887</x:f>
        <x:v>32271.602220000004</x:v>
      </x:c>
      <x:c r="Y887" s="38" t="n">
        <x:f>I887*P887</x:f>
        <x:v>8348.45</x:v>
      </x:c>
      <x:c r="Z887" s="38" t="n">
        <x:f>J887*Q887+K887*P887</x:f>
        <x:v>2099.7718</x:v>
      </x:c>
      <x:c r="AA887" s="38" t="n">
        <x:f>M887*R887</x:f>
        <x:v>17417.717145000002</x:v>
      </x:c>
      <x:c r="AB887" s="38" t="n">
        <x:f>SUM(W887:AA887)</x:f>
        <x:v>200076.821865</x:v>
      </x:c>
      <x:c r="AC887" s="38" t="n">
        <x:v>19.95</x:v>
      </x:c>
      <x:c r="AD887" s="38" t="n">
        <x:v>174.33</x:v>
      </x:c>
      <x:c r="AE887" s="38" t="n">
        <x:v>110.46</x:v>
      </x:c>
      <x:c r="AF887" s="38" t="n">
        <x:v>4.8148</x:v>
      </x:c>
      <x:c r="AG887" s="38" t="n">
        <x:v>5.82</x:v>
      </x:c>
      <x:c r="AH887" s="38" t="n">
        <x:f>IF(E887="Fason",L887*S887,0)</x:f>
        <x:v>0</x:v>
      </x:c>
      <x:c r="AI887" s="38" t="n">
        <x:f>IF(E887="Kurum içi",AC887*AD887+AE887*AF887+AB887*12%,0)</x:f>
        <x:v>28018.9449318</x:v>
      </x:c>
      <x:c r="AJ887" s="38" t="n">
        <x:f>V887*AG887</x:f>
        <x:v>1635.0916515626302</x:v>
      </x:c>
      <x:c r="AK887" s="38" t="n">
        <x:f>AB887*2%</x:f>
        <x:v>4001.5364373</x:v>
      </x:c>
      <x:c r="AL887" s="38" t="n">
        <x:f>AB887+AH887+AI887+AJ887+AK887</x:f>
        <x:v>233732.39488566265</x:v>
      </x:c>
      <x:c r="AM887" s="38" t="n">
        <x:f>AL887/V887</x:f>
        <x:v>831.9549163709072</x:v>
      </x:c>
      <x:c r="AN887" s="40" t="n">
        <x:f>(W887+X887)/AL887*100</x:f>
        <x:v>73.67865417382225</x:v>
      </x:c>
      <x:c r="AO887" s="28" t="str">
        <x:v>R01-R20; ilgili satırdaki bölgesel fiyat ve maliyet varsayımları</x:v>
      </x:c>
      <x:c r="AP887" s="28" t="str">
        <x:v>Girdi miktarları, alım fiyatı değişimi, fason bedeli ve parti sonucu simüle edilmiştir; işletme kaydı değildir.</x:v>
      </x:c>
    </x:row>
    <x:row r="888" ht="22" customHeight="1">
      <x:c r="A888" t="str">
        <x:v>SUC-0887</x:v>
      </x:c>
      <x:c r="B888" s="36" t="n">
        <x:v>46269</x:v>
      </x:c>
      <x:c r="C888" t="str">
        <x:v>İç Anadolu</x:v>
      </x:c>
      <x:c r="D888" t="str">
        <x:v>MEB_STANDART</x:v>
      </x:c>
      <x:c r="E888" t="str">
        <x:v>Kurum içi</x:v>
      </x:c>
      <x:c r="F888" s="42" t="str">
        <x:v>SENTETİK/SİMÜLE — gerçek parti kaydı değildir</x:v>
      </x:c>
      <x:c r="G888" s="38" t="n">
        <x:v>307.442</x:v>
      </x:c>
      <x:c r="H888" s="38" t="n">
        <x:v>96.054</x:v>
      </x:c>
      <x:c r="I888" s="38" t="n">
        <x:v>19.741</x:v>
      </x:c>
      <x:c r="J888" s="38" t="n">
        <x:v>11.327</x:v>
      </x:c>
      <x:c r="K888" s="38" t="n">
        <x:v>4.99</x:v>
      </x:c>
      <x:c r="L888" s="38" t="n">
        <x:f>SUM(G888:K888)</x:f>
        <x:v>439.554</x:v>
      </x:c>
      <x:c r="M888" s="38" t="n">
        <x:v>527.416</x:v>
      </x:c>
      <x:c r="N888" s="38" t="n">
        <x:v>576.96</x:v>
      </x:c>
      <x:c r="O888" s="38" t="n">
        <x:v>460.67</x:v>
      </x:c>
      <x:c r="P888" s="38" t="n">
        <x:v>550</x:v>
      </x:c>
      <x:c r="Q888" s="38" t="n">
        <x:v>19.88</x:v>
      </x:c>
      <x:c r="R888" s="38" t="n">
        <x:v>43.7475</x:v>
      </x:c>
      <x:c r="S888" s="38" t="n">
        <x:v>121.17</x:v>
      </x:c>
      <x:c r="T888" s="40" t="n">
        <x:v>16.38</x:v>
      </x:c>
      <x:c r="U888" s="40" t="n">
        <x:v>1.27</x:v>
      </x:c>
      <x:c r="V888" s="38" t="n">
        <x:f>L888*(1-T888/100)*(1-U888/100)</x:f>
        <x:v>362.88710560403996</x:v>
      </x:c>
      <x:c r="W888" s="38" t="n">
        <x:f>G888*N888</x:f>
        <x:v>177381.73632000003</x:v>
      </x:c>
      <x:c r="X888" s="38" t="n">
        <x:f>H888*O888</x:f>
        <x:v>44249.19618</x:v>
      </x:c>
      <x:c r="Y888" s="38" t="n">
        <x:f>I888*P888</x:f>
        <x:v>10857.55</x:v>
      </x:c>
      <x:c r="Z888" s="38" t="n">
        <x:f>J888*Q888+K888*P888</x:f>
        <x:v>2969.68076</x:v>
      </x:c>
      <x:c r="AA888" s="38" t="n">
        <x:f>M888*R888</x:f>
        <x:v>23073.131460000004</x:v>
      </x:c>
      <x:c r="AB888" s="38" t="n">
        <x:f>SUM(W888:AA888)</x:f>
        <x:v>258531.29472</x:v>
      </x:c>
      <x:c r="AC888" s="38" t="n">
        <x:v>22.25</x:v>
      </x:c>
      <x:c r="AD888" s="38" t="n">
        <x:v>174.33</x:v>
      </x:c>
      <x:c r="AE888" s="38" t="n">
        <x:v>202.7</x:v>
      </x:c>
      <x:c r="AF888" s="38" t="n">
        <x:v>4.8148</x:v>
      </x:c>
      <x:c r="AG888" s="38" t="n">
        <x:v>5.58</x:v>
      </x:c>
      <x:c r="AH888" s="38" t="n">
        <x:f>IF(E888="Fason",L888*S888,0)</x:f>
        <x:v>0</x:v>
      </x:c>
      <x:c r="AI888" s="38" t="n">
        <x:f>IF(E888="Kurum içi",AC888*AD888+AE888*AF888+AB888*12%,0)</x:f>
        <x:v>35878.5578264</x:v>
      </x:c>
      <x:c r="AJ888" s="38" t="n">
        <x:f>V888*AG888</x:f>
        <x:v>2024.910049270543</x:v>
      </x:c>
      <x:c r="AK888" s="38" t="n">
        <x:f>AB888*2%</x:f>
        <x:v>5170.6258944</x:v>
      </x:c>
      <x:c r="AL888" s="38" t="n">
        <x:f>AB888+AH888+AI888+AJ888+AK888</x:f>
        <x:v>301605.38849007053</x:v>
      </x:c>
      <x:c r="AM888" s="38" t="n">
        <x:f>AL888/V888</x:f>
        <x:v>831.1273226091525</x:v>
      </x:c>
      <x:c r="AN888" s="40" t="n">
        <x:f>(W888+X888)/AL888*100</x:f>
        <x:v>73.48374430893053</x:v>
      </x:c>
      <x:c r="AO888" s="28" t="str">
        <x:v>R01-R20; ilgili satırdaki bölgesel fiyat ve maliyet varsayımları</x:v>
      </x:c>
      <x:c r="AP888" s="28" t="str">
        <x:v>Girdi miktarları, alım fiyatı değişimi, fason bedeli ve parti sonucu simüle edilmiştir; işletme kaydı değildir.</x:v>
      </x:c>
    </x:row>
    <x:row r="889" ht="22" customHeight="1">
      <x:c r="A889" t="str">
        <x:v>SUC-0888</x:v>
      </x:c>
      <x:c r="B889" s="36" t="n">
        <x:v>46303</x:v>
      </x:c>
      <x:c r="C889" t="str">
        <x:v>İç Anadolu</x:v>
      </x:c>
      <x:c r="D889" t="str">
        <x:v>MEB_STANDART</x:v>
      </x:c>
      <x:c r="E889" t="str">
        <x:v>Fason</x:v>
      </x:c>
      <x:c r="F889" s="42" t="str">
        <x:v>SENTETİK/SİMÜLE — gerçek parti kaydı değildir</x:v>
      </x:c>
      <x:c r="G889" s="38" t="n">
        <x:v>182.578</x:v>
      </x:c>
      <x:c r="H889" s="38" t="n">
        <x:v>57.721</x:v>
      </x:c>
      <x:c r="I889" s="38" t="n">
        <x:v>10.877</x:v>
      </x:c>
      <x:c r="J889" s="38" t="n">
        <x:v>6.87</x:v>
      </x:c>
      <x:c r="K889" s="38" t="n">
        <x:v>2.354</x:v>
      </x:c>
      <x:c r="L889" s="38" t="n">
        <x:f>SUM(G889:K889)</x:f>
        <x:v>260.4</x:v>
      </x:c>
      <x:c r="M889" s="38" t="n">
        <x:v>307.107</x:v>
      </x:c>
      <x:c r="N889" s="38" t="n">
        <x:v>594.93</x:v>
      </x:c>
      <x:c r="O889" s="38" t="n">
        <x:v>422</x:v>
      </x:c>
      <x:c r="P889" s="38" t="n">
        <x:v>669.9</x:v>
      </x:c>
      <x:c r="Q889" s="38" t="n">
        <x:v>19.88</x:v>
      </x:c>
      <x:c r="R889" s="38" t="n">
        <x:v>43.7475</x:v>
      </x:c>
      <x:c r="S889" s="38" t="n">
        <x:v>74.26</x:v>
      </x:c>
      <x:c r="T889" s="40" t="n">
        <x:v>20.43</x:v>
      </x:c>
      <x:c r="U889" s="40" t="n">
        <x:v>1.72</x:v>
      </x:c>
      <x:c r="V889" s="38" t="n">
        <x:f>L889*(1-T889/100)*(1-U889/100)</x:f>
        <x:v>203.63643518399996</x:v>
      </x:c>
      <x:c r="W889" s="38" t="n">
        <x:f>G889*N889</x:f>
        <x:v>108621.12954</x:v>
      </x:c>
      <x:c r="X889" s="38" t="n">
        <x:f>H889*O889</x:f>
        <x:v>24358.262</x:v>
      </x:c>
      <x:c r="Y889" s="38" t="n">
        <x:f>I889*P889</x:f>
        <x:v>7286.5023</x:v>
      </x:c>
      <x:c r="Z889" s="38" t="n">
        <x:f>J889*Q889+K889*P889</x:f>
        <x:v>1713.5202</x:v>
      </x:c>
      <x:c r="AA889" s="38" t="n">
        <x:f>M889*R889</x:f>
        <x:v>13435.163482500002</x:v>
      </x:c>
      <x:c r="AB889" s="38" t="n">
        <x:f>SUM(W889:AA889)</x:f>
        <x:v>155414.57752249998</x:v>
      </x:c>
      <x:c r="AC889" s="38" t="n">
        <x:v>13.64</x:v>
      </x:c>
      <x:c r="AD889" s="38" t="n">
        <x:v>174.33</x:v>
      </x:c>
      <x:c r="AE889" s="38" t="n">
        <x:v>77.89</x:v>
      </x:c>
      <x:c r="AF889" s="38" t="n">
        <x:v>4.8148</x:v>
      </x:c>
      <x:c r="AG889" s="38" t="n">
        <x:v>5.41</x:v>
      </x:c>
      <x:c r="AH889" s="38" t="n">
        <x:f>IF(E889="Fason",L889*S889,0)</x:f>
        <x:v>19337.304</x:v>
      </x:c>
      <x:c r="AI889" s="38" t="n">
        <x:f>IF(E889="Kurum içi",AC889*AD889+AE889*AF889+AB889*12%,0)</x:f>
        <x:v>0</x:v>
      </x:c>
      <x:c r="AJ889" s="38" t="n">
        <x:f>V889*AG889</x:f>
        <x:v>1101.67311434544</x:v>
      </x:c>
      <x:c r="AK889" s="38" t="n">
        <x:f>AB889*2%</x:f>
        <x:v>3108.2915504499997</x:v>
      </x:c>
      <x:c r="AL889" s="38" t="n">
        <x:f>AB889+AH889+AI889+AJ889+AK889</x:f>
        <x:v>178961.84618729542</x:v>
      </x:c>
      <x:c r="AM889" s="38" t="n">
        <x:f>AL889/V889</x:f>
        <x:v>878.8301858927687</x:v>
      </x:c>
      <x:c r="AN889" s="40" t="n">
        <x:f>(W889+X889)/AL889*100</x:f>
        <x:v>74.30600118017794</x:v>
      </x:c>
      <x:c r="AO889" s="28" t="str">
        <x:v>R01-R20; ilgili satırdaki bölgesel fiyat ve maliyet varsayımları</x:v>
      </x:c>
      <x:c r="AP889" s="28" t="str">
        <x:v>Girdi miktarları, alım fiyatı değişimi, fason bedeli ve parti sonucu simüle edilmiştir; işletme kaydı değildir.</x:v>
      </x:c>
    </x:row>
    <x:row r="890" ht="22" customHeight="1">
      <x:c r="A890" t="str">
        <x:v>SUC-0889</x:v>
      </x:c>
      <x:c r="B890" s="36" t="n">
        <x:v>46269</x:v>
      </x:c>
      <x:c r="C890" t="str">
        <x:v>Ege</x:v>
      </x:c>
      <x:c r="D890" t="str">
        <x:v>MEB_STANDART</x:v>
      </x:c>
      <x:c r="E890" t="str">
        <x:v>Kurum içi</x:v>
      </x:c>
      <x:c r="F890" s="42" t="str">
        <x:v>SENTETİK/SİMÜLE — gerçek parti kaydı değildir</x:v>
      </x:c>
      <x:c r="G890" s="38" t="n">
        <x:v>197.886</x:v>
      </x:c>
      <x:c r="H890" s="38" t="n">
        <x:v>61.288</x:v>
      </x:c>
      <x:c r="I890" s="38" t="n">
        <x:v>13.514</x:v>
      </x:c>
      <x:c r="J890" s="38" t="n">
        <x:v>6.687</x:v>
      </x:c>
      <x:c r="K890" s="38" t="n">
        <x:v>2.533</x:v>
      </x:c>
      <x:c r="L890" s="38" t="n">
        <x:f>SUM(G890:K890)</x:f>
        <x:v>281.908</x:v>
      </x:c>
      <x:c r="M890" s="38" t="n">
        <x:v>337.926</x:v>
      </x:c>
      <x:c r="N890" s="38" t="n">
        <x:v>593.57</x:v>
      </x:c>
      <x:c r="O890" s="38" t="n">
        <x:v>443.09</x:v>
      </x:c>
      <x:c r="P890" s="38" t="n">
        <x:v>400</x:v>
      </x:c>
      <x:c r="Q890" s="38" t="n">
        <x:v>19.88</x:v>
      </x:c>
      <x:c r="R890" s="38" t="n">
        <x:v>43.7475</x:v>
      </x:c>
      <x:c r="S890" s="38" t="n">
        <x:v>70.22</x:v>
      </x:c>
      <x:c r="T890" s="40" t="n">
        <x:v>25.73</x:v>
      </x:c>
      <x:c r="U890" s="40" t="n">
        <x:v>1.16</x:v>
      </x:c>
      <x:c r="V890" s="38" t="n">
        <x:f>L890*(1-T890/100)*(1-U890/100)</x:f>
        <x:v>206.94434396943996</x:v>
      </x:c>
      <x:c r="W890" s="38" t="n">
        <x:f>G890*N890</x:f>
        <x:v>117459.19302</x:v>
      </x:c>
      <x:c r="X890" s="38" t="n">
        <x:f>H890*O890</x:f>
        <x:v>27156.099919999997</x:v>
      </x:c>
      <x:c r="Y890" s="38" t="n">
        <x:f>I890*P890</x:f>
        <x:v>5405.599999999999</x:v>
      </x:c>
      <x:c r="Z890" s="38" t="n">
        <x:f>J890*Q890+K890*P890</x:f>
        <x:v>1146.13756</x:v>
      </x:c>
      <x:c r="AA890" s="38" t="n">
        <x:f>M890*R890</x:f>
        <x:v>14783.417685</x:v>
      </x:c>
      <x:c r="AB890" s="38" t="n">
        <x:f>SUM(W890:AA890)</x:f>
        <x:v>165950.44818500002</x:v>
      </x:c>
      <x:c r="AC890" s="38" t="n">
        <x:v>12.66</x:v>
      </x:c>
      <x:c r="AD890" s="38" t="n">
        <x:v>174.33</x:v>
      </x:c>
      <x:c r="AE890" s="38" t="n">
        <x:v>71.94</x:v>
      </x:c>
      <x:c r="AF890" s="38" t="n">
        <x:v>4.8148</x:v>
      </x:c>
      <x:c r="AG890" s="38" t="n">
        <x:v>5.5</x:v>
      </x:c>
      <x:c r="AH890" s="38" t="n">
        <x:f>IF(E890="Fason",L890*S890,0)</x:f>
        <x:v>0</x:v>
      </x:c>
      <x:c r="AI890" s="38" t="n">
        <x:f>IF(E890="Kurum içi",AC890*AD890+AE890*AF890+AB890*12%,0)</x:f>
        <x:v>22467.4482942</x:v>
      </x:c>
      <x:c r="AJ890" s="38" t="n">
        <x:f>V890*AG890</x:f>
        <x:v>1138.1938918319197</x:v>
      </x:c>
      <x:c r="AK890" s="38" t="n">
        <x:f>AB890*2%</x:f>
        <x:v>3319.0089637000005</x:v>
      </x:c>
      <x:c r="AL890" s="38" t="n">
        <x:f>AB890+AH890+AI890+AJ890+AK890</x:f>
        <x:v>192875.09933473193</x:v>
      </x:c>
      <x:c r="AM890" s="38" t="n">
        <x:f>AL890/V890</x:f>
        <x:v>932.0143553341778</x:v>
      </x:c>
      <x:c r="AN890" s="40" t="n">
        <x:f>(W890+X890)/AL890*100</x:f>
        <x:v>74.9787263564916</x:v>
      </x:c>
      <x:c r="AO890" s="28" t="str">
        <x:v>R01-R20; ilgili satırdaki bölgesel fiyat ve maliyet varsayımları</x:v>
      </x:c>
      <x:c r="AP890" s="28" t="str">
        <x:v>Girdi miktarları, alım fiyatı değişimi, fason bedeli ve parti sonucu simüle edilmiştir; işletme kaydı değildir.</x:v>
      </x:c>
    </x:row>
    <x:row r="891" ht="22" customHeight="1">
      <x:c r="A891" t="str">
        <x:v>SUC-0890</x:v>
      </x:c>
      <x:c r="B891" s="36" t="n">
        <x:v>46313</x:v>
      </x:c>
      <x:c r="C891" t="str">
        <x:v>Karadeniz</x:v>
      </x:c>
      <x:c r="D891" t="str">
        <x:v>ERZURUM_CI</x:v>
      </x:c>
      <x:c r="E891" t="str">
        <x:v>Fason</x:v>
      </x:c>
      <x:c r="F891" s="42" t="str">
        <x:v>SENTETİK/SİMÜLE — gerçek parti kaydı değildir</x:v>
      </x:c>
      <x:c r="G891" s="38" t="n">
        <x:v>265.637</x:v>
      </x:c>
      <x:c r="H891" s="38" t="n">
        <x:v>46.022</x:v>
      </x:c>
      <x:c r="I891" s="38" t="n">
        <x:v>16.35</x:v>
      </x:c>
      <x:c r="J891" s="38" t="n">
        <x:v>5.903</x:v>
      </x:c>
      <x:c r="K891" s="38" t="n">
        <x:v>0.186</x:v>
      </x:c>
      <x:c r="L891" s="38" t="n">
        <x:f>SUM(G891:K891)</x:f>
        <x:v>334.098</x:v>
      </x:c>
      <x:c r="M891" s="38" t="n">
        <x:v>419.028</x:v>
      </x:c>
      <x:c r="N891" s="38" t="n">
        <x:v>614.27</x:v>
      </x:c>
      <x:c r="O891" s="38" t="n">
        <x:v>449.6</x:v>
      </x:c>
      <x:c r="P891" s="38" t="n">
        <x:v>669.9</x:v>
      </x:c>
      <x:c r="Q891" s="38" t="n">
        <x:v>19.88</x:v>
      </x:c>
      <x:c r="R891" s="38" t="n">
        <x:v>43.7475</x:v>
      </x:c>
      <x:c r="S891" s="38" t="n">
        <x:v>67.45</x:v>
      </x:c>
      <x:c r="T891" s="40" t="n">
        <x:v>18.89</x:v>
      </x:c>
      <x:c r="U891" s="40" t="n">
        <x:v>1.32</x:v>
      </x:c>
      <x:c r="V891" s="38" t="n">
        <x:f>L891*(1-T891/100)*(1-U891/100)</x:f>
        <x:v>267.40986088104</x:v>
      </x:c>
      <x:c r="W891" s="38" t="n">
        <x:f>G891*N891</x:f>
        <x:v>163172.83999</x:v>
      </x:c>
      <x:c r="X891" s="38" t="n">
        <x:f>H891*O891</x:f>
        <x:v>20691.4912</x:v>
      </x:c>
      <x:c r="Y891" s="38" t="n">
        <x:f>I891*P891</x:f>
        <x:v>10952.865</x:v>
      </x:c>
      <x:c r="Z891" s="38" t="n">
        <x:f>J891*Q891+K891*P891</x:f>
        <x:v>241.95304</x:v>
      </x:c>
      <x:c r="AA891" s="38" t="n">
        <x:f>M891*R891</x:f>
        <x:v>18331.427430000003</x:v>
      </x:c>
      <x:c r="AB891" s="38" t="n">
        <x:f>SUM(W891:AA891)</x:f>
        <x:v>213390.57666</x:v>
      </x:c>
      <x:c r="AC891" s="38" t="n">
        <x:v>22.77</x:v>
      </x:c>
      <x:c r="AD891" s="38" t="n">
        <x:v>174.33</x:v>
      </x:c>
      <x:c r="AE891" s="38" t="n">
        <x:v>106.8</x:v>
      </x:c>
      <x:c r="AF891" s="38" t="n">
        <x:v>4.8148</x:v>
      </x:c>
      <x:c r="AG891" s="38" t="n">
        <x:v>5.62</x:v>
      </x:c>
      <x:c r="AH891" s="38" t="n">
        <x:f>IF(E891="Fason",L891*S891,0)</x:f>
        <x:v>22534.9101</x:v>
      </x:c>
      <x:c r="AI891" s="38" t="n">
        <x:f>IF(E891="Kurum içi",AC891*AD891+AE891*AF891+AB891*12%,0)</x:f>
        <x:v>0</x:v>
      </x:c>
      <x:c r="AJ891" s="38" t="n">
        <x:f>V891*AG891</x:f>
        <x:v>1502.843418151445</x:v>
      </x:c>
      <x:c r="AK891" s="38" t="n">
        <x:f>AB891*2%</x:f>
        <x:v>4267.8115332</x:v>
      </x:c>
      <x:c r="AL891" s="38" t="n">
        <x:f>AB891+AH891+AI891+AJ891+AK891</x:f>
        <x:v>241696.14171135143</x:v>
      </x:c>
      <x:c r="AM891" s="38" t="n">
        <x:f>AL891/V891</x:f>
        <x:v>903.8415446424858</x:v>
      </x:c>
      <x:c r="AN891" s="40" t="n">
        <x:f>(W891+X891)/AL891*100</x:f>
        <x:v>76.07251397897042</x:v>
      </x:c>
      <x:c r="AO891" s="28" t="str">
        <x:v>R01-R20; ilgili satırdaki bölgesel fiyat ve maliyet varsayımları</x:v>
      </x:c>
      <x:c r="AP891" s="28" t="str">
        <x:v>Girdi miktarları, alım fiyatı değişimi, fason bedeli ve parti sonucu simüle edilmiştir; işletme kaydı değildir.</x:v>
      </x:c>
    </x:row>
    <x:row r="892" ht="22" customHeight="1">
      <x:c r="A892" t="str">
        <x:v>SUC-0891</x:v>
      </x:c>
      <x:c r="B892" s="36" t="n">
        <x:v>46292</x:v>
      </x:c>
      <x:c r="C892" t="str">
        <x:v>Karadeniz</x:v>
      </x:c>
      <x:c r="D892" t="str">
        <x:v>MEB_STANDART</x:v>
      </x:c>
      <x:c r="E892" t="str">
        <x:v>Kurum içi</x:v>
      </x:c>
      <x:c r="F892" s="42" t="str">
        <x:v>SENTETİK/SİMÜLE — gerçek parti kaydı değildir</x:v>
      </x:c>
      <x:c r="G892" s="38" t="n">
        <x:v>74.015</x:v>
      </x:c>
      <x:c r="H892" s="38" t="n">
        <x:v>24.298</x:v>
      </x:c>
      <x:c r="I892" s="38" t="n">
        <x:v>4.55</x:v>
      </x:c>
      <x:c r="J892" s="38" t="n">
        <x:v>2.604</x:v>
      </x:c>
      <x:c r="K892" s="38" t="n">
        <x:v>0.957</x:v>
      </x:c>
      <x:c r="L892" s="38" t="n">
        <x:f>SUM(G892:K892)</x:f>
        <x:v>106.42399999999999</x:v>
      </x:c>
      <x:c r="M892" s="38" t="n">
        <x:v>138.467</x:v>
      </x:c>
      <x:c r="N892" s="38" t="n">
        <x:v>586.62</x:v>
      </x:c>
      <x:c r="O892" s="38" t="n">
        <x:v>442.42</x:v>
      </x:c>
      <x:c r="P892" s="38" t="n">
        <x:v>550</x:v>
      </x:c>
      <x:c r="Q892" s="38" t="n">
        <x:v>19.88</x:v>
      </x:c>
      <x:c r="R892" s="38" t="n">
        <x:v>43.7475</x:v>
      </x:c>
      <x:c r="S892" s="38" t="n">
        <x:v>87.92</x:v>
      </x:c>
      <x:c r="T892" s="40" t="n">
        <x:v>20.83</x:v>
      </x:c>
      <x:c r="U892" s="40" t="n">
        <x:v>0.98</x:v>
      </x:c>
      <x:c r="V892" s="38" t="n">
        <x:f>L892*(1-T892/100)*(1-U892/100)</x:f>
        <x:v>83.43017316816</x:v>
      </x:c>
      <x:c r="W892" s="38" t="n">
        <x:f>G892*N892</x:f>
        <x:v>43418.6793</x:v>
      </x:c>
      <x:c r="X892" s="38" t="n">
        <x:f>H892*O892</x:f>
        <x:v>10749.92116</x:v>
      </x:c>
      <x:c r="Y892" s="38" t="n">
        <x:f>I892*P892</x:f>
        <x:v>2502.5</x:v>
      </x:c>
      <x:c r="Z892" s="38" t="n">
        <x:f>J892*Q892+K892*P892</x:f>
        <x:v>578.11752</x:v>
      </x:c>
      <x:c r="AA892" s="38" t="n">
        <x:f>M892*R892</x:f>
        <x:v>6057.585082500001</x:v>
      </x:c>
      <x:c r="AB892" s="38" t="n">
        <x:f>SUM(W892:AA892)</x:f>
        <x:v>63306.8030625</x:v>
      </x:c>
      <x:c r="AC892" s="38" t="n">
        <x:v>4.14</x:v>
      </x:c>
      <x:c r="AD892" s="38" t="n">
        <x:v>174.33</x:v>
      </x:c>
      <x:c r="AE892" s="38" t="n">
        <x:v>37.23</x:v>
      </x:c>
      <x:c r="AF892" s="38" t="n">
        <x:v>4.8148</x:v>
      </x:c>
      <x:c r="AG892" s="38" t="n">
        <x:v>5.31</x:v>
      </x:c>
      <x:c r="AH892" s="38" t="n">
        <x:f>IF(E892="Fason",L892*S892,0)</x:f>
        <x:v>0</x:v>
      </x:c>
      <x:c r="AI892" s="38" t="n">
        <x:f>IF(E892="Kurum içi",AC892*AD892+AE892*AF892+AB892*12%,0)</x:f>
        <x:v>8497.7975715</x:v>
      </x:c>
      <x:c r="AJ892" s="38" t="n">
        <x:f>V892*AG892</x:f>
        <x:v>443.0142195229295</x:v>
      </x:c>
      <x:c r="AK892" s="38" t="n">
        <x:f>AB892*2%</x:f>
        <x:v>1266.13606125</x:v>
      </x:c>
      <x:c r="AL892" s="38" t="n">
        <x:f>AB892+AH892+AI892+AJ892+AK892</x:f>
        <x:v>73513.75091477293</x:v>
      </x:c>
      <x:c r="AM892" s="38" t="n">
        <x:f>AL892/V892</x:f>
        <x:v>881.1410563250331</x:v>
      </x:c>
      <x:c r="AN892" s="40" t="n">
        <x:f>(W892+X892)/AL892*100</x:f>
        <x:v>73.68499061189186</x:v>
      </x:c>
      <x:c r="AO892" s="28" t="str">
        <x:v>R01-R20; ilgili satırdaki bölgesel fiyat ve maliyet varsayımları</x:v>
      </x:c>
      <x:c r="AP892" s="28" t="str">
        <x:v>Girdi miktarları, alım fiyatı değişimi, fason bedeli ve parti sonucu simüle edilmiştir; işletme kaydı değildir.</x:v>
      </x:c>
    </x:row>
    <x:row r="893" ht="22" customHeight="1">
      <x:c r="A893" t="str">
        <x:v>SUC-0892</x:v>
      </x:c>
      <x:c r="B893" s="36" t="n">
        <x:v>46282</x:v>
      </x:c>
      <x:c r="C893" t="str">
        <x:v>Güneydoğu Anadolu</x:v>
      </x:c>
      <x:c r="D893" t="str">
        <x:v>ERZURUM_CI</x:v>
      </x:c>
      <x:c r="E893" t="str">
        <x:v>Kurum içi</x:v>
      </x:c>
      <x:c r="F893" s="42" t="str">
        <x:v>SENTETİK/SİMÜLE — gerçek parti kaydı değildir</x:v>
      </x:c>
      <x:c r="G893" s="38" t="n">
        <x:v>75.643</x:v>
      </x:c>
      <x:c r="H893" s="38" t="n">
        <x:v>13.898</x:v>
      </x:c>
      <x:c r="I893" s="38" t="n">
        <x:v>4.692</x:v>
      </x:c>
      <x:c r="J893" s="38" t="n">
        <x:v>1.534</x:v>
      </x:c>
      <x:c r="K893" s="38" t="n">
        <x:v>0.186</x:v>
      </x:c>
      <x:c r="L893" s="38" t="n">
        <x:f>SUM(G893:K893)</x:f>
        <x:v>95.95300000000002</x:v>
      </x:c>
      <x:c r="M893" s="38" t="n">
        <x:v>128.146</x:v>
      </x:c>
      <x:c r="N893" s="38" t="n">
        <x:v>597.84</x:v>
      </x:c>
      <x:c r="O893" s="38" t="n">
        <x:v>456.54</x:v>
      </x:c>
      <x:c r="P893" s="38" t="n">
        <x:v>550</x:v>
      </x:c>
      <x:c r="Q893" s="38" t="n">
        <x:v>19.88</x:v>
      </x:c>
      <x:c r="R893" s="38" t="n">
        <x:v>43.7475</x:v>
      </x:c>
      <x:c r="S893" s="38" t="n">
        <x:v>110.26</x:v>
      </x:c>
      <x:c r="T893" s="40" t="n">
        <x:v>20.03</x:v>
      </x:c>
      <x:c r="U893" s="40" t="n">
        <x:v>0.49</x:v>
      </x:c>
      <x:c r="V893" s="38" t="n">
        <x:f>L893*(1-T893/100)*(1-U893/100)</x:f>
        <x:v>76.35761939091002</x:v>
      </x:c>
      <x:c r="W893" s="38" t="n">
        <x:f>G893*N893</x:f>
        <x:v>45222.411120000004</x:v>
      </x:c>
      <x:c r="X893" s="38" t="n">
        <x:f>H893*O893</x:f>
        <x:v>6344.992920000001</x:v>
      </x:c>
      <x:c r="Y893" s="38" t="n">
        <x:f>I893*P893</x:f>
        <x:v>2580.6</x:v>
      </x:c>
      <x:c r="Z893" s="38" t="n">
        <x:f>J893*Q893+K893*P893</x:f>
        <x:v>132.79592</x:v>
      </x:c>
      <x:c r="AA893" s="38" t="n">
        <x:f>M893*R893</x:f>
        <x:v>5606.067134999999</x:v>
      </x:c>
      <x:c r="AB893" s="38" t="n">
        <x:f>SUM(W893:AA893)</x:f>
        <x:v>59886.867095</x:v>
      </x:c>
      <x:c r="AC893" s="38" t="n">
        <x:v>6.05</x:v>
      </x:c>
      <x:c r="AD893" s="38" t="n">
        <x:v>174.33</x:v>
      </x:c>
      <x:c r="AE893" s="38" t="n">
        <x:v>26.51</x:v>
      </x:c>
      <x:c r="AF893" s="38" t="n">
        <x:v>4.8148</x:v>
      </x:c>
      <x:c r="AG893" s="38" t="n">
        <x:v>5.67</x:v>
      </x:c>
      <x:c r="AH893" s="38" t="n">
        <x:f>IF(E893="Fason",L893*S893,0)</x:f>
        <x:v>0</x:v>
      </x:c>
      <x:c r="AI893" s="38" t="n">
        <x:f>IF(E893="Kurum içi",AC893*AD893+AE893*AF893+AB893*12%,0)</x:f>
        <x:v>8368.7608994</x:v>
      </x:c>
      <x:c r="AJ893" s="38" t="n">
        <x:f>V893*AG893</x:f>
        <x:v>432.9477019464598</x:v>
      </x:c>
      <x:c r="AK893" s="38" t="n">
        <x:f>AB893*2%</x:f>
        <x:v>1197.7373419</x:v>
      </x:c>
      <x:c r="AL893" s="38" t="n">
        <x:f>AB893+AH893+AI893+AJ893+AK893</x:f>
        <x:v>69886.31303824646</x:v>
      </x:c>
      <x:c r="AM893" s="38" t="n">
        <x:f>AL893/V893</x:f>
        <x:v>915.2500247613281</x:v>
      </x:c>
      <x:c r="AN893" s="40" t="n">
        <x:f>(W893+X893)/AL893*100</x:f>
        <x:v>73.78755839040883</x:v>
      </x:c>
      <x:c r="AO893" s="28" t="str">
        <x:v>R01-R20; ilgili satırdaki bölgesel fiyat ve maliyet varsayımları</x:v>
      </x:c>
      <x:c r="AP893" s="28" t="str">
        <x:v>Girdi miktarları, alım fiyatı değişimi, fason bedeli ve parti sonucu simüle edilmiştir; işletme kaydı değildir.</x:v>
      </x:c>
    </x:row>
    <x:row r="894" ht="22" customHeight="1">
      <x:c r="A894" t="str">
        <x:v>SUC-0893</x:v>
      </x:c>
      <x:c r="B894" s="36" t="n">
        <x:v>46301</x:v>
      </x:c>
      <x:c r="C894" t="str">
        <x:v>Marmara</x:v>
      </x:c>
      <x:c r="D894" t="str">
        <x:v>ERZURUM_CI</x:v>
      </x:c>
      <x:c r="E894" t="str">
        <x:v>Fason</x:v>
      </x:c>
      <x:c r="F894" s="42" t="str">
        <x:v>SENTETİK/SİMÜLE — gerçek parti kaydı değildir</x:v>
      </x:c>
      <x:c r="G894" s="38" t="n">
        <x:v>194.153</x:v>
      </x:c>
      <x:c r="H894" s="38" t="n">
        <x:v>32.318</x:v>
      </x:c>
      <x:c r="I894" s="38" t="n">
        <x:v>11.372</x:v>
      </x:c>
      <x:c r="J894" s="38" t="n">
        <x:v>3.933</x:v>
      </x:c>
      <x:c r="K894" s="38" t="n">
        <x:v>0.025</x:v>
      </x:c>
      <x:c r="L894" s="38" t="n">
        <x:f>SUM(G894:K894)</x:f>
        <x:v>241.80100000000002</x:v>
      </x:c>
      <x:c r="M894" s="38" t="n">
        <x:v>307.687</x:v>
      </x:c>
      <x:c r="N894" s="38" t="n">
        <x:v>604.73</x:v>
      </x:c>
      <x:c r="O894" s="38" t="n">
        <x:v>445.01</x:v>
      </x:c>
      <x:c r="P894" s="38" t="n">
        <x:v>669.9</x:v>
      </x:c>
      <x:c r="Q894" s="38" t="n">
        <x:v>19.88</x:v>
      </x:c>
      <x:c r="R894" s="38" t="n">
        <x:v>43.7475</x:v>
      </x:c>
      <x:c r="S894" s="38" t="n">
        <x:v>66.74</x:v>
      </x:c>
      <x:c r="T894" s="40" t="n">
        <x:v>20.05</x:v>
      </x:c>
      <x:c r="U894" s="40" t="n">
        <x:v>1.27</x:v>
      </x:c>
      <x:c r="V894" s="38" t="n">
        <x:f>L894*(1-T894/100)*(1-U894/100)</x:f>
        <x:v>190.86473677635001</x:v>
      </x:c>
      <x:c r="W894" s="38" t="n">
        <x:f>G894*N894</x:f>
        <x:v>117410.14369</x:v>
      </x:c>
      <x:c r="X894" s="38" t="n">
        <x:f>H894*O894</x:f>
        <x:v>14381.83318</x:v>
      </x:c>
      <x:c r="Y894" s="38" t="n">
        <x:f>I894*P894</x:f>
        <x:v>7618.1028</x:v>
      </x:c>
      <x:c r="Z894" s="38" t="n">
        <x:f>J894*Q894+K894*P894</x:f>
        <x:v>94.93553999999999</x:v>
      </x:c>
      <x:c r="AA894" s="38" t="n">
        <x:f>M894*R894</x:f>
        <x:v>13460.5370325</x:v>
      </x:c>
      <x:c r="AB894" s="38" t="n">
        <x:f>SUM(W894:AA894)</x:f>
        <x:v>152965.55224249998</x:v>
      </x:c>
      <x:c r="AC894" s="38" t="n">
        <x:v>12.89</x:v>
      </x:c>
      <x:c r="AD894" s="38" t="n">
        <x:v>174.33</x:v>
      </x:c>
      <x:c r="AE894" s="38" t="n">
        <x:v>63.88</x:v>
      </x:c>
      <x:c r="AF894" s="38" t="n">
        <x:v>4.8148</x:v>
      </x:c>
      <x:c r="AG894" s="38" t="n">
        <x:v>5.76</x:v>
      </x:c>
      <x:c r="AH894" s="38" t="n">
        <x:f>IF(E894="Fason",L894*S894,0)</x:f>
        <x:v>16137.79874</x:v>
      </x:c>
      <x:c r="AI894" s="38" t="n">
        <x:f>IF(E894="Kurum içi",AC894*AD894+AE894*AF894+AB894*12%,0)</x:f>
        <x:v>0</x:v>
      </x:c>
      <x:c r="AJ894" s="38" t="n">
        <x:f>V894*AG894</x:f>
        <x:v>1099.3808838317761</x:v>
      </x:c>
      <x:c r="AK894" s="38" t="n">
        <x:f>AB894*2%</x:f>
        <x:v>3059.3110448499997</x:v>
      </x:c>
      <x:c r="AL894" s="38" t="n">
        <x:f>AB894+AH894+AI894+AJ894+AK894</x:f>
        <x:v>173262.04291118175</x:v>
      </x:c>
      <x:c r="AM894" s="38" t="n">
        <x:f>AL894/V894</x:f>
        <x:v>907.7739861093639</x:v>
      </x:c>
      <x:c r="AN894" s="40" t="n">
        <x:f>(W894+X894)/AL894*100</x:f>
        <x:v>76.06511770010682</x:v>
      </x:c>
      <x:c r="AO894" s="28" t="str">
        <x:v>R01-R20; ilgili satırdaki bölgesel fiyat ve maliyet varsayımları</x:v>
      </x:c>
      <x:c r="AP894" s="28" t="str">
        <x:v>Girdi miktarları, alım fiyatı değişimi, fason bedeli ve parti sonucu simüle edilmiştir; işletme kaydı değildir.</x:v>
      </x:c>
    </x:row>
    <x:row r="895" ht="22" customHeight="1">
      <x:c r="A895" t="str">
        <x:v>SUC-0894</x:v>
      </x:c>
      <x:c r="B895" s="36" t="n">
        <x:v>46295</x:v>
      </x:c>
      <x:c r="C895" t="str">
        <x:v>İç Anadolu</x:v>
      </x:c>
      <x:c r="D895" t="str">
        <x:v>MEB_STANDART</x:v>
      </x:c>
      <x:c r="E895" t="str">
        <x:v>Fason</x:v>
      </x:c>
      <x:c r="F895" s="42" t="str">
        <x:v>SENTETİK/SİMÜLE — gerçek parti kaydı değildir</x:v>
      </x:c>
      <x:c r="G895" s="38" t="n">
        <x:v>323.687</x:v>
      </x:c>
      <x:c r="H895" s="38" t="n">
        <x:v>100.885</x:v>
      </x:c>
      <x:c r="I895" s="38" t="n">
        <x:v>19.752</x:v>
      </x:c>
      <x:c r="J895" s="38" t="n">
        <x:v>11.616</x:v>
      </x:c>
      <x:c r="K895" s="38" t="n">
        <x:v>5.136</x:v>
      </x:c>
      <x:c r="L895" s="38" t="n">
        <x:f>SUM(G895:K895)</x:f>
        <x:v>461.076</x:v>
      </x:c>
      <x:c r="M895" s="38" t="n">
        <x:v>622.305</x:v>
      </x:c>
      <x:c r="N895" s="38" t="n">
        <x:v>598.21</x:v>
      </x:c>
      <x:c r="O895" s="38" t="n">
        <x:v>460.88</x:v>
      </x:c>
      <x:c r="P895" s="38" t="n">
        <x:v>550</x:v>
      </x:c>
      <x:c r="Q895" s="38" t="n">
        <x:v>19.88</x:v>
      </x:c>
      <x:c r="R895" s="38" t="n">
        <x:v>43.7475</x:v>
      </x:c>
      <x:c r="S895" s="38" t="n">
        <x:v>124.58</x:v>
      </x:c>
      <x:c r="T895" s="40" t="n">
        <x:v>26.44</x:v>
      </x:c>
      <x:c r="U895" s="40" t="n">
        <x:v>1.01</x:v>
      </x:c>
      <x:c r="V895" s="38" t="n">
        <x:f>L895*(1-T895/100)*(1-U895/100)</x:f>
        <x:v>335.74191379344</x:v>
      </x:c>
      <x:c r="W895" s="38" t="n">
        <x:f>G895*N895</x:f>
        <x:v>193632.80027</x:v>
      </x:c>
      <x:c r="X895" s="38" t="n">
        <x:f>H895*O895</x:f>
        <x:v>46495.8788</x:v>
      </x:c>
      <x:c r="Y895" s="38" t="n">
        <x:f>I895*P895</x:f>
        <x:v>10863.599999999999</x:v>
      </x:c>
      <x:c r="Z895" s="38" t="n">
        <x:f>J895*Q895+K895*P895</x:f>
        <x:v>3055.7260800000004</x:v>
      </x:c>
      <x:c r="AA895" s="38" t="n">
        <x:f>M895*R895</x:f>
        <x:v>27224.2879875</x:v>
      </x:c>
      <x:c r="AB895" s="38" t="n">
        <x:f>SUM(W895:AA895)</x:f>
        <x:v>281272.2931375</x:v>
      </x:c>
      <x:c r="AC895" s="38" t="n">
        <x:v>32.03</x:v>
      </x:c>
      <x:c r="AD895" s="38" t="n">
        <x:v>174.33</x:v>
      </x:c>
      <x:c r="AE895" s="38" t="n">
        <x:v>182.01</x:v>
      </x:c>
      <x:c r="AF895" s="38" t="n">
        <x:v>4.8148</x:v>
      </x:c>
      <x:c r="AG895" s="38" t="n">
        <x:v>5.65</x:v>
      </x:c>
      <x:c r="AH895" s="38" t="n">
        <x:f>IF(E895="Fason",L895*S895,0)</x:f>
        <x:v>57440.84808</x:v>
      </x:c>
      <x:c r="AI895" s="38" t="n">
        <x:f>IF(E895="Kurum içi",AC895*AD895+AE895*AF895+AB895*12%,0)</x:f>
        <x:v>0</x:v>
      </x:c>
      <x:c r="AJ895" s="38" t="n">
        <x:f>V895*AG895</x:f>
        <x:v>1896.941812932936</x:v>
      </x:c>
      <x:c r="AK895" s="38" t="n">
        <x:f>AB895*2%</x:f>
        <x:v>5625.44586275</x:v>
      </x:c>
      <x:c r="AL895" s="38" t="n">
        <x:f>AB895+AH895+AI895+AJ895+AK895</x:f>
        <x:v>346235.528893183</x:v>
      </x:c>
      <x:c r="AM895" s="38" t="n">
        <x:f>AL895/V895</x:f>
        <x:v>1031.2550047182938</x:v>
      </x:c>
      <x:c r="AN895" s="40" t="n">
        <x:f>(W895+X895)/AL895*100</x:f>
        <x:v>69.35414162654638</x:v>
      </x:c>
      <x:c r="AO895" s="28" t="str">
        <x:v>R01-R20; ilgili satırdaki bölgesel fiyat ve maliyet varsayımları</x:v>
      </x:c>
      <x:c r="AP895" s="28" t="str">
        <x:v>Girdi miktarları, alım fiyatı değişimi, fason bedeli ve parti sonucu simüle edilmiştir; işletme kaydı değildir.</x:v>
      </x:c>
    </x:row>
    <x:row r="896" ht="22" customHeight="1">
      <x:c r="A896" t="str">
        <x:v>SUC-0895</x:v>
      </x:c>
      <x:c r="B896" s="36" t="n">
        <x:v>46269</x:v>
      </x:c>
      <x:c r="C896" t="str">
        <x:v>Ege</x:v>
      </x:c>
      <x:c r="D896" t="str">
        <x:v>MEB_STANDART</x:v>
      </x:c>
      <x:c r="E896" t="str">
        <x:v>Kurum içi</x:v>
      </x:c>
      <x:c r="F896" s="42" t="str">
        <x:v>SENTETİK/SİMÜLE — gerçek parti kaydı değildir</x:v>
      </x:c>
      <x:c r="G896" s="38" t="n">
        <x:v>56.463</x:v>
      </x:c>
      <x:c r="H896" s="38" t="n">
        <x:v>17.745</x:v>
      </x:c>
      <x:c r="I896" s="38" t="n">
        <x:v>3.503</x:v>
      </x:c>
      <x:c r="J896" s="38" t="n">
        <x:v>1.988</x:v>
      </x:c>
      <x:c r="K896" s="38" t="n">
        <x:v>0.826</x:v>
      </x:c>
      <x:c r="L896" s="38" t="n">
        <x:f>SUM(G896:K896)</x:f>
        <x:v>80.52499999999999</x:v>
      </x:c>
      <x:c r="M896" s="38" t="n">
        <x:v>95.004</x:v>
      </x:c>
      <x:c r="N896" s="38" t="n">
        <x:v>600.78</x:v>
      </x:c>
      <x:c r="O896" s="38" t="n">
        <x:v>411.65</x:v>
      </x:c>
      <x:c r="P896" s="38" t="n">
        <x:v>669.9</x:v>
      </x:c>
      <x:c r="Q896" s="38" t="n">
        <x:v>19.88</x:v>
      </x:c>
      <x:c r="R896" s="38" t="n">
        <x:v>43.7475</x:v>
      </x:c>
      <x:c r="S896" s="38" t="n">
        <x:v>120.82</x:v>
      </x:c>
      <x:c r="T896" s="40" t="n">
        <x:v>21.63</x:v>
      </x:c>
      <x:c r="U896" s="40" t="n">
        <x:v>1.06</x:v>
      </x:c>
      <x:c r="V896" s="38" t="n">
        <x:f>L896*(1-T896/100)*(1-U896/100)</x:f>
        <x:v>62.438503609499996</x:v>
      </x:c>
      <x:c r="W896" s="38" t="n">
        <x:f>G896*N896</x:f>
        <x:v>33921.84114</x:v>
      </x:c>
      <x:c r="X896" s="38" t="n">
        <x:f>H896*O896</x:f>
        <x:v>7304.72925</x:v>
      </x:c>
      <x:c r="Y896" s="38" t="n">
        <x:f>I896*P896</x:f>
        <x:v>2346.6597</x:v>
      </x:c>
      <x:c r="Z896" s="38" t="n">
        <x:f>J896*Q896+K896*P896</x:f>
        <x:v>592.85884</x:v>
      </x:c>
      <x:c r="AA896" s="38" t="n">
        <x:f>M896*R896</x:f>
        <x:v>4156.18749</x:v>
      </x:c>
      <x:c r="AB896" s="38" t="n">
        <x:f>SUM(W896:AA896)</x:f>
        <x:v>48322.276419999995</x:v>
      </x:c>
      <x:c r="AC896" s="38" t="n">
        <x:v>3.11</x:v>
      </x:c>
      <x:c r="AD896" s="38" t="n">
        <x:v>174.33</x:v>
      </x:c>
      <x:c r="AE896" s="38" t="n">
        <x:v>18.79</x:v>
      </x:c>
      <x:c r="AF896" s="38" t="n">
        <x:v>4.8148</x:v>
      </x:c>
      <x:c r="AG896" s="38" t="n">
        <x:v>5.72</x:v>
      </x:c>
      <x:c r="AH896" s="38" t="n">
        <x:f>IF(E896="Fason",L896*S896,0)</x:f>
        <x:v>0</x:v>
      </x:c>
      <x:c r="AI896" s="38" t="n">
        <x:f>IF(E896="Kurum içi",AC896*AD896+AE896*AF896+AB896*12%,0)</x:f>
        <x:v>6431.3095624</x:v>
      </x:c>
      <x:c r="AJ896" s="38" t="n">
        <x:f>V896*AG896</x:f>
        <x:v>357.14824064633996</x:v>
      </x:c>
      <x:c r="AK896" s="38" t="n">
        <x:f>AB896*2%</x:f>
        <x:v>966.4455284</x:v>
      </x:c>
      <x:c r="AL896" s="38" t="n">
        <x:f>AB896+AH896+AI896+AJ896+AK896</x:f>
        <x:v>56077.17975144633</x:v>
      </x:c>
      <x:c r="AM896" s="38" t="n">
        <x:f>AL896/V896</x:f>
        <x:v>898.118572830663</x:v>
      </x:c>
      <x:c r="AN896" s="40" t="n">
        <x:f>(W896+X896)/AL896*100</x:f>
        <x:v>73.5175530808264</x:v>
      </x:c>
      <x:c r="AO896" s="28" t="str">
        <x:v>R01-R20; ilgili satırdaki bölgesel fiyat ve maliyet varsayımları</x:v>
      </x:c>
      <x:c r="AP896" s="28" t="str">
        <x:v>Girdi miktarları, alım fiyatı değişimi, fason bedeli ve parti sonucu simüle edilmiştir; işletme kaydı değildir.</x:v>
      </x:c>
    </x:row>
    <x:row r="897" ht="22" customHeight="1">
      <x:c r="A897" t="str">
        <x:v>SUC-0896</x:v>
      </x:c>
      <x:c r="B897" s="36" t="n">
        <x:v>46315</x:v>
      </x:c>
      <x:c r="C897" t="str">
        <x:v>Marmara</x:v>
      </x:c>
      <x:c r="D897" t="str">
        <x:v>MEB_STANDART</x:v>
      </x:c>
      <x:c r="E897" t="str">
        <x:v>Kurum içi</x:v>
      </x:c>
      <x:c r="F897" s="42" t="str">
        <x:v>SENTETİK/SİMÜLE — gerçek parti kaydı değildir</x:v>
      </x:c>
      <x:c r="G897" s="38" t="n">
        <x:v>124.441</x:v>
      </x:c>
      <x:c r="H897" s="38" t="n">
        <x:v>38.014</x:v>
      </x:c>
      <x:c r="I897" s="38" t="n">
        <x:v>7.619</x:v>
      </x:c>
      <x:c r="J897" s="38" t="n">
        <x:v>4.433</x:v>
      </x:c>
      <x:c r="K897" s="38" t="n">
        <x:v>1.639</x:v>
      </x:c>
      <x:c r="L897" s="38" t="n">
        <x:f>SUM(G897:K897)</x:f>
        <x:v>176.14600000000002</x:v>
      </x:c>
      <x:c r="M897" s="38" t="n">
        <x:v>218.35</x:v>
      </x:c>
      <x:c r="N897" s="38" t="n">
        <x:v>596.7</x:v>
      </x:c>
      <x:c r="O897" s="38" t="n">
        <x:v>419.08</x:v>
      </x:c>
      <x:c r="P897" s="38" t="n">
        <x:v>400</x:v>
      </x:c>
      <x:c r="Q897" s="38" t="n">
        <x:v>19.88</x:v>
      </x:c>
      <x:c r="R897" s="38" t="n">
        <x:v>43.7475</x:v>
      </x:c>
      <x:c r="S897" s="38" t="n">
        <x:v>96.59</x:v>
      </x:c>
      <x:c r="T897" s="40" t="n">
        <x:v>22.91</x:v>
      </x:c>
      <x:c r="U897" s="40" t="n">
        <x:v>1.26</x:v>
      </x:c>
      <x:c r="V897" s="38" t="n">
        <x:f>L897*(1-T897/100)*(1-U897/100)</x:f>
        <x:v>134.07998541236003</x:v>
      </x:c>
      <x:c r="W897" s="38" t="n">
        <x:f>G897*N897</x:f>
        <x:v>74253.94470000001</x:v>
      </x:c>
      <x:c r="X897" s="38" t="n">
        <x:f>H897*O897</x:f>
        <x:v>15930.90712</x:v>
      </x:c>
      <x:c r="Y897" s="38" t="n">
        <x:f>I897*P897</x:f>
        <x:v>3047.6</x:v>
      </x:c>
      <x:c r="Z897" s="38" t="n">
        <x:f>J897*Q897+K897*P897</x:f>
        <x:v>743.72804</x:v>
      </x:c>
      <x:c r="AA897" s="38" t="n">
        <x:f>M897*R897</x:f>
        <x:v>9552.266625</x:v>
      </x:c>
      <x:c r="AB897" s="38" t="n">
        <x:f>SUM(W897:AA897)</x:f>
        <x:v>103528.44648500002</x:v>
      </x:c>
      <x:c r="AC897" s="38" t="n">
        <x:v>8.19</x:v>
      </x:c>
      <x:c r="AD897" s="38" t="n">
        <x:v>174.33</x:v>
      </x:c>
      <x:c r="AE897" s="38" t="n">
        <x:v>68.45</x:v>
      </x:c>
      <x:c r="AF897" s="38" t="n">
        <x:v>4.8148</x:v>
      </x:c>
      <x:c r="AG897" s="38" t="n">
        <x:v>5.78</x:v>
      </x:c>
      <x:c r="AH897" s="38" t="n">
        <x:f>IF(E897="Fason",L897*S897,0)</x:f>
        <x:v>0</x:v>
      </x:c>
      <x:c r="AI897" s="38" t="n">
        <x:f>IF(E897="Kurum içi",AC897*AD897+AE897*AF897+AB897*12%,0)</x:f>
        <x:v>14180.749338200003</x:v>
      </x:c>
      <x:c r="AJ897" s="38" t="n">
        <x:f>V897*AG897</x:f>
        <x:v>774.982315683441</x:v>
      </x:c>
      <x:c r="AK897" s="38" t="n">
        <x:f>AB897*2%</x:f>
        <x:v>2070.5689297000004</x:v>
      </x:c>
      <x:c r="AL897" s="38" t="n">
        <x:f>AB897+AH897+AI897+AJ897+AK897</x:f>
        <x:v>120554.74706858347</x:v>
      </x:c>
      <x:c r="AM897" s="38" t="n">
        <x:f>AL897/V897</x:f>
        <x:v>899.1255980362768</x:v>
      </x:c>
      <x:c r="AN897" s="40" t="n">
        <x:f>(W897+X897)/AL897*100</x:f>
        <x:v>74.80821287667248</x:v>
      </x:c>
      <x:c r="AO897" s="28" t="str">
        <x:v>R01-R20; ilgili satırdaki bölgesel fiyat ve maliyet varsayımları</x:v>
      </x:c>
      <x:c r="AP897" s="28" t="str">
        <x:v>Girdi miktarları, alım fiyatı değişimi, fason bedeli ve parti sonucu simüle edilmiştir; işletme kaydı değildir.</x:v>
      </x:c>
    </x:row>
    <x:row r="898" ht="22" customHeight="1">
      <x:c r="A898" t="str">
        <x:v>SUC-0897</x:v>
      </x:c>
      <x:c r="B898" s="36" t="n">
        <x:v>46273</x:v>
      </x:c>
      <x:c r="C898" t="str">
        <x:v>İç Anadolu</x:v>
      </x:c>
      <x:c r="D898" t="str">
        <x:v>MEB_STANDART</x:v>
      </x:c>
      <x:c r="E898" t="str">
        <x:v>Kurum içi</x:v>
      </x:c>
      <x:c r="F898" s="42" t="str">
        <x:v>SENTETİK/SİMÜLE — gerçek parti kaydı değildir</x:v>
      </x:c>
      <x:c r="G898" s="38" t="n">
        <x:v>292.189</x:v>
      </x:c>
      <x:c r="H898" s="38" t="n">
        <x:v>88.142</x:v>
      </x:c>
      <x:c r="I898" s="38" t="n">
        <x:v>19.526</x:v>
      </x:c>
      <x:c r="J898" s="38" t="n">
        <x:v>10.045</x:v>
      </x:c>
      <x:c r="K898" s="38" t="n">
        <x:v>3.966</x:v>
      </x:c>
      <x:c r="L898" s="38" t="n">
        <x:f>SUM(G898:K898)</x:f>
        <x:v>413.86800000000005</x:v>
      </x:c>
      <x:c r="M898" s="38" t="n">
        <x:v>554</x:v>
      </x:c>
      <x:c r="N898" s="38" t="n">
        <x:v>605.66</x:v>
      </x:c>
      <x:c r="O898" s="38" t="n">
        <x:v>447.92</x:v>
      </x:c>
      <x:c r="P898" s="38" t="n">
        <x:v>550</x:v>
      </x:c>
      <x:c r="Q898" s="38" t="n">
        <x:v>19.88</x:v>
      </x:c>
      <x:c r="R898" s="38" t="n">
        <x:v>43.7475</x:v>
      </x:c>
      <x:c r="S898" s="38" t="n">
        <x:v>97.62</x:v>
      </x:c>
      <x:c r="T898" s="40" t="n">
        <x:v>27.72</x:v>
      </x:c>
      <x:c r="U898" s="40" t="n">
        <x:v>1.32</x:v>
      </x:c>
      <x:c r="V898" s="38" t="n">
        <x:f>L898*(1-T898/100)*(1-U898/100)</x:f>
        <x:v>295.1950923667201</x:v>
      </x:c>
      <x:c r="W898" s="38" t="n">
        <x:f>G898*N898</x:f>
        <x:v>176967.18974</x:v>
      </x:c>
      <x:c r="X898" s="38" t="n">
        <x:f>H898*O898</x:f>
        <x:v>39480.56464</x:v>
      </x:c>
      <x:c r="Y898" s="38" t="n">
        <x:f>I898*P898</x:f>
        <x:v>10739.3</x:v>
      </x:c>
      <x:c r="Z898" s="38" t="n">
        <x:f>J898*Q898+K898*P898</x:f>
        <x:v>2380.9946</x:v>
      </x:c>
      <x:c r="AA898" s="38" t="n">
        <x:f>M898*R898</x:f>
        <x:v>24236.115</x:v>
      </x:c>
      <x:c r="AB898" s="38" t="n">
        <x:f>SUM(W898:AA898)</x:f>
        <x:v>253804.16397999998</x:v>
      </x:c>
      <x:c r="AC898" s="38" t="n">
        <x:v>14.8</x:v>
      </x:c>
      <x:c r="AD898" s="38" t="n">
        <x:v>174.33</x:v>
      </x:c>
      <x:c r="AE898" s="38" t="n">
        <x:v>144.24</x:v>
      </x:c>
      <x:c r="AF898" s="38" t="n">
        <x:v>4.8148</x:v>
      </x:c>
      <x:c r="AG898" s="38" t="n">
        <x:v>5.59</x:v>
      </x:c>
      <x:c r="AH898" s="38" t="n">
        <x:f>IF(E898="Fason",L898*S898,0)</x:f>
        <x:v>0</x:v>
      </x:c>
      <x:c r="AI898" s="38" t="n">
        <x:f>IF(E898="Kurum içi",AC898*AD898+AE898*AF898+AB898*12%,0)</x:f>
        <x:v>33731.0704296</x:v>
      </x:c>
      <x:c r="AJ898" s="38" t="n">
        <x:f>V898*AG898</x:f>
        <x:v>1650.1405663299652</x:v>
      </x:c>
      <x:c r="AK898" s="38" t="n">
        <x:f>AB898*2%</x:f>
        <x:v>5076.0832795999995</x:v>
      </x:c>
      <x:c r="AL898" s="38" t="n">
        <x:f>AB898+AH898+AI898+AJ898+AK898</x:f>
        <x:v>294261.4582555299</x:v>
      </x:c>
      <x:c r="AM898" s="38" t="n">
        <x:f>AL898/V898</x:f>
        <x:v>996.8372302408392</x:v>
      </x:c>
      <x:c r="AN898" s="40" t="n">
        <x:f>(W898+X898)/AL898*100</x:f>
        <x:v>73.5562705572001</x:v>
      </x:c>
      <x:c r="AO898" s="28" t="str">
        <x:v>R01-R20; ilgili satırdaki bölgesel fiyat ve maliyet varsayımları</x:v>
      </x:c>
      <x:c r="AP898" s="28" t="str">
        <x:v>Girdi miktarları, alım fiyatı değişimi, fason bedeli ve parti sonucu simüle edilmiştir; işletme kaydı değildir.</x:v>
      </x:c>
    </x:row>
    <x:row r="899" ht="22" customHeight="1">
      <x:c r="A899" t="str">
        <x:v>SUC-0898</x:v>
      </x:c>
      <x:c r="B899" s="36" t="n">
        <x:v>46277</x:v>
      </x:c>
      <x:c r="C899" t="str">
        <x:v>Ege</x:v>
      </x:c>
      <x:c r="D899" t="str">
        <x:v>MEB_STANDART</x:v>
      </x:c>
      <x:c r="E899" t="str">
        <x:v>Kurum içi</x:v>
      </x:c>
      <x:c r="F899" s="42" t="str">
        <x:v>SENTETİK/SİMÜLE — gerçek parti kaydı değildir</x:v>
      </x:c>
      <x:c r="G899" s="38" t="n">
        <x:v>107.639</x:v>
      </x:c>
      <x:c r="H899" s="38" t="n">
        <x:v>35.027</x:v>
      </x:c>
      <x:c r="I899" s="38" t="n">
        <x:v>6.667</x:v>
      </x:c>
      <x:c r="J899" s="38" t="n">
        <x:v>3.769</x:v>
      </x:c>
      <x:c r="K899" s="38" t="n">
        <x:v>1.77</x:v>
      </x:c>
      <x:c r="L899" s="38" t="n">
        <x:f>SUM(G899:K899)</x:f>
        <x:v>154.872</x:v>
      </x:c>
      <x:c r="M899" s="38" t="n">
        <x:v>192.802</x:v>
      </x:c>
      <x:c r="N899" s="38" t="n">
        <x:v>591.58</x:v>
      </x:c>
      <x:c r="O899" s="38" t="n">
        <x:v>454.06</x:v>
      </x:c>
      <x:c r="P899" s="38" t="n">
        <x:v>669.9</x:v>
      </x:c>
      <x:c r="Q899" s="38" t="n">
        <x:v>19.88</x:v>
      </x:c>
      <x:c r="R899" s="38" t="n">
        <x:v>43.7475</x:v>
      </x:c>
      <x:c r="S899" s="38" t="n">
        <x:v>79.52</x:v>
      </x:c>
      <x:c r="T899" s="40" t="n">
        <x:v>16.56</x:v>
      </x:c>
      <x:c r="U899" s="40" t="n">
        <x:v>1.05</x:v>
      </x:c>
      <x:c r="V899" s="38" t="n">
        <x:f>L899*(1-T899/100)*(1-U899/100)</x:f>
        <x:v>127.86833223360003</x:v>
      </x:c>
      <x:c r="W899" s="38" t="n">
        <x:f>G899*N899</x:f>
        <x:v>63677.079620000004</x:v>
      </x:c>
      <x:c r="X899" s="38" t="n">
        <x:f>H899*O899</x:f>
        <x:v>15904.359620000001</x:v>
      </x:c>
      <x:c r="Y899" s="38" t="n">
        <x:f>I899*P899</x:f>
        <x:v>4466.2233</x:v>
      </x:c>
      <x:c r="Z899" s="38" t="n">
        <x:f>J899*Q899+K899*P899</x:f>
        <x:v>1260.6507199999999</x:v>
      </x:c>
      <x:c r="AA899" s="38" t="n">
        <x:f>M899*R899</x:f>
        <x:v>8434.605495</x:v>
      </x:c>
      <x:c r="AB899" s="38" t="n">
        <x:f>SUM(W899:AA899)</x:f>
        <x:v>93742.918755</x:v>
      </x:c>
      <x:c r="AC899" s="38" t="n">
        <x:v>6.15</x:v>
      </x:c>
      <x:c r="AD899" s="38" t="n">
        <x:v>174.33</x:v>
      </x:c>
      <x:c r="AE899" s="38" t="n">
        <x:v>38.91</x:v>
      </x:c>
      <x:c r="AF899" s="38" t="n">
        <x:v>4.8148</x:v>
      </x:c>
      <x:c r="AG899" s="38" t="n">
        <x:v>5.3</x:v>
      </x:c>
      <x:c r="AH899" s="38" t="n">
        <x:f>IF(E899="Fason",L899*S899,0)</x:f>
        <x:v>0</x:v>
      </x:c>
      <x:c r="AI899" s="38" t="n">
        <x:f>IF(E899="Kurum içi",AC899*AD899+AE899*AF899+AB899*12%,0)</x:f>
        <x:v>12508.6236186</x:v>
      </x:c>
      <x:c r="AJ899" s="38" t="n">
        <x:f>V899*AG899</x:f>
        <x:v>677.7021608380801</x:v>
      </x:c>
      <x:c r="AK899" s="38" t="n">
        <x:f>AB899*2%</x:f>
        <x:v>1874.8583751</x:v>
      </x:c>
      <x:c r="AL899" s="38" t="n">
        <x:f>AB899+AH899+AI899+AJ899+AK899</x:f>
        <x:v>108804.10290953808</x:v>
      </x:c>
      <x:c r="AM899" s="38" t="n">
        <x:f>AL899/V899</x:f>
        <x:v>850.9073435850098</x:v>
      </x:c>
      <x:c r="AN899" s="40" t="n">
        <x:f>(W899+X899)/AL899*100</x:f>
        <x:v>73.14194695963407</x:v>
      </x:c>
      <x:c r="AO899" s="28" t="str">
        <x:v>R01-R20; ilgili satırdaki bölgesel fiyat ve maliyet varsayımları</x:v>
      </x:c>
      <x:c r="AP899" s="28" t="str">
        <x:v>Girdi miktarları, alım fiyatı değişimi, fason bedeli ve parti sonucu simüle edilmiştir; işletme kaydı değildir.</x:v>
      </x:c>
    </x:row>
    <x:row r="900" ht="22" customHeight="1">
      <x:c r="A900" t="str">
        <x:v>SUC-0899</x:v>
      </x:c>
      <x:c r="B900" s="36" t="n">
        <x:v>46289</x:v>
      </x:c>
      <x:c r="C900" t="str">
        <x:v>Güneydoğu Anadolu</x:v>
      </x:c>
      <x:c r="D900" t="str">
        <x:v>ERZURUM_CI</x:v>
      </x:c>
      <x:c r="E900" t="str">
        <x:v>Kurum içi</x:v>
      </x:c>
      <x:c r="F900" s="42" t="str">
        <x:v>SENTETİK/SİMÜLE — gerçek parti kaydı değildir</x:v>
      </x:c>
      <x:c r="G900" s="38" t="n">
        <x:v>266.818</x:v>
      </x:c>
      <x:c r="H900" s="38" t="n">
        <x:v>48.562</x:v>
      </x:c>
      <x:c r="I900" s="38" t="n">
        <x:v>16.009</x:v>
      </x:c>
      <x:c r="J900" s="38" t="n">
        <x:v>5.73</x:v>
      </x:c>
      <x:c r="K900" s="38" t="n">
        <x:v>0.034</x:v>
      </x:c>
      <x:c r="L900" s="38" t="n">
        <x:f>SUM(G900:K900)</x:f>
        <x:v>337.153</x:v>
      </x:c>
      <x:c r="M900" s="38" t="n">
        <x:v>437.191</x:v>
      </x:c>
      <x:c r="N900" s="38" t="n">
        <x:v>581.06</x:v>
      </x:c>
      <x:c r="O900" s="38" t="n">
        <x:v>437.34</x:v>
      </x:c>
      <x:c r="P900" s="38" t="n">
        <x:v>550</x:v>
      </x:c>
      <x:c r="Q900" s="38" t="n">
        <x:v>19.88</x:v>
      </x:c>
      <x:c r="R900" s="38" t="n">
        <x:v>43.7475</x:v>
      </x:c>
      <x:c r="S900" s="38" t="n">
        <x:v>67.62</x:v>
      </x:c>
      <x:c r="T900" s="40" t="n">
        <x:v>16.02</x:v>
      </x:c>
      <x:c r="U900" s="40" t="n">
        <x:v>0.67</x:v>
      </x:c>
      <x:c r="V900" s="38" t="n">
        <x:f>L900*(1-T900/100)*(1-U900/100)</x:f>
        <x:v>281.24404410102</x:v>
      </x:c>
      <x:c r="W900" s="38" t="n">
        <x:f>G900*N900</x:f>
        <x:v>155037.26707999996</x:v>
      </x:c>
      <x:c r="X900" s="38" t="n">
        <x:f>H900*O900</x:f>
        <x:v>21238.105079999998</x:v>
      </x:c>
      <x:c r="Y900" s="38" t="n">
        <x:f>I900*P900</x:f>
        <x:v>8804.95</x:v>
      </x:c>
      <x:c r="Z900" s="38" t="n">
        <x:f>J900*Q900+K900*P900</x:f>
        <x:v>132.6124</x:v>
      </x:c>
      <x:c r="AA900" s="38" t="n">
        <x:f>M900*R900</x:f>
        <x:v>19126.0132725</x:v>
      </x:c>
      <x:c r="AB900" s="38" t="n">
        <x:f>SUM(W900:AA900)</x:f>
        <x:v>204338.94783249998</x:v>
      </x:c>
      <x:c r="AC900" s="38" t="n">
        <x:v>20.89</x:v>
      </x:c>
      <x:c r="AD900" s="38" t="n">
        <x:v>174.33</x:v>
      </x:c>
      <x:c r="AE900" s="38" t="n">
        <x:v>140.61</x:v>
      </x:c>
      <x:c r="AF900" s="38" t="n">
        <x:v>4.8148</x:v>
      </x:c>
      <x:c r="AG900" s="38" t="n">
        <x:v>5.19</x:v>
      </x:c>
      <x:c r="AH900" s="38" t="n">
        <x:f>IF(E900="Fason",L900*S900,0)</x:f>
        <x:v>0</x:v>
      </x:c>
      <x:c r="AI900" s="38" t="n">
        <x:f>IF(E900="Kurum içi",AC900*AD900+AE900*AF900+AB900*12%,0)</x:f>
        <x:v>28839.4364679</x:v>
      </x:c>
      <x:c r="AJ900" s="38" t="n">
        <x:f>V900*AG900</x:f>
        <x:v>1459.6565888842938</x:v>
      </x:c>
      <x:c r="AK900" s="38" t="n">
        <x:f>AB900*2%</x:f>
        <x:v>4086.7789566499996</x:v>
      </x:c>
      <x:c r="AL900" s="38" t="n">
        <x:f>AB900+AH900+AI900+AJ900+AK900</x:f>
        <x:v>238724.81984593428</x:v>
      </x:c>
      <x:c r="AM900" s="38" t="n">
        <x:f>AL900/V900</x:f>
        <x:v>848.8173344577094</x:v>
      </x:c>
      <x:c r="AN900" s="40" t="n">
        <x:f>(W900+X900)/AL900*100</x:f>
        <x:v>73.84040430892888</x:v>
      </x:c>
      <x:c r="AO900" s="28" t="str">
        <x:v>R01-R20; ilgili satırdaki bölgesel fiyat ve maliyet varsayımları</x:v>
      </x:c>
      <x:c r="AP900" s="28" t="str">
        <x:v>Girdi miktarları, alım fiyatı değişimi, fason bedeli ve parti sonucu simüle edilmiştir; işletme kaydı değildir.</x:v>
      </x:c>
    </x:row>
    <x:row r="901" ht="22" customHeight="1">
      <x:c r="A901" t="str">
        <x:v>SUC-0900</x:v>
      </x:c>
      <x:c r="B901" s="36" t="n">
        <x:v>46295</x:v>
      </x:c>
      <x:c r="C901" t="str">
        <x:v>Doğu Anadolu</x:v>
      </x:c>
      <x:c r="D901" t="str">
        <x:v>MEB_STANDART</x:v>
      </x:c>
      <x:c r="E901" t="str">
        <x:v>Kurum içi</x:v>
      </x:c>
      <x:c r="F901" s="42" t="str">
        <x:v>SENTETİK/SİMÜLE — gerçek parti kaydı değildir</x:v>
      </x:c>
      <x:c r="G901" s="38" t="n">
        <x:v>116.497</x:v>
      </x:c>
      <x:c r="H901" s="38" t="n">
        <x:v>35.566</x:v>
      </x:c>
      <x:c r="I901" s="38" t="n">
        <x:v>7.125</x:v>
      </x:c>
      <x:c r="J901" s="38" t="n">
        <x:v>4.093</x:v>
      </x:c>
      <x:c r="K901" s="38" t="n">
        <x:v>1.489</x:v>
      </x:c>
      <x:c r="L901" s="38" t="n">
        <x:f>SUM(G901:K901)</x:f>
        <x:v>164.76999999999998</x:v>
      </x:c>
      <x:c r="M901" s="38" t="n">
        <x:v>190.646</x:v>
      </x:c>
      <x:c r="N901" s="38" t="n">
        <x:v>587.05</x:v>
      </x:c>
      <x:c r="O901" s="38" t="n">
        <x:v>480.3</x:v>
      </x:c>
      <x:c r="P901" s="38" t="n">
        <x:v>550</x:v>
      </x:c>
      <x:c r="Q901" s="38" t="n">
        <x:v>19.88</x:v>
      </x:c>
      <x:c r="R901" s="38" t="n">
        <x:v>43.7475</x:v>
      </x:c>
      <x:c r="S901" s="38" t="n">
        <x:v>92.48</x:v>
      </x:c>
      <x:c r="T901" s="40" t="n">
        <x:v>26.26</x:v>
      </x:c>
      <x:c r="U901" s="40" t="n">
        <x:v>0.84</x:v>
      </x:c>
      <x:c r="V901" s="38" t="n">
        <x:f>L901*(1-T901/100)*(1-U901/100)</x:f>
        <x:v>120.4807862568</x:v>
      </x:c>
      <x:c r="W901" s="38" t="n">
        <x:f>G901*N901</x:f>
        <x:v>68389.56384999999</x:v>
      </x:c>
      <x:c r="X901" s="38" t="n">
        <x:f>H901*O901</x:f>
        <x:v>17082.3498</x:v>
      </x:c>
      <x:c r="Y901" s="38" t="n">
        <x:f>I901*P901</x:f>
        <x:v>3918.75</x:v>
      </x:c>
      <x:c r="Z901" s="38" t="n">
        <x:f>J901*Q901+K901*P901</x:f>
        <x:v>900.31884</x:v>
      </x:c>
      <x:c r="AA901" s="38" t="n">
        <x:f>M901*R901</x:f>
        <x:v>8340.285885</x:v>
      </x:c>
      <x:c r="AB901" s="38" t="n">
        <x:f>SUM(W901:AA901)</x:f>
        <x:v>98631.268375</x:v>
      </x:c>
      <x:c r="AC901" s="38" t="n">
        <x:v>9.44</x:v>
      </x:c>
      <x:c r="AD901" s="38" t="n">
        <x:v>174.33</x:v>
      </x:c>
      <x:c r="AE901" s="38" t="n">
        <x:v>40.6</x:v>
      </x:c>
      <x:c r="AF901" s="38" t="n">
        <x:v>4.8148</x:v>
      </x:c>
      <x:c r="AG901" s="38" t="n">
        <x:v>5.71</x:v>
      </x:c>
      <x:c r="AH901" s="38" t="n">
        <x:f>IF(E901="Fason",L901*S901,0)</x:f>
        <x:v>0</x:v>
      </x:c>
      <x:c r="AI901" s="38" t="n">
        <x:f>IF(E901="Kurum içi",AC901*AD901+AE901*AF901+AB901*12%,0)</x:f>
        <x:v>13676.908285</x:v>
      </x:c>
      <x:c r="AJ901" s="38" t="n">
        <x:f>V901*AG901</x:f>
        <x:v>687.945289526328</x:v>
      </x:c>
      <x:c r="AK901" s="38" t="n">
        <x:f>AB901*2%</x:f>
        <x:v>1972.6253675</x:v>
      </x:c>
      <x:c r="AL901" s="38" t="n">
        <x:f>AB901+AH901+AI901+AJ901+AK901</x:f>
        <x:v>114968.74731702633</x:v>
      </x:c>
      <x:c r="AM901" s="38" t="n">
        <x:f>AL901/V901</x:f>
        <x:v>954.249643357863</x:v>
      </x:c>
      <x:c r="AN901" s="40" t="n">
        <x:f>(W901+X901)/AL901*100</x:f>
        <x:v>74.3436069754776</x:v>
      </x:c>
      <x:c r="AO901" s="28" t="str">
        <x:v>R01-R20; ilgili satırdaki bölgesel fiyat ve maliyet varsayımları</x:v>
      </x:c>
      <x:c r="AP901" s="28" t="str">
        <x:v>Girdi miktarları, alım fiyatı değişimi, fason bedeli ve parti sonucu simüle edilmiştir; işletme kaydı değildir.</x:v>
      </x:c>
    </x:row>
    <x:row r="902" ht="22" customHeight="1">
      <x:c r="A902" t="str">
        <x:v>SUC-0901</x:v>
      </x:c>
      <x:c r="B902" s="36" t="n">
        <x:v>46306</x:v>
      </x:c>
      <x:c r="C902" t="str">
        <x:v>Marmara</x:v>
      </x:c>
      <x:c r="D902" t="str">
        <x:v>ERZURUM_CI</x:v>
      </x:c>
      <x:c r="E902" t="str">
        <x:v>Kurum içi</x:v>
      </x:c>
      <x:c r="F902" s="42" t="str">
        <x:v>SENTETİK/SİMÜLE — gerçek parti kaydı değildir</x:v>
      </x:c>
      <x:c r="G902" s="38" t="n">
        <x:v>139.117</x:v>
      </x:c>
      <x:c r="H902" s="38" t="n">
        <x:v>22.699</x:v>
      </x:c>
      <x:c r="I902" s="38" t="n">
        <x:v>7.904</x:v>
      </x:c>
      <x:c r="J902" s="38" t="n">
        <x:v>2.643</x:v>
      </x:c>
      <x:c r="K902" s="38" t="n">
        <x:v>0.387</x:v>
      </x:c>
      <x:c r="L902" s="38" t="n">
        <x:f>SUM(G902:K902)</x:f>
        <x:v>172.75</x:v>
      </x:c>
      <x:c r="M902" s="38" t="n">
        <x:v>210.453</x:v>
      </x:c>
      <x:c r="N902" s="38" t="n">
        <x:v>602.18</x:v>
      </x:c>
      <x:c r="O902" s="38" t="n">
        <x:v>445.47</x:v>
      </x:c>
      <x:c r="P902" s="38" t="n">
        <x:v>550</x:v>
      </x:c>
      <x:c r="Q902" s="38" t="n">
        <x:v>19.88</x:v>
      </x:c>
      <x:c r="R902" s="38" t="n">
        <x:v>43.7475</x:v>
      </x:c>
      <x:c r="S902" s="38" t="n">
        <x:v>107.03</x:v>
      </x:c>
      <x:c r="T902" s="40" t="n">
        <x:v>26.45</x:v>
      </x:c>
      <x:c r="U902" s="40" t="n">
        <x:v>0.39</x:v>
      </x:c>
      <x:c r="V902" s="38" t="n">
        <x:f>L902*(1-T902/100)*(1-U902/100)</x:f>
        <x:v>126.5621002625</x:v>
      </x:c>
      <x:c r="W902" s="38" t="n">
        <x:f>G902*N902</x:f>
        <x:v>83773.47505999998</x:v>
      </x:c>
      <x:c r="X902" s="38" t="n">
        <x:f>H902*O902</x:f>
        <x:v>10111.723530000001</x:v>
      </x:c>
      <x:c r="Y902" s="38" t="n">
        <x:f>I902*P902</x:f>
        <x:v>4347.2</x:v>
      </x:c>
      <x:c r="Z902" s="38" t="n">
        <x:f>J902*Q902+K902*P902</x:f>
        <x:v>265.39284</x:v>
      </x:c>
      <x:c r="AA902" s="38" t="n">
        <x:f>M902*R902</x:f>
        <x:v>9206.792617500001</x:v>
      </x:c>
      <x:c r="AB902" s="38" t="n">
        <x:f>SUM(W902:AA902)</x:f>
        <x:v>107704.58404749999</x:v>
      </x:c>
      <x:c r="AC902" s="38" t="n">
        <x:v>8.7</x:v>
      </x:c>
      <x:c r="AD902" s="38" t="n">
        <x:v>174.33</x:v>
      </x:c>
      <x:c r="AE902" s="38" t="n">
        <x:v>39.94</x:v>
      </x:c>
      <x:c r="AF902" s="38" t="n">
        <x:v>4.8148</x:v>
      </x:c>
      <x:c r="AG902" s="38" t="n">
        <x:v>5.66</x:v>
      </x:c>
      <x:c r="AH902" s="38" t="n">
        <x:f>IF(E902="Fason",L902*S902,0)</x:f>
        <x:v>0</x:v>
      </x:c>
      <x:c r="AI902" s="38" t="n">
        <x:f>IF(E902="Kurum içi",AC902*AD902+AE902*AF902+AB902*12%,0)</x:f>
        <x:v>14633.524197699997</x:v>
      </x:c>
      <x:c r="AJ902" s="38" t="n">
        <x:f>V902*AG902</x:f>
        <x:v>716.34148748575</x:v>
      </x:c>
      <x:c r="AK902" s="38" t="n">
        <x:f>AB902*2%</x:f>
        <x:v>2154.09168095</x:v>
      </x:c>
      <x:c r="AL902" s="38" t="n">
        <x:f>AB902+AH902+AI902+AJ902+AK902</x:f>
        <x:v>125208.54141363574</x:v>
      </x:c>
      <x:c r="AM902" s="38" t="n">
        <x:f>AL902/V902</x:f>
        <x:v>989.3051802549352</x:v>
      </x:c>
      <x:c r="AN902" s="40" t="n">
        <x:f>(W902+X902)/AL902*100</x:f>
        <x:v>74.98306228154455</x:v>
      </x:c>
      <x:c r="AO902" s="28" t="str">
        <x:v>R01-R20; ilgili satırdaki bölgesel fiyat ve maliyet varsayımları</x:v>
      </x:c>
      <x:c r="AP902" s="28" t="str">
        <x:v>Girdi miktarları, alım fiyatı değişimi, fason bedeli ve parti sonucu simüle edilmiştir; işletme kaydı değildir.</x:v>
      </x:c>
    </x:row>
    <x:row r="903" ht="22" customHeight="1">
      <x:c r="A903" t="str">
        <x:v>SUC-0902</x:v>
      </x:c>
      <x:c r="B903" s="36" t="n">
        <x:v>46282</x:v>
      </x:c>
      <x:c r="C903" t="str">
        <x:v>Karadeniz</x:v>
      </x:c>
      <x:c r="D903" t="str">
        <x:v>ERZURUM_CI</x:v>
      </x:c>
      <x:c r="E903" t="str">
        <x:v>Kurum içi</x:v>
      </x:c>
      <x:c r="F903" s="42" t="str">
        <x:v>SENTETİK/SİMÜLE — gerçek parti kaydı değildir</x:v>
      </x:c>
      <x:c r="G903" s="38" t="n">
        <x:v>317.116</x:v>
      </x:c>
      <x:c r="H903" s="38" t="n">
        <x:v>56.1</x:v>
      </x:c>
      <x:c r="I903" s="38" t="n">
        <x:v>19.304</x:v>
      </x:c>
      <x:c r="J903" s="38" t="n">
        <x:v>5.841</x:v>
      </x:c>
      <x:c r="K903" s="38" t="n">
        <x:v>0.04</x:v>
      </x:c>
      <x:c r="L903" s="38" t="n">
        <x:f>SUM(G903:K903)</x:f>
        <x:v>398.401</x:v>
      </x:c>
      <x:c r="M903" s="38" t="n">
        <x:v>486.771</x:v>
      </x:c>
      <x:c r="N903" s="38" t="n">
        <x:v>597.62</x:v>
      </x:c>
      <x:c r="O903" s="38" t="n">
        <x:v>461.76</x:v>
      </x:c>
      <x:c r="P903" s="38" t="n">
        <x:v>400</x:v>
      </x:c>
      <x:c r="Q903" s="38" t="n">
        <x:v>19.88</x:v>
      </x:c>
      <x:c r="R903" s="38" t="n">
        <x:v>43.7475</x:v>
      </x:c>
      <x:c r="S903" s="38" t="n">
        <x:v>121.42</x:v>
      </x:c>
      <x:c r="T903" s="40" t="n">
        <x:v>21.99</x:v>
      </x:c>
      <x:c r="U903" s="40" t="n">
        <x:v>1.12</x:v>
      </x:c>
      <x:c r="V903" s="38" t="n">
        <x:f>L903*(1-T903/100)*(1-U903/100)</x:f>
        <x:v>307.31174275488</x:v>
      </x:c>
      <x:c r="W903" s="38" t="n">
        <x:f>G903*N903</x:f>
        <x:v>189514.86392</x:v>
      </x:c>
      <x:c r="X903" s="38" t="n">
        <x:f>H903*O903</x:f>
        <x:v>25904.736</x:v>
      </x:c>
      <x:c r="Y903" s="38" t="n">
        <x:f>I903*P903</x:f>
        <x:v>7721.599999999999</x:v>
      </x:c>
      <x:c r="Z903" s="38" t="n">
        <x:f>J903*Q903+K903*P903</x:f>
        <x:v>132.11908</x:v>
      </x:c>
      <x:c r="AA903" s="38" t="n">
        <x:f>M903*R903</x:f>
        <x:v>21295.014322500003</x:v>
      </x:c>
      <x:c r="AB903" s="38" t="n">
        <x:f>SUM(W903:AA903)</x:f>
        <x:v>244568.33332250002</x:v>
      </x:c>
      <x:c r="AC903" s="38" t="n">
        <x:v>27.64</x:v>
      </x:c>
      <x:c r="AD903" s="38" t="n">
        <x:v>174.33</x:v>
      </x:c>
      <x:c r="AE903" s="38" t="n">
        <x:v>150.95</x:v>
      </x:c>
      <x:c r="AF903" s="38" t="n">
        <x:v>4.8148</x:v>
      </x:c>
      <x:c r="AG903" s="38" t="n">
        <x:v>5.75</x:v>
      </x:c>
      <x:c r="AH903" s="38" t="n">
        <x:f>IF(E903="Fason",L903*S903,0)</x:f>
        <x:v>0</x:v>
      </x:c>
      <x:c r="AI903" s="38" t="n">
        <x:f>IF(E903="Kurum içi",AC903*AD903+AE903*AF903+AB903*12%,0)</x:f>
        <x:v>34893.475258700004</x:v>
      </x:c>
      <x:c r="AJ903" s="38" t="n">
        <x:f>V903*AG903</x:f>
        <x:v>1767.04252084056</x:v>
      </x:c>
      <x:c r="AK903" s="38" t="n">
        <x:f>AB903*2%</x:f>
        <x:v>4891.366666450001</x:v>
      </x:c>
      <x:c r="AL903" s="38" t="n">
        <x:f>AB903+AH903+AI903+AJ903+AK903</x:f>
        <x:v>286120.21776849055</x:v>
      </x:c>
      <x:c r="AM903" s="38" t="n">
        <x:f>AL903/V903</x:f>
        <x:v>931.0422543687424</x:v>
      </x:c>
      <x:c r="AN903" s="40" t="n">
        <x:f>(W903+X903)/AL903*100</x:f>
        <x:v>75.28989094168215</x:v>
      </x:c>
      <x:c r="AO903" s="28" t="str">
        <x:v>R01-R20; ilgili satırdaki bölgesel fiyat ve maliyet varsayımları</x:v>
      </x:c>
      <x:c r="AP903" s="28" t="str">
        <x:v>Girdi miktarları, alım fiyatı değişimi, fason bedeli ve parti sonucu simüle edilmiştir; işletme kaydı değildir.</x:v>
      </x:c>
    </x:row>
    <x:row r="904" ht="22" customHeight="1">
      <x:c r="A904" t="str">
        <x:v>SUC-0903</x:v>
      </x:c>
      <x:c r="B904" s="36" t="n">
        <x:v>46313</x:v>
      </x:c>
      <x:c r="C904" t="str">
        <x:v>Doğu Anadolu</x:v>
      </x:c>
      <x:c r="D904" t="str">
        <x:v>ERZURUM_CI</x:v>
      </x:c>
      <x:c r="E904" t="str">
        <x:v>Fason</x:v>
      </x:c>
      <x:c r="F904" s="42" t="str">
        <x:v>SENTETİK/SİMÜLE — gerçek parti kaydı değildir</x:v>
      </x:c>
      <x:c r="G904" s="38" t="n">
        <x:v>383.498</x:v>
      </x:c>
      <x:c r="H904" s="38" t="n">
        <x:v>68.17</x:v>
      </x:c>
      <x:c r="I904" s="38" t="n">
        <x:v>21.869</x:v>
      </x:c>
      <x:c r="J904" s="38" t="n">
        <x:v>7.414</x:v>
      </x:c>
      <x:c r="K904" s="38" t="n">
        <x:v>0.913</x:v>
      </x:c>
      <x:c r="L904" s="38" t="n">
        <x:f>SUM(G904:K904)</x:f>
        <x:v>481.86400000000003</x:v>
      </x:c>
      <x:c r="M904" s="38" t="n">
        <x:v>591.025</x:v>
      </x:c>
      <x:c r="N904" s="38" t="n">
        <x:v>599.7</x:v>
      </x:c>
      <x:c r="O904" s="38" t="n">
        <x:v>466.32</x:v>
      </x:c>
      <x:c r="P904" s="38" t="n">
        <x:v>550</x:v>
      </x:c>
      <x:c r="Q904" s="38" t="n">
        <x:v>19.88</x:v>
      </x:c>
      <x:c r="R904" s="38" t="n">
        <x:v>43.7475</x:v>
      </x:c>
      <x:c r="S904" s="38" t="n">
        <x:v>72.12</x:v>
      </x:c>
      <x:c r="T904" s="40" t="n">
        <x:v>20.87</x:v>
      </x:c>
      <x:c r="U904" s="40" t="n">
        <x:v>0.34</x:v>
      </x:c>
      <x:c r="V904" s="38" t="n">
        <x:f>L904*(1-T904/100)*(1-U904/100)</x:f>
        <x:v>380.00256665712004</x:v>
      </x:c>
      <x:c r="W904" s="38" t="n">
        <x:f>G904*N904</x:f>
        <x:v>229983.7506</x:v>
      </x:c>
      <x:c r="X904" s="38" t="n">
        <x:f>H904*O904</x:f>
        <x:v>31789.0344</x:v>
      </x:c>
      <x:c r="Y904" s="38" t="n">
        <x:f>I904*P904</x:f>
        <x:v>12027.95</x:v>
      </x:c>
      <x:c r="Z904" s="38" t="n">
        <x:f>J904*Q904+K904*P904</x:f>
        <x:v>649.5403200000001</x:v>
      </x:c>
      <x:c r="AA904" s="38" t="n">
        <x:f>M904*R904</x:f>
        <x:v>25855.8661875</x:v>
      </x:c>
      <x:c r="AB904" s="38" t="n">
        <x:f>SUM(W904:AA904)</x:f>
        <x:v>300306.1415075</x:v>
      </x:c>
      <x:c r="AC904" s="38" t="n">
        <x:v>25.72</x:v>
      </x:c>
      <x:c r="AD904" s="38" t="n">
        <x:v>174.33</x:v>
      </x:c>
      <x:c r="AE904" s="38" t="n">
        <x:v>120.07</x:v>
      </x:c>
      <x:c r="AF904" s="38" t="n">
        <x:v>4.8148</x:v>
      </x:c>
      <x:c r="AG904" s="38" t="n">
        <x:v>5.39</x:v>
      </x:c>
      <x:c r="AH904" s="38" t="n">
        <x:f>IF(E904="Fason",L904*S904,0)</x:f>
        <x:v>34752.03168000001</x:v>
      </x:c>
      <x:c r="AI904" s="38" t="n">
        <x:f>IF(E904="Kurum içi",AC904*AD904+AE904*AF904+AB904*12%,0)</x:f>
        <x:v>0</x:v>
      </x:c>
      <x:c r="AJ904" s="38" t="n">
        <x:f>V904*AG904</x:f>
        <x:v>2048.213834281877</x:v>
      </x:c>
      <x:c r="AK904" s="38" t="n">
        <x:f>AB904*2%</x:f>
        <x:v>6006.1228301500005</x:v>
      </x:c>
      <x:c r="AL904" s="38" t="n">
        <x:f>AB904+AH904+AI904+AJ904+AK904</x:f>
        <x:v>343112.50985193194</x:v>
      </x:c>
      <x:c r="AM904" s="38" t="n">
        <x:f>AL904/V904</x:f>
        <x:v>902.9215588470634</x:v>
      </x:c>
      <x:c r="AN904" s="40" t="n">
        <x:f>(W904+X904)/AL904*100</x:f>
        <x:v>76.29357061710354</x:v>
      </x:c>
      <x:c r="AO904" s="28" t="str">
        <x:v>R01-R20; ilgili satırdaki bölgesel fiyat ve maliyet varsayımları</x:v>
      </x:c>
      <x:c r="AP904" s="28" t="str">
        <x:v>Girdi miktarları, alım fiyatı değişimi, fason bedeli ve parti sonucu simüle edilmiştir; işletme kaydı değildir.</x:v>
      </x:c>
    </x:row>
    <x:row r="905" ht="22" customHeight="1">
      <x:c r="A905" t="str">
        <x:v>SUC-0904</x:v>
      </x:c>
      <x:c r="B905" s="36" t="n">
        <x:v>46280</x:v>
      </x:c>
      <x:c r="C905" t="str">
        <x:v>Ege</x:v>
      </x:c>
      <x:c r="D905" t="str">
        <x:v>MEB_STANDART</x:v>
      </x:c>
      <x:c r="E905" t="str">
        <x:v>Fason</x:v>
      </x:c>
      <x:c r="F905" s="42" t="str">
        <x:v>SENTETİK/SİMÜLE — gerçek parti kaydı değildir</x:v>
      </x:c>
      <x:c r="G905" s="38" t="n">
        <x:v>343.178</x:v>
      </x:c>
      <x:c r="H905" s="38" t="n">
        <x:v>102.759</x:v>
      </x:c>
      <x:c r="I905" s="38" t="n">
        <x:v>22.088</x:v>
      </x:c>
      <x:c r="J905" s="38" t="n">
        <x:v>11.249</x:v>
      </x:c>
      <x:c r="K905" s="38" t="n">
        <x:v>4.238</x:v>
      </x:c>
      <x:c r="L905" s="38" t="n">
        <x:f>SUM(G905:K905)</x:f>
        <x:v>483.51200000000006</x:v>
      </x:c>
      <x:c r="M905" s="38" t="n">
        <x:v>578.476</x:v>
      </x:c>
      <x:c r="N905" s="38" t="n">
        <x:v>586.97</x:v>
      </x:c>
      <x:c r="O905" s="38" t="n">
        <x:v>434.36</x:v>
      </x:c>
      <x:c r="P905" s="38" t="n">
        <x:v>400</x:v>
      </x:c>
      <x:c r="Q905" s="38" t="n">
        <x:v>19.88</x:v>
      </x:c>
      <x:c r="R905" s="38" t="n">
        <x:v>43.7475</x:v>
      </x:c>
      <x:c r="S905" s="38" t="n">
        <x:v>115.22</x:v>
      </x:c>
      <x:c r="T905" s="40" t="n">
        <x:v>25.9</x:v>
      </x:c>
      <x:c r="U905" s="40" t="n">
        <x:v>0.98</x:v>
      </x:c>
      <x:c r="V905" s="38" t="n">
        <x:f>L905*(1-T905/100)*(1-U905/100)</x:f>
        <x:v>354.7712245584</x:v>
      </x:c>
      <x:c r="W905" s="38" t="n">
        <x:f>G905*N905</x:f>
        <x:v>201435.19066000002</x:v>
      </x:c>
      <x:c r="X905" s="38" t="n">
        <x:f>H905*O905</x:f>
        <x:v>44634.39924</x:v>
      </x:c>
      <x:c r="Y905" s="38" t="n">
        <x:f>I905*P905</x:f>
        <x:v>8835.2</x:v>
      </x:c>
      <x:c r="Z905" s="38" t="n">
        <x:f>J905*Q905+K905*P905</x:f>
        <x:v>1918.8301200000003</x:v>
      </x:c>
      <x:c r="AA905" s="38" t="n">
        <x:f>M905*R905</x:f>
        <x:v>25306.878810000002</x:v>
      </x:c>
      <x:c r="AB905" s="38" t="n">
        <x:f>SUM(W905:AA905)</x:f>
        <x:v>282130.49883000006</x:v>
      </x:c>
      <x:c r="AC905" s="38" t="n">
        <x:v>33.04</x:v>
      </x:c>
      <x:c r="AD905" s="38" t="n">
        <x:v>174.33</x:v>
      </x:c>
      <x:c r="AE905" s="38" t="n">
        <x:v>168.71</x:v>
      </x:c>
      <x:c r="AF905" s="38" t="n">
        <x:v>4.8148</x:v>
      </x:c>
      <x:c r="AG905" s="38" t="n">
        <x:v>5.39</x:v>
      </x:c>
      <x:c r="AH905" s="38" t="n">
        <x:f>IF(E905="Fason",L905*S905,0)</x:f>
        <x:v>55710.252640000006</x:v>
      </x:c>
      <x:c r="AI905" s="38" t="n">
        <x:f>IF(E905="Kurum içi",AC905*AD905+AE905*AF905+AB905*12%,0)</x:f>
        <x:v>0</x:v>
      </x:c>
      <x:c r="AJ905" s="38" t="n">
        <x:f>V905*AG905</x:f>
        <x:v>1912.2169003697759</x:v>
      </x:c>
      <x:c r="AK905" s="38" t="n">
        <x:f>AB905*2%</x:f>
        <x:v>5642.609976600002</x:v>
      </x:c>
      <x:c r="AL905" s="38" t="n">
        <x:f>AB905+AH905+AI905+AJ905+AK905</x:f>
        <x:v>345395.57834696985</x:v>
      </x:c>
      <x:c r="AM905" s="38" t="n">
        <x:f>AL905/V905</x:f>
        <x:v>973.5726982279907</x:v>
      </x:c>
      <x:c r="AN905" s="40" t="n">
        <x:f>(W905+X905)/AL905*100</x:f>
        <x:v>71.24283150284249</x:v>
      </x:c>
      <x:c r="AO905" s="28" t="str">
        <x:v>R01-R20; ilgili satırdaki bölgesel fiyat ve maliyet varsayımları</x:v>
      </x:c>
      <x:c r="AP905" s="28" t="str">
        <x:v>Girdi miktarları, alım fiyatı değişimi, fason bedeli ve parti sonucu simüle edilmiştir; işletme kaydı değildir.</x:v>
      </x:c>
    </x:row>
    <x:row r="906" ht="22" customHeight="1">
      <x:c r="A906" t="str">
        <x:v>SUC-0905</x:v>
      </x:c>
      <x:c r="B906" s="36" t="n">
        <x:v>46279</x:v>
      </x:c>
      <x:c r="C906" t="str">
        <x:v>Marmara</x:v>
      </x:c>
      <x:c r="D906" t="str">
        <x:v>MEB_STANDART</x:v>
      </x:c>
      <x:c r="E906" t="str">
        <x:v>Kurum içi</x:v>
      </x:c>
      <x:c r="F906" s="42" t="str">
        <x:v>SENTETİK/SİMÜLE — gerçek parti kaydı değildir</x:v>
      </x:c>
      <x:c r="G906" s="38" t="n">
        <x:v>328.017</x:v>
      </x:c>
      <x:c r="H906" s="38" t="n">
        <x:v>104.592</x:v>
      </x:c>
      <x:c r="I906" s="38" t="n">
        <x:v>21.591</x:v>
      </x:c>
      <x:c r="J906" s="38" t="n">
        <x:v>11.555</x:v>
      </x:c>
      <x:c r="K906" s="38" t="n">
        <x:v>4.097</x:v>
      </x:c>
      <x:c r="L906" s="38" t="n">
        <x:f>SUM(G906:K906)</x:f>
        <x:v>469.852</x:v>
      </x:c>
      <x:c r="M906" s="38" t="n">
        <x:v>575.862</x:v>
      </x:c>
      <x:c r="N906" s="38" t="n">
        <x:v>612.58</x:v>
      </x:c>
      <x:c r="O906" s="38" t="n">
        <x:v>470.17</x:v>
      </x:c>
      <x:c r="P906" s="38" t="n">
        <x:v>550</x:v>
      </x:c>
      <x:c r="Q906" s="38" t="n">
        <x:v>19.88</x:v>
      </x:c>
      <x:c r="R906" s="38" t="n">
        <x:v>43.7475</x:v>
      </x:c>
      <x:c r="S906" s="38" t="n">
        <x:v>103.33</x:v>
      </x:c>
      <x:c r="T906" s="40" t="n">
        <x:v>27.46</x:v>
      </x:c>
      <x:c r="U906" s="40" t="n">
        <x:v>1.31</x:v>
      </x:c>
      <x:c r="V906" s="38" t="n">
        <x:f>L906*(1-T906/100)*(1-U906/100)</x:f>
        <x:v>336.36575940552</x:v>
      </x:c>
      <x:c r="W906" s="38" t="n">
        <x:f>G906*N906</x:f>
        <x:v>200936.65386000002</x:v>
      </x:c>
      <x:c r="X906" s="38" t="n">
        <x:f>H906*O906</x:f>
        <x:v>49176.02064</x:v>
      </x:c>
      <x:c r="Y906" s="38" t="n">
        <x:f>I906*P906</x:f>
        <x:v>11875.050000000001</x:v>
      </x:c>
      <x:c r="Z906" s="38" t="n">
        <x:f>J906*Q906+K906*P906</x:f>
        <x:v>2483.0634000000005</x:v>
      </x:c>
      <x:c r="AA906" s="38" t="n">
        <x:f>M906*R906</x:f>
        <x:v>25192.522845</x:v>
      </x:c>
      <x:c r="AB906" s="38" t="n">
        <x:f>SUM(W906:AA906)</x:f>
        <x:v>289663.310745</x:v>
      </x:c>
      <x:c r="AC906" s="38" t="n">
        <x:v>24.49</x:v>
      </x:c>
      <x:c r="AD906" s="38" t="n">
        <x:v>174.33</x:v>
      </x:c>
      <x:c r="AE906" s="38" t="n">
        <x:v>202.47</x:v>
      </x:c>
      <x:c r="AF906" s="38" t="n">
        <x:v>4.8148</x:v>
      </x:c>
      <x:c r="AG906" s="38" t="n">
        <x:v>5.35</x:v>
      </x:c>
      <x:c r="AH906" s="38" t="n">
        <x:f>IF(E906="Fason",L906*S906,0)</x:f>
        <x:v>0</x:v>
      </x:c>
      <x:c r="AI906" s="38" t="n">
        <x:f>IF(E906="Kurum içi",AC906*AD906+AE906*AF906+AB906*12%,0)</x:f>
        <x:v>40003.7915454</x:v>
      </x:c>
      <x:c r="AJ906" s="38" t="n">
        <x:f>V906*AG906</x:f>
        <x:v>1799.5568128195318</x:v>
      </x:c>
      <x:c r="AK906" s="38" t="n">
        <x:f>AB906*2%</x:f>
        <x:v>5793.266214900001</x:v>
      </x:c>
      <x:c r="AL906" s="38" t="n">
        <x:f>AB906+AH906+AI906+AJ906+AK906</x:f>
        <x:v>337259.9253181196</x:v>
      </x:c>
      <x:c r="AM906" s="38" t="n">
        <x:f>AL906/V906</x:f>
        <x:v>1002.6583143129071</x:v>
      </x:c>
      <x:c r="AN906" s="40" t="n">
        <x:f>(W906+X906)/AL906*100</x:f>
        <x:v>74.16021167177863</x:v>
      </x:c>
      <x:c r="AO906" s="28" t="str">
        <x:v>R01-R20; ilgili satırdaki bölgesel fiyat ve maliyet varsayımları</x:v>
      </x:c>
      <x:c r="AP906" s="28" t="str">
        <x:v>Girdi miktarları, alım fiyatı değişimi, fason bedeli ve parti sonucu simüle edilmiştir; işletme kaydı değildir.</x:v>
      </x:c>
    </x:row>
    <x:row r="907" ht="22" customHeight="1">
      <x:c r="A907" t="str">
        <x:v>SUC-0906</x:v>
      </x:c>
      <x:c r="B907" s="36" t="n">
        <x:v>46294</x:v>
      </x:c>
      <x:c r="C907" t="str">
        <x:v>Güneydoğu Anadolu</x:v>
      </x:c>
      <x:c r="D907" t="str">
        <x:v>MEB_STANDART</x:v>
      </x:c>
      <x:c r="E907" t="str">
        <x:v>Kurum içi</x:v>
      </x:c>
      <x:c r="F907" s="42" t="str">
        <x:v>SENTETİK/SİMÜLE — gerçek parti kaydı değildir</x:v>
      </x:c>
      <x:c r="G907" s="38" t="n">
        <x:v>59.721</x:v>
      </x:c>
      <x:c r="H907" s="38" t="n">
        <x:v>18.224</x:v>
      </x:c>
      <x:c r="I907" s="38" t="n">
        <x:v>3.866</x:v>
      </x:c>
      <x:c r="J907" s="38" t="n">
        <x:v>2.111</x:v>
      </x:c>
      <x:c r="K907" s="38" t="n">
        <x:v>0.896</x:v>
      </x:c>
      <x:c r="L907" s="38" t="n">
        <x:f>SUM(G907:K907)</x:f>
        <x:v>84.818</x:v>
      </x:c>
      <x:c r="M907" s="38" t="n">
        <x:v>107.52</x:v>
      </x:c>
      <x:c r="N907" s="38" t="n">
        <x:v>584.24</x:v>
      </x:c>
      <x:c r="O907" s="38" t="n">
        <x:v>421.07</x:v>
      </x:c>
      <x:c r="P907" s="38" t="n">
        <x:v>669.9</x:v>
      </x:c>
      <x:c r="Q907" s="38" t="n">
        <x:v>19.88</x:v>
      </x:c>
      <x:c r="R907" s="38" t="n">
        <x:v>43.7475</x:v>
      </x:c>
      <x:c r="S907" s="38" t="n">
        <x:v>118.59</x:v>
      </x:c>
      <x:c r="T907" s="40" t="n">
        <x:v>19.16</x:v>
      </x:c>
      <x:c r="U907" s="40" t="n">
        <x:v>1.15</x:v>
      </x:c>
      <x:c r="V907" s="38" t="n">
        <x:f>L907*(1-T907/100)*(1-U907/100)</x:f>
        <x:v>67.77835218119999</x:v>
      </x:c>
      <x:c r="W907" s="38" t="n">
        <x:f>G907*N907</x:f>
        <x:v>34891.397039999996</x:v>
      </x:c>
      <x:c r="X907" s="38" t="n">
        <x:f>H907*O907</x:f>
        <x:v>7673.57968</x:v>
      </x:c>
      <x:c r="Y907" s="38" t="n">
        <x:f>I907*P907</x:f>
        <x:v>2589.8334</x:v>
      </x:c>
      <x:c r="Z907" s="38" t="n">
        <x:f>J907*Q907+K907*P907</x:f>
        <x:v>642.19708</x:v>
      </x:c>
      <x:c r="AA907" s="38" t="n">
        <x:f>M907*R907</x:f>
        <x:v>4703.7312</x:v>
      </x:c>
      <x:c r="AB907" s="38" t="n">
        <x:f>SUM(W907:AA907)</x:f>
        <x:v>50500.7384</x:v>
      </x:c>
      <x:c r="AC907" s="38" t="n">
        <x:v>4.34</x:v>
      </x:c>
      <x:c r="AD907" s="38" t="n">
        <x:v>174.33</x:v>
      </x:c>
      <x:c r="AE907" s="38" t="n">
        <x:v>32.79</x:v>
      </x:c>
      <x:c r="AF907" s="38" t="n">
        <x:v>4.8148</x:v>
      </x:c>
      <x:c r="AG907" s="38" t="n">
        <x:v>5.83</x:v>
      </x:c>
      <x:c r="AH907" s="38" t="n">
        <x:f>IF(E907="Fason",L907*S907,0)</x:f>
        <x:v>0</x:v>
      </x:c>
      <x:c r="AI907" s="38" t="n">
        <x:f>IF(E907="Kurum içi",AC907*AD907+AE907*AF907+AB907*12%,0)</x:f>
        <x:v>6974.5581</x:v>
      </x:c>
      <x:c r="AJ907" s="38" t="n">
        <x:f>V907*AG907</x:f>
        <x:v>395.14779321639594</x:v>
      </x:c>
      <x:c r="AK907" s="38" t="n">
        <x:f>AB907*2%</x:f>
        <x:v>1010.0147680000001</x:v>
      </x:c>
      <x:c r="AL907" s="38" t="n">
        <x:f>AB907+AH907+AI907+AJ907+AK907</x:f>
        <x:v>58880.4590612164</x:v>
      </x:c>
      <x:c r="AM907" s="38" t="n">
        <x:f>AL907/V907</x:f>
        <x:v>868.7207222713856</x:v>
      </x:c>
      <x:c r="AN907" s="40" t="n">
        <x:f>(W907+X907)/AL907*100</x:f>
        <x:v>72.2904973885247</x:v>
      </x:c>
      <x:c r="AO907" s="28" t="str">
        <x:v>R01-R20; ilgili satırdaki bölgesel fiyat ve maliyet varsayımları</x:v>
      </x:c>
      <x:c r="AP907" s="28" t="str">
        <x:v>Girdi miktarları, alım fiyatı değişimi, fason bedeli ve parti sonucu simüle edilmiştir; işletme kaydı değildir.</x:v>
      </x:c>
    </x:row>
    <x:row r="908" ht="22" customHeight="1">
      <x:c r="A908" t="str">
        <x:v>SUC-0907</x:v>
      </x:c>
      <x:c r="B908" s="36" t="n">
        <x:v>46270</x:v>
      </x:c>
      <x:c r="C908" t="str">
        <x:v>İç Anadolu</x:v>
      </x:c>
      <x:c r="D908" t="str">
        <x:v>MEB_STANDART</x:v>
      </x:c>
      <x:c r="E908" t="str">
        <x:v>Kurum içi</x:v>
      </x:c>
      <x:c r="F908" s="42" t="str">
        <x:v>SENTETİK/SİMÜLE — gerçek parti kaydı değildir</x:v>
      </x:c>
      <x:c r="G908" s="38" t="n">
        <x:v>197.33</x:v>
      </x:c>
      <x:c r="H908" s="38" t="n">
        <x:v>61.563</x:v>
      </x:c>
      <x:c r="I908" s="38" t="n">
        <x:v>12.264</x:v>
      </x:c>
      <x:c r="J908" s="38" t="n">
        <x:v>6.67</x:v>
      </x:c>
      <x:c r="K908" s="38" t="n">
        <x:v>2.476</x:v>
      </x:c>
      <x:c r="L908" s="38" t="n">
        <x:f>SUM(G908:K908)</x:f>
        <x:v>280.30300000000005</x:v>
      </x:c>
      <x:c r="M908" s="38" t="n">
        <x:v>366.084</x:v>
      </x:c>
      <x:c r="N908" s="38" t="n">
        <x:v>606.57</x:v>
      </x:c>
      <x:c r="O908" s="38" t="n">
        <x:v>411.24</x:v>
      </x:c>
      <x:c r="P908" s="38" t="n">
        <x:v>550</x:v>
      </x:c>
      <x:c r="Q908" s="38" t="n">
        <x:v>19.88</x:v>
      </x:c>
      <x:c r="R908" s="38" t="n">
        <x:v>43.7475</x:v>
      </x:c>
      <x:c r="S908" s="38" t="n">
        <x:v>89.57</x:v>
      </x:c>
      <x:c r="T908" s="40" t="n">
        <x:v>32.85</x:v>
      </x:c>
      <x:c r="U908" s="40" t="n">
        <x:v>0.92</x:v>
      </x:c>
      <x:c r="V908" s="38" t="n">
        <x:f>L908*(1-T908/100)*(1-U908/100)</x:f>
        <x:v>186.49180862660003</x:v>
      </x:c>
      <x:c r="W908" s="38" t="n">
        <x:f>G908*N908</x:f>
        <x:v>119694.45810000002</x:v>
      </x:c>
      <x:c r="X908" s="38" t="n">
        <x:f>H908*O908</x:f>
        <x:v>25317.168120000002</x:v>
      </x:c>
      <x:c r="Y908" s="38" t="n">
        <x:f>I908*P908</x:f>
        <x:v>6745.2</x:v>
      </x:c>
      <x:c r="Z908" s="38" t="n">
        <x:f>J908*Q908+K908*P908</x:f>
        <x:v>1494.3996</x:v>
      </x:c>
      <x:c r="AA908" s="38" t="n">
        <x:f>M908*R908</x:f>
        <x:v>16015.25979</x:v>
      </x:c>
      <x:c r="AB908" s="38" t="n">
        <x:f>SUM(W908:AA908)</x:f>
        <x:v>169266.48561000006</x:v>
      </x:c>
      <x:c r="AC908" s="38" t="n">
        <x:v>13.42</x:v>
      </x:c>
      <x:c r="AD908" s="38" t="n">
        <x:v>174.33</x:v>
      </x:c>
      <x:c r="AE908" s="38" t="n">
        <x:v>119.1</x:v>
      </x:c>
      <x:c r="AF908" s="38" t="n">
        <x:v>4.8148</x:v>
      </x:c>
      <x:c r="AG908" s="38" t="n">
        <x:v>5.25</x:v>
      </x:c>
      <x:c r="AH908" s="38" t="n">
        <x:f>IF(E908="Fason",L908*S908,0)</x:f>
        <x:v>0</x:v>
      </x:c>
      <x:c r="AI908" s="38" t="n">
        <x:f>IF(E908="Kurum içi",AC908*AD908+AE908*AF908+AB908*12%,0)</x:f>
        <x:v>23224.929553200007</x:v>
      </x:c>
      <x:c r="AJ908" s="38" t="n">
        <x:f>V908*AG908</x:f>
        <x:v>979.0819952896502</x:v>
      </x:c>
      <x:c r="AK908" s="38" t="n">
        <x:f>AB908*2%</x:f>
        <x:v>3385.3297122000013</x:v>
      </x:c>
      <x:c r="AL908" s="38" t="n">
        <x:f>AB908+AH908+AI908+AJ908+AK908</x:f>
        <x:v>196855.82687068972</x:v>
      </x:c>
      <x:c r="AM908" s="38" t="n">
        <x:f>AL908/V908</x:f>
        <x:v>1055.5735842791942</x:v>
      </x:c>
      <x:c r="AN908" s="40" t="n">
        <x:f>(W908+X908)/AL908*100</x:f>
        <x:v>73.66387295980576</x:v>
      </x:c>
      <x:c r="AO908" s="28" t="str">
        <x:v>R01-R20; ilgili satırdaki bölgesel fiyat ve maliyet varsayımları</x:v>
      </x:c>
      <x:c r="AP908" s="28" t="str">
        <x:v>Girdi miktarları, alım fiyatı değişimi, fason bedeli ve parti sonucu simüle edilmiştir; işletme kaydı değildir.</x:v>
      </x:c>
    </x:row>
    <x:row r="909" ht="22" customHeight="1">
      <x:c r="A909" t="str">
        <x:v>SUC-0908</x:v>
      </x:c>
      <x:c r="B909" s="36" t="n">
        <x:v>46313</x:v>
      </x:c>
      <x:c r="C909" t="str">
        <x:v>Karadeniz</x:v>
      </x:c>
      <x:c r="D909" t="str">
        <x:v>ERZURUM_CI</x:v>
      </x:c>
      <x:c r="E909" t="str">
        <x:v>Fason</x:v>
      </x:c>
      <x:c r="F909" s="42" t="str">
        <x:v>SENTETİK/SİMÜLE — gerçek parti kaydı değildir</x:v>
      </x:c>
      <x:c r="G909" s="38" t="n">
        <x:v>85.697</x:v>
      </x:c>
      <x:c r="H909" s="38" t="n">
        <x:v>14.983</x:v>
      </x:c>
      <x:c r="I909" s="38" t="n">
        <x:v>4.953</x:v>
      </x:c>
      <x:c r="J909" s="38" t="n">
        <x:v>1.649</x:v>
      </x:c>
      <x:c r="K909" s="38" t="n">
        <x:v>0.156</x:v>
      </x:c>
      <x:c r="L909" s="38" t="n">
        <x:f>SUM(G909:K909)</x:f>
        <x:v>107.43800000000002</x:v>
      </x:c>
      <x:c r="M909" s="38" t="n">
        <x:v>140.414</x:v>
      </x:c>
      <x:c r="N909" s="38" t="n">
        <x:v>612.17</x:v>
      </x:c>
      <x:c r="O909" s="38" t="n">
        <x:v>438.88</x:v>
      </x:c>
      <x:c r="P909" s="38" t="n">
        <x:v>669.9</x:v>
      </x:c>
      <x:c r="Q909" s="38" t="n">
        <x:v>19.88</x:v>
      </x:c>
      <x:c r="R909" s="38" t="n">
        <x:v>43.7475</x:v>
      </x:c>
      <x:c r="S909" s="38" t="n">
        <x:v>114.91</x:v>
      </x:c>
      <x:c r="T909" s="40" t="n">
        <x:v>20.47</x:v>
      </x:c>
      <x:c r="U909" s="40" t="n">
        <x:v>1.14</x:v>
      </x:c>
      <x:c r="V909" s="38" t="n">
        <x:f>L909*(1-T909/100)*(1-U909/100)</x:f>
        <x:v>84.47136336804002</x:v>
      </x:c>
      <x:c r="W909" s="38" t="n">
        <x:f>G909*N909</x:f>
        <x:v>52461.132489999996</x:v>
      </x:c>
      <x:c r="X909" s="38" t="n">
        <x:f>H909*O909</x:f>
        <x:v>6575.73904</x:v>
      </x:c>
      <x:c r="Y909" s="38" t="n">
        <x:f>I909*P909</x:f>
        <x:v>3318.0147</x:v>
      </x:c>
      <x:c r="Z909" s="38" t="n">
        <x:f>J909*Q909+K909*P909</x:f>
        <x:v>137.28652</x:v>
      </x:c>
      <x:c r="AA909" s="38" t="n">
        <x:f>M909*R909</x:f>
        <x:v>6142.761465</x:v>
      </x:c>
      <x:c r="AB909" s="38" t="n">
        <x:f>SUM(W909:AA909)</x:f>
        <x:v>68634.934215</x:v>
      </x:c>
      <x:c r="AC909" s="38" t="n">
        <x:v>4.65</x:v>
      </x:c>
      <x:c r="AD909" s="38" t="n">
        <x:v>174.33</x:v>
      </x:c>
      <x:c r="AE909" s="38" t="n">
        <x:v>32.89</x:v>
      </x:c>
      <x:c r="AF909" s="38" t="n">
        <x:v>4.8148</x:v>
      </x:c>
      <x:c r="AG909" s="38" t="n">
        <x:v>5.29</x:v>
      </x:c>
      <x:c r="AH909" s="38" t="n">
        <x:f>IF(E909="Fason",L909*S909,0)</x:f>
        <x:v>12345.700580000002</x:v>
      </x:c>
      <x:c r="AI909" s="38" t="n">
        <x:f>IF(E909="Kurum içi",AC909*AD909+AE909*AF909+AB909*12%,0)</x:f>
        <x:v>0</x:v>
      </x:c>
      <x:c r="AJ909" s="38" t="n">
        <x:f>V909*AG909</x:f>
        <x:v>446.8535122169317</x:v>
      </x:c>
      <x:c r="AK909" s="38" t="n">
        <x:f>AB909*2%</x:f>
        <x:v>1372.6986843</x:v>
      </x:c>
      <x:c r="AL909" s="38" t="n">
        <x:f>AB909+AH909+AI909+AJ909+AK909</x:f>
        <x:v>82800.18699151694</x:v>
      </x:c>
      <x:c r="AM909" s="38" t="n">
        <x:f>AL909/V909</x:f>
        <x:v>980.2160600955167</x:v>
      </x:c>
      <x:c r="AN909" s="40" t="n">
        <x:f>(W909+X909)/AL909*100</x:f>
        <x:v>71.30040845928096</x:v>
      </x:c>
      <x:c r="AO909" s="28" t="str">
        <x:v>R01-R20; ilgili satırdaki bölgesel fiyat ve maliyet varsayımları</x:v>
      </x:c>
      <x:c r="AP909" s="28" t="str">
        <x:v>Girdi miktarları, alım fiyatı değişimi, fason bedeli ve parti sonucu simüle edilmiştir; işletme kaydı değildir.</x:v>
      </x:c>
    </x:row>
    <x:row r="910" ht="22" customHeight="1">
      <x:c r="A910" t="str">
        <x:v>SUC-0909</x:v>
      </x:c>
      <x:c r="B910" s="36" t="n">
        <x:v>46285</x:v>
      </x:c>
      <x:c r="C910" t="str">
        <x:v>Doğu Anadolu</x:v>
      </x:c>
      <x:c r="D910" t="str">
        <x:v>MEB_STANDART</x:v>
      </x:c>
      <x:c r="E910" t="str">
        <x:v>Fason</x:v>
      </x:c>
      <x:c r="F910" s="42" t="str">
        <x:v>SENTETİK/SİMÜLE — gerçek parti kaydı değildir</x:v>
      </x:c>
      <x:c r="G910" s="38" t="n">
        <x:v>205.602</x:v>
      </x:c>
      <x:c r="H910" s="38" t="n">
        <x:v>61.307</x:v>
      </x:c>
      <x:c r="I910" s="38" t="n">
        <x:v>13.164</x:v>
      </x:c>
      <x:c r="J910" s="38" t="n">
        <x:v>7.614</x:v>
      </x:c>
      <x:c r="K910" s="38" t="n">
        <x:v>2.961</x:v>
      </x:c>
      <x:c r="L910" s="38" t="n">
        <x:f>SUM(G910:K910)</x:f>
        <x:v>290.64799999999997</x:v>
      </x:c>
      <x:c r="M910" s="38" t="n">
        <x:v>337.033</x:v>
      </x:c>
      <x:c r="N910" s="38" t="n">
        <x:v>602.43</x:v>
      </x:c>
      <x:c r="O910" s="38" t="n">
        <x:v>418.8</x:v>
      </x:c>
      <x:c r="P910" s="38" t="n">
        <x:v>550</x:v>
      </x:c>
      <x:c r="Q910" s="38" t="n">
        <x:v>19.88</x:v>
      </x:c>
      <x:c r="R910" s="38" t="n">
        <x:v>43.7475</x:v>
      </x:c>
      <x:c r="S910" s="38" t="n">
        <x:v>116.39</x:v>
      </x:c>
      <x:c r="T910" s="40" t="n">
        <x:v>19.99</x:v>
      </x:c>
      <x:c r="U910" s="40" t="n">
        <x:v>0.6</x:v>
      </x:c>
      <x:c r="V910" s="38" t="n">
        <x:f>L910*(1-T910/100)*(1-U910/100)</x:f>
        <x:v>231.15218001119996</x:v>
      </x:c>
      <x:c r="W910" s="38" t="n">
        <x:f>G910*N910</x:f>
        <x:v>123860.81285999999</x:v>
      </x:c>
      <x:c r="X910" s="38" t="n">
        <x:f>H910*O910</x:f>
        <x:v>25675.371600000002</x:v>
      </x:c>
      <x:c r="Y910" s="38" t="n">
        <x:f>I910*P910</x:f>
        <x:v>7240.2</x:v>
      </x:c>
      <x:c r="Z910" s="38" t="n">
        <x:f>J910*Q910+K910*P910</x:f>
        <x:v>1779.91632</x:v>
      </x:c>
      <x:c r="AA910" s="38" t="n">
        <x:f>M910*R910</x:f>
        <x:v>14744.3511675</x:v>
      </x:c>
      <x:c r="AB910" s="38" t="n">
        <x:f>SUM(W910:AA910)</x:f>
        <x:v>173300.65194749998</x:v>
      </x:c>
      <x:c r="AC910" s="38" t="n">
        <x:v>16.66</x:v>
      </x:c>
      <x:c r="AD910" s="38" t="n">
        <x:v>174.33</x:v>
      </x:c>
      <x:c r="AE910" s="38" t="n">
        <x:v>107.83</x:v>
      </x:c>
      <x:c r="AF910" s="38" t="n">
        <x:v>4.8148</x:v>
      </x:c>
      <x:c r="AG910" s="38" t="n">
        <x:v>5.44</x:v>
      </x:c>
      <x:c r="AH910" s="38" t="n">
        <x:f>IF(E910="Fason",L910*S910,0)</x:f>
        <x:v>33828.52071999999</x:v>
      </x:c>
      <x:c r="AI910" s="38" t="n">
        <x:f>IF(E910="Kurum içi",AC910*AD910+AE910*AF910+AB910*12%,0)</x:f>
        <x:v>0</x:v>
      </x:c>
      <x:c r="AJ910" s="38" t="n">
        <x:f>V910*AG910</x:f>
        <x:v>1257.467859260928</x:v>
      </x:c>
      <x:c r="AK910" s="38" t="n">
        <x:f>AB910*2%</x:f>
        <x:v>3466.0130389499996</x:v>
      </x:c>
      <x:c r="AL910" s="38" t="n">
        <x:f>AB910+AH910+AI910+AJ910+AK910</x:f>
        <x:v>211852.65356571093</x:v>
      </x:c>
      <x:c r="AM910" s="38" t="n">
        <x:f>AL910/V910</x:f>
        <x:v>916.5072704719726</x:v>
      </x:c>
      <x:c r="AN910" s="40" t="n">
        <x:f>(W910+X910)/AL910*100</x:f>
        <x:v>70.58499477969387</x:v>
      </x:c>
      <x:c r="AO910" s="28" t="str">
        <x:v>R01-R20; ilgili satırdaki bölgesel fiyat ve maliyet varsayımları</x:v>
      </x:c>
      <x:c r="AP910" s="28" t="str">
        <x:v>Girdi miktarları, alım fiyatı değişimi, fason bedeli ve parti sonucu simüle edilmiştir; işletme kaydı değildir.</x:v>
      </x:c>
    </x:row>
    <x:row r="911" ht="22" customHeight="1">
      <x:c r="A911" t="str">
        <x:v>SUC-0910</x:v>
      </x:c>
      <x:c r="B911" s="36" t="n">
        <x:v>46295</x:v>
      </x:c>
      <x:c r="C911" t="str">
        <x:v>Ege</x:v>
      </x:c>
      <x:c r="D911" t="str">
        <x:v>MEB_STANDART</x:v>
      </x:c>
      <x:c r="E911" t="str">
        <x:v>Fason</x:v>
      </x:c>
      <x:c r="F911" s="42" t="str">
        <x:v>SENTETİK/SİMÜLE — gerçek parti kaydı değildir</x:v>
      </x:c>
      <x:c r="G911" s="38" t="n">
        <x:v>83.554</x:v>
      </x:c>
      <x:c r="H911" s="38" t="n">
        <x:v>26.13</x:v>
      </x:c>
      <x:c r="I911" s="38" t="n">
        <x:v>5.15</x:v>
      </x:c>
      <x:c r="J911" s="38" t="n">
        <x:v>3.115</x:v>
      </x:c>
      <x:c r="K911" s="38" t="n">
        <x:v>1.294</x:v>
      </x:c>
      <x:c r="L911" s="38" t="n">
        <x:f>SUM(G911:K911)</x:f>
        <x:v>119.243</x:v>
      </x:c>
      <x:c r="M911" s="38" t="n">
        <x:v>155.582</x:v>
      </x:c>
      <x:c r="N911" s="38" t="n">
        <x:v>597.71</x:v>
      </x:c>
      <x:c r="O911" s="38" t="n">
        <x:v>481.28</x:v>
      </x:c>
      <x:c r="P911" s="38" t="n">
        <x:v>550</x:v>
      </x:c>
      <x:c r="Q911" s="38" t="n">
        <x:v>19.88</x:v>
      </x:c>
      <x:c r="R911" s="38" t="n">
        <x:v>43.7475</x:v>
      </x:c>
      <x:c r="S911" s="38" t="n">
        <x:v>70.96</x:v>
      </x:c>
      <x:c r="T911" s="40" t="n">
        <x:v>20.6</x:v>
      </x:c>
      <x:c r="U911" s="40" t="n">
        <x:v>0.85</x:v>
      </x:c>
      <x:c r="V911" s="38" t="n">
        <x:f>L911*(1-T911/100)*(1-U911/100)</x:f>
        <x:v>93.874170993</x:v>
      </x:c>
      <x:c r="W911" s="38" t="n">
        <x:f>G911*N911</x:f>
        <x:v>49941.06134000001</x:v>
      </x:c>
      <x:c r="X911" s="38" t="n">
        <x:f>H911*O911</x:f>
        <x:v>12575.846399999999</x:v>
      </x:c>
      <x:c r="Y911" s="38" t="n">
        <x:f>I911*P911</x:f>
        <x:v>2832.5</x:v>
      </x:c>
      <x:c r="Z911" s="38" t="n">
        <x:f>J911*Q911+K911*P911</x:f>
        <x:v>773.6262</x:v>
      </x:c>
      <x:c r="AA911" s="38" t="n">
        <x:f>M911*R911</x:f>
        <x:v>6806.323545</x:v>
      </x:c>
      <x:c r="AB911" s="38" t="n">
        <x:f>SUM(W911:AA911)</x:f>
        <x:v>72929.35748500002</x:v>
      </x:c>
      <x:c r="AC911" s="38" t="n">
        <x:v>4.4</x:v>
      </x:c>
      <x:c r="AD911" s="38" t="n">
        <x:v>174.33</x:v>
      </x:c>
      <x:c r="AE911" s="38" t="n">
        <x:v>29.74</x:v>
      </x:c>
      <x:c r="AF911" s="38" t="n">
        <x:v>4.8148</x:v>
      </x:c>
      <x:c r="AG911" s="38" t="n">
        <x:v>5.55</x:v>
      </x:c>
      <x:c r="AH911" s="38" t="n">
        <x:f>IF(E911="Fason",L911*S911,0)</x:f>
        <x:v>8461.483279999999</x:v>
      </x:c>
      <x:c r="AI911" s="38" t="n">
        <x:f>IF(E911="Kurum içi",AC911*AD911+AE911*AF911+AB911*12%,0)</x:f>
        <x:v>0</x:v>
      </x:c>
      <x:c r="AJ911" s="38" t="n">
        <x:f>V911*AG911</x:f>
        <x:v>521.00164901115</x:v>
      </x:c>
      <x:c r="AK911" s="38" t="n">
        <x:f>AB911*2%</x:f>
        <x:v>1458.5871497000003</x:v>
      </x:c>
      <x:c r="AL911" s="38" t="n">
        <x:f>AB911+AH911+AI911+AJ911+AK911</x:f>
        <x:v>83370.42956371116</x:v>
      </x:c>
      <x:c r="AM911" s="38" t="n">
        <x:f>AL911/V911</x:f>
        <x:v>888.1082909368959</x:v>
      </x:c>
      <x:c r="AN911" s="40" t="n">
        <x:f>(W911+X911)/AL911*100</x:f>
        <x:v>74.98690850839982</x:v>
      </x:c>
      <x:c r="AO911" s="28" t="str">
        <x:v>R01-R20; ilgili satırdaki bölgesel fiyat ve maliyet varsayımları</x:v>
      </x:c>
      <x:c r="AP911" s="28" t="str">
        <x:v>Girdi miktarları, alım fiyatı değişimi, fason bedeli ve parti sonucu simüle edilmiştir; işletme kaydı değildir.</x:v>
      </x:c>
    </x:row>
    <x:row r="912" ht="22" customHeight="1">
      <x:c r="A912" t="str">
        <x:v>SUC-0911</x:v>
      </x:c>
      <x:c r="B912" s="36" t="n">
        <x:v>46310</x:v>
      </x:c>
      <x:c r="C912" t="str">
        <x:v>Akdeniz</x:v>
      </x:c>
      <x:c r="D912" t="str">
        <x:v>ERZURUM_CI</x:v>
      </x:c>
      <x:c r="E912" t="str">
        <x:v>Fason</x:v>
      </x:c>
      <x:c r="F912" s="42" t="str">
        <x:v>SENTETİK/SİMÜLE — gerçek parti kaydı değildir</x:v>
      </x:c>
      <x:c r="G912" s="38" t="n">
        <x:v>306.951</x:v>
      </x:c>
      <x:c r="H912" s="38" t="n">
        <x:v>56.814</x:v>
      </x:c>
      <x:c r="I912" s="38" t="n">
        <x:v>17.109</x:v>
      </x:c>
      <x:c r="J912" s="38" t="n">
        <x:v>5.397</x:v>
      </x:c>
      <x:c r="K912" s="38" t="n">
        <x:v>0.325</x:v>
      </x:c>
      <x:c r="L912" s="38" t="n">
        <x:f>SUM(G912:K912)</x:f>
        <x:v>386.596</x:v>
      </x:c>
      <x:c r="M912" s="38" t="n">
        <x:v>451.757</x:v>
      </x:c>
      <x:c r="N912" s="38" t="n">
        <x:v>604.52</x:v>
      </x:c>
      <x:c r="O912" s="38" t="n">
        <x:v>464.1</x:v>
      </x:c>
      <x:c r="P912" s="38" t="n">
        <x:v>400</x:v>
      </x:c>
      <x:c r="Q912" s="38" t="n">
        <x:v>19.88</x:v>
      </x:c>
      <x:c r="R912" s="38" t="n">
        <x:v>43.7475</x:v>
      </x:c>
      <x:c r="S912" s="38" t="n">
        <x:v>123.57</x:v>
      </x:c>
      <x:c r="T912" s="40" t="n">
        <x:v>15.57</x:v>
      </x:c>
      <x:c r="U912" s="40" t="n">
        <x:v>0.63</x:v>
      </x:c>
      <x:c r="V912" s="38" t="n">
        <x:f>L912*(1-T912/100)*(1-U912/100)</x:f>
        <x:v>324.34666388236</x:v>
      </x:c>
      <x:c r="W912" s="38" t="n">
        <x:f>G912*N912</x:f>
        <x:v>185558.01852</x:v>
      </x:c>
      <x:c r="X912" s="38" t="n">
        <x:f>H912*O912</x:f>
        <x:v>26367.3774</x:v>
      </x:c>
      <x:c r="Y912" s="38" t="n">
        <x:f>I912*P912</x:f>
        <x:v>6843.6</x:v>
      </x:c>
      <x:c r="Z912" s="38" t="n">
        <x:f>J912*Q912+K912*P912</x:f>
        <x:v>237.29236</x:v>
      </x:c>
      <x:c r="AA912" s="38" t="n">
        <x:f>M912*R912</x:f>
        <x:v>19763.239357500002</x:v>
      </x:c>
      <x:c r="AB912" s="38" t="n">
        <x:f>SUM(W912:AA912)</x:f>
        <x:v>238769.52763750002</x:v>
      </x:c>
      <x:c r="AC912" s="38" t="n">
        <x:v>25.33</x:v>
      </x:c>
      <x:c r="AD912" s="38" t="n">
        <x:v>174.33</x:v>
      </x:c>
      <x:c r="AE912" s="38" t="n">
        <x:v>110.91</x:v>
      </x:c>
      <x:c r="AF912" s="38" t="n">
        <x:v>4.8148</x:v>
      </x:c>
      <x:c r="AG912" s="38" t="n">
        <x:v>5.7</x:v>
      </x:c>
      <x:c r="AH912" s="38" t="n">
        <x:f>IF(E912="Fason",L912*S912,0)</x:f>
        <x:v>47771.66772</x:v>
      </x:c>
      <x:c r="AI912" s="38" t="n">
        <x:f>IF(E912="Kurum içi",AC912*AD912+AE912*AF912+AB912*12%,0)</x:f>
        <x:v>0</x:v>
      </x:c>
      <x:c r="AJ912" s="38" t="n">
        <x:f>V912*AG912</x:f>
        <x:v>1848.7759841294521</x:v>
      </x:c>
      <x:c r="AK912" s="38" t="n">
        <x:f>AB912*2%</x:f>
        <x:v>4775.390552750001</x:v>
      </x:c>
      <x:c r="AL912" s="38" t="n">
        <x:f>AB912+AH912+AI912+AJ912+AK912</x:f>
        <x:v>293165.3618943794</x:v>
      </x:c>
      <x:c r="AM912" s="38" t="n">
        <x:f>AL912/V912</x:f>
        <x:v>903.8642740617489</x:v>
      </x:c>
      <x:c r="AN912" s="40" t="n">
        <x:f>(W912+X912)/AL912*100</x:f>
        <x:v>72.28868872863355</x:v>
      </x:c>
      <x:c r="AO912" s="28" t="str">
        <x:v>R01-R20; ilgili satırdaki bölgesel fiyat ve maliyet varsayımları</x:v>
      </x:c>
      <x:c r="AP912" s="28" t="str">
        <x:v>Girdi miktarları, alım fiyatı değişimi, fason bedeli ve parti sonucu simüle edilmiştir; işletme kaydı değildir.</x:v>
      </x:c>
    </x:row>
    <x:row r="913" ht="22" customHeight="1">
      <x:c r="A913" t="str">
        <x:v>SUC-0912</x:v>
      </x:c>
      <x:c r="B913" s="36" t="n">
        <x:v>46277</x:v>
      </x:c>
      <x:c r="C913" t="str">
        <x:v>İç Anadolu</x:v>
      </x:c>
      <x:c r="D913" t="str">
        <x:v>ERZURUM_CI</x:v>
      </x:c>
      <x:c r="E913" t="str">
        <x:v>Kurum içi</x:v>
      </x:c>
      <x:c r="F913" s="42" t="str">
        <x:v>SENTETİK/SİMÜLE — gerçek parti kaydı değildir</x:v>
      </x:c>
      <x:c r="G913" s="38" t="n">
        <x:v>378.004</x:v>
      </x:c>
      <x:c r="H913" s="38" t="n">
        <x:v>69.061</x:v>
      </x:c>
      <x:c r="I913" s="38" t="n">
        <x:v>21.777</x:v>
      </x:c>
      <x:c r="J913" s="38" t="n">
        <x:v>7.119</x:v>
      </x:c>
      <x:c r="K913" s="38" t="n">
        <x:v>0.306</x:v>
      </x:c>
      <x:c r="L913" s="38" t="n">
        <x:f>SUM(G913:K913)</x:f>
        <x:v>476.267</x:v>
      </x:c>
      <x:c r="M913" s="38" t="n">
        <x:v>571.406</x:v>
      </x:c>
      <x:c r="N913" s="38" t="n">
        <x:v>600.78</x:v>
      </x:c>
      <x:c r="O913" s="38" t="n">
        <x:v>421.93</x:v>
      </x:c>
      <x:c r="P913" s="38" t="n">
        <x:v>550</x:v>
      </x:c>
      <x:c r="Q913" s="38" t="n">
        <x:v>19.88</x:v>
      </x:c>
      <x:c r="R913" s="38" t="n">
        <x:v>43.7475</x:v>
      </x:c>
      <x:c r="S913" s="38" t="n">
        <x:v>109.52</x:v>
      </x:c>
      <x:c r="T913" s="40" t="n">
        <x:v>17.07</x:v>
      </x:c>
      <x:c r="U913" s="40" t="n">
        <x:v>0.99</x:v>
      </x:c>
      <x:c r="V913" s="38" t="n">
        <x:f>L913*(1-T913/100)*(1-U913/100)</x:f>
        <x:v>391.05803769131</x:v>
      </x:c>
      <x:c r="W913" s="38" t="n">
        <x:f>G913*N913</x:f>
        <x:v>227097.24312</x:v>
      </x:c>
      <x:c r="X913" s="38" t="n">
        <x:f>H913*O913</x:f>
        <x:v>29138.907730000003</x:v>
      </x:c>
      <x:c r="Y913" s="38" t="n">
        <x:f>I913*P913</x:f>
        <x:v>11977.35</x:v>
      </x:c>
      <x:c r="Z913" s="38" t="n">
        <x:f>J913*Q913+K913*P913</x:f>
        <x:v>309.82571999999993</x:v>
      </x:c>
      <x:c r="AA913" s="38" t="n">
        <x:f>M913*R913</x:f>
        <x:v>24997.583984999997</x:v>
      </x:c>
      <x:c r="AB913" s="38" t="n">
        <x:f>SUM(W913:AA913)</x:f>
        <x:v>293520.910555</x:v>
      </x:c>
      <x:c r="AC913" s="38" t="n">
        <x:v>32.38</x:v>
      </x:c>
      <x:c r="AD913" s="38" t="n">
        <x:v>174.33</x:v>
      </x:c>
      <x:c r="AE913" s="38" t="n">
        <x:v>139.6</x:v>
      </x:c>
      <x:c r="AF913" s="38" t="n">
        <x:v>4.8148</x:v>
      </x:c>
      <x:c r="AG913" s="38" t="n">
        <x:v>5.56</x:v>
      </x:c>
      <x:c r="AH913" s="38" t="n">
        <x:f>IF(E913="Fason",L913*S913,0)</x:f>
        <x:v>0</x:v>
      </x:c>
      <x:c r="AI913" s="38" t="n">
        <x:f>IF(E913="Kurum içi",AC913*AD913+AE913*AF913+AB913*12%,0)</x:f>
        <x:v>41539.4607466</x:v>
      </x:c>
      <x:c r="AJ913" s="38" t="n">
        <x:f>V913*AG913</x:f>
        <x:v>2174.2826895636836</x:v>
      </x:c>
      <x:c r="AK913" s="38" t="n">
        <x:f>AB913*2%</x:f>
        <x:v>5870.4182111</x:v>
      </x:c>
      <x:c r="AL913" s="38" t="n">
        <x:f>AB913+AH913+AI913+AJ913+AK913</x:f>
        <x:v>343105.0722022637</x:v>
      </x:c>
      <x:c r="AM913" s="38" t="n">
        <x:f>AL913/V913</x:f>
        <x:v>877.3763460479004</x:v>
      </x:c>
      <x:c r="AN913" s="40" t="n">
        <x:f>(W913+X913)/AL913*100</x:f>
        <x:v>74.68153974096494</x:v>
      </x:c>
      <x:c r="AO913" s="28" t="str">
        <x:v>R01-R20; ilgili satırdaki bölgesel fiyat ve maliyet varsayımları</x:v>
      </x:c>
      <x:c r="AP913" s="28" t="str">
        <x:v>Girdi miktarları, alım fiyatı değişimi, fason bedeli ve parti sonucu simüle edilmiştir; işletme kaydı değildir.</x:v>
      </x:c>
    </x:row>
    <x:row r="914" ht="22" customHeight="1">
      <x:c r="A914" t="str">
        <x:v>SUC-0913</x:v>
      </x:c>
      <x:c r="B914" s="36" t="n">
        <x:v>46293</x:v>
      </x:c>
      <x:c r="C914" t="str">
        <x:v>Ege</x:v>
      </x:c>
      <x:c r="D914" t="str">
        <x:v>MEB_STANDART</x:v>
      </x:c>
      <x:c r="E914" t="str">
        <x:v>Kurum içi</x:v>
      </x:c>
      <x:c r="F914" s="42" t="str">
        <x:v>SENTETİK/SİMÜLE — gerçek parti kaydı değildir</x:v>
      </x:c>
      <x:c r="G914" s="38" t="n">
        <x:v>338.988</x:v>
      </x:c>
      <x:c r="H914" s="38" t="n">
        <x:v>108.518</x:v>
      </x:c>
      <x:c r="I914" s="38" t="n">
        <x:v>21.096</x:v>
      </x:c>
      <x:c r="J914" s="38" t="n">
        <x:v>11.314</x:v>
      </x:c>
      <x:c r="K914" s="38" t="n">
        <x:v>4.867</x:v>
      </x:c>
      <x:c r="L914" s="38" t="n">
        <x:f>SUM(G914:K914)</x:f>
        <x:v>484.783</x:v>
      </x:c>
      <x:c r="M914" s="38" t="n">
        <x:v>601.994</x:v>
      </x:c>
      <x:c r="N914" s="38" t="n">
        <x:v>606.93</x:v>
      </x:c>
      <x:c r="O914" s="38" t="n">
        <x:v>476.37</x:v>
      </x:c>
      <x:c r="P914" s="38" t="n">
        <x:v>550</x:v>
      </x:c>
      <x:c r="Q914" s="38" t="n">
        <x:v>19.88</x:v>
      </x:c>
      <x:c r="R914" s="38" t="n">
        <x:v>43.7475</x:v>
      </x:c>
      <x:c r="S914" s="38" t="n">
        <x:v>115.39</x:v>
      </x:c>
      <x:c r="T914" s="40" t="n">
        <x:v>24.29</x:v>
      </x:c>
      <x:c r="U914" s="40" t="n">
        <x:v>0.5</x:v>
      </x:c>
      <x:c r="V914" s="38" t="n">
        <x:f>L914*(1-T914/100)*(1-U914/100)</x:f>
        <x:v>365.19406325349996</x:v>
      </x:c>
      <x:c r="W914" s="38" t="n">
        <x:f>G914*N914</x:f>
        <x:v>205741.98683999997</x:v>
      </x:c>
      <x:c r="X914" s="38" t="n">
        <x:f>H914*O914</x:f>
        <x:v>51694.71966</x:v>
      </x:c>
      <x:c r="Y914" s="38" t="n">
        <x:f>I914*P914</x:f>
        <x:v>11602.8</x:v>
      </x:c>
      <x:c r="Z914" s="38" t="n">
        <x:f>J914*Q914+K914*P914</x:f>
        <x:v>2901.77232</x:v>
      </x:c>
      <x:c r="AA914" s="38" t="n">
        <x:f>M914*R914</x:f>
        <x:v>26335.732515000003</x:v>
      </x:c>
      <x:c r="AB914" s="38" t="n">
        <x:f>SUM(W914:AA914)</x:f>
        <x:v>298277.01133499993</x:v>
      </x:c>
      <x:c r="AC914" s="38" t="n">
        <x:v>33.4</x:v>
      </x:c>
      <x:c r="AD914" s="38" t="n">
        <x:v>174.33</x:v>
      </x:c>
      <x:c r="AE914" s="38" t="n">
        <x:v>203.91</x:v>
      </x:c>
      <x:c r="AF914" s="38" t="n">
        <x:v>4.8148</x:v>
      </x:c>
      <x:c r="AG914" s="38" t="n">
        <x:v>5.73</x:v>
      </x:c>
      <x:c r="AH914" s="38" t="n">
        <x:f>IF(E914="Fason",L914*S914,0)</x:f>
        <x:v>0</x:v>
      </x:c>
      <x:c r="AI914" s="38" t="n">
        <x:f>IF(E914="Kurum içi",AC914*AD914+AE914*AF914+AB914*12%,0)</x:f>
        <x:v>42597.64922819999</x:v>
      </x:c>
      <x:c r="AJ914" s="38" t="n">
        <x:f>V914*AG914</x:f>
        <x:v>2092.561982442555</x:v>
      </x:c>
      <x:c r="AK914" s="38" t="n">
        <x:f>AB914*2%</x:f>
        <x:v>5965.540226699999</x:v>
      </x:c>
      <x:c r="AL914" s="38" t="n">
        <x:f>AB914+AH914+AI914+AJ914+AK914</x:f>
        <x:v>348932.7627723425</x:v>
      </x:c>
      <x:c r="AM914" s="38" t="n">
        <x:f>AL914/V914</x:f>
        <x:v>955.4721663975417</x:v>
      </x:c>
      <x:c r="AN914" s="40" t="n">
        <x:f>(W914+X914)/AL914*100</x:f>
        <x:v>73.77831317833626</x:v>
      </x:c>
      <x:c r="AO914" s="28" t="str">
        <x:v>R01-R20; ilgili satırdaki bölgesel fiyat ve maliyet varsayımları</x:v>
      </x:c>
      <x:c r="AP914" s="28" t="str">
        <x:v>Girdi miktarları, alım fiyatı değişimi, fason bedeli ve parti sonucu simüle edilmiştir; işletme kaydı değildir.</x:v>
      </x:c>
    </x:row>
    <x:row r="915" ht="22" customHeight="1">
      <x:c r="A915" t="str">
        <x:v>SUC-0914</x:v>
      </x:c>
      <x:c r="B915" s="36" t="n">
        <x:v>46268</x:v>
      </x:c>
      <x:c r="C915" t="str">
        <x:v>Doğu Anadolu</x:v>
      </x:c>
      <x:c r="D915" t="str">
        <x:v>ERZURUM_CI</x:v>
      </x:c>
      <x:c r="E915" t="str">
        <x:v>Kurum içi</x:v>
      </x:c>
      <x:c r="F915" s="42" t="str">
        <x:v>SENTETİK/SİMÜLE — gerçek parti kaydı değildir</x:v>
      </x:c>
      <x:c r="G915" s="38" t="n">
        <x:v>332.417</x:v>
      </x:c>
      <x:c r="H915" s="38" t="n">
        <x:v>55.316</x:v>
      </x:c>
      <x:c r="I915" s="38" t="n">
        <x:v>20.033</x:v>
      </x:c>
      <x:c r="J915" s="38" t="n">
        <x:v>5.996</x:v>
      </x:c>
      <x:c r="K915" s="38" t="n">
        <x:v>0.8</x:v>
      </x:c>
      <x:c r="L915" s="38" t="n">
        <x:f>SUM(G915:K915)</x:f>
        <x:v>414.56199999999995</x:v>
      </x:c>
      <x:c r="M915" s="38" t="n">
        <x:v>540.291</x:v>
      </x:c>
      <x:c r="N915" s="38" t="n">
        <x:v>607.03</x:v>
      </x:c>
      <x:c r="O915" s="38" t="n">
        <x:v>445.44</x:v>
      </x:c>
      <x:c r="P915" s="38" t="n">
        <x:v>550</x:v>
      </x:c>
      <x:c r="Q915" s="38" t="n">
        <x:v>19.88</x:v>
      </x:c>
      <x:c r="R915" s="38" t="n">
        <x:v>43.7475</x:v>
      </x:c>
      <x:c r="S915" s="38" t="n">
        <x:v>71.67</x:v>
      </x:c>
      <x:c r="T915" s="40" t="n">
        <x:v>24.67</x:v>
      </x:c>
      <x:c r="U915" s="40" t="n">
        <x:v>1.5</x:v>
      </x:c>
      <x:c r="V915" s="38" t="n">
        <x:f>L915*(1-T915/100)*(1-U915/100)</x:f>
        <x:v>307.605211281</x:v>
      </x:c>
      <x:c r="W915" s="38" t="n">
        <x:f>G915*N915</x:f>
        <x:v>201787.09150999997</x:v>
      </x:c>
      <x:c r="X915" s="38" t="n">
        <x:f>H915*O915</x:f>
        <x:v>24639.95904</x:v>
      </x:c>
      <x:c r="Y915" s="38" t="n">
        <x:f>I915*P915</x:f>
        <x:v>11018.150000000001</x:v>
      </x:c>
      <x:c r="Z915" s="38" t="n">
        <x:f>J915*Q915+K915*P915</x:f>
        <x:v>559.20048</x:v>
      </x:c>
      <x:c r="AA915" s="38" t="n">
        <x:f>M915*R915</x:f>
        <x:v>23636.380522500003</x:v>
      </x:c>
      <x:c r="AB915" s="38" t="n">
        <x:f>SUM(W915:AA915)</x:f>
        <x:v>261640.78155249998</x:v>
      </x:c>
      <x:c r="AC915" s="38" t="n">
        <x:v>20.4</x:v>
      </x:c>
      <x:c r="AD915" s="38" t="n">
        <x:v>174.33</x:v>
      </x:c>
      <x:c r="AE915" s="38" t="n">
        <x:v>170.88</x:v>
      </x:c>
      <x:c r="AF915" s="38" t="n">
        <x:v>4.8148</x:v>
      </x:c>
      <x:c r="AG915" s="38" t="n">
        <x:v>5.59</x:v>
      </x:c>
      <x:c r="AH915" s="38" t="n">
        <x:f>IF(E915="Fason",L915*S915,0)</x:f>
        <x:v>0</x:v>
      </x:c>
      <x:c r="AI915" s="38" t="n">
        <x:f>IF(E915="Kurum içi",AC915*AD915+AE915*AF915+AB915*12%,0)</x:f>
        <x:v>35775.978810299996</x:v>
      </x:c>
      <x:c r="AJ915" s="38" t="n">
        <x:f>V915*AG915</x:f>
        <x:v>1719.5131310607899</x:v>
      </x:c>
      <x:c r="AK915" s="38" t="n">
        <x:f>AB915*2%</x:f>
        <x:v>5232.81563105</x:v>
      </x:c>
      <x:c r="AL915" s="38" t="n">
        <x:f>AB915+AH915+AI915+AJ915+AK915</x:f>
        <x:v>304369.08912491077</x:v>
      </x:c>
      <x:c r="AM915" s="38" t="n">
        <x:f>AL915/V915</x:f>
        <x:v>989.4796250602758</x:v>
      </x:c>
      <x:c r="AN915" s="40" t="n">
        <x:f>(W915+X915)/AL915*100</x:f>
        <x:v>74.39226210552414</x:v>
      </x:c>
      <x:c r="AO915" s="28" t="str">
        <x:v>R01-R20; ilgili satırdaki bölgesel fiyat ve maliyet varsayımları</x:v>
      </x:c>
      <x:c r="AP915" s="28" t="str">
        <x:v>Girdi miktarları, alım fiyatı değişimi, fason bedeli ve parti sonucu simüle edilmiştir; işletme kaydı değildir.</x:v>
      </x:c>
    </x:row>
    <x:row r="916" ht="22" customHeight="1">
      <x:c r="A916" t="str">
        <x:v>SUC-0915</x:v>
      </x:c>
      <x:c r="B916" s="36" t="n">
        <x:v>46297</x:v>
      </x:c>
      <x:c r="C916" t="str">
        <x:v>Akdeniz</x:v>
      </x:c>
      <x:c r="D916" t="str">
        <x:v>MEB_STANDART</x:v>
      </x:c>
      <x:c r="E916" t="str">
        <x:v>Kurum içi</x:v>
      </x:c>
      <x:c r="F916" s="42" t="str">
        <x:v>SENTETİK/SİMÜLE — gerçek parti kaydı değildir</x:v>
      </x:c>
      <x:c r="G916" s="38" t="n">
        <x:v>129.577</x:v>
      </x:c>
      <x:c r="H916" s="38" t="n">
        <x:v>39.573</x:v>
      </x:c>
      <x:c r="I916" s="38" t="n">
        <x:v>8.576</x:v>
      </x:c>
      <x:c r="J916" s="38" t="n">
        <x:v>4.793</x:v>
      </x:c>
      <x:c r="K916" s="38" t="n">
        <x:v>1.652</x:v>
      </x:c>
      <x:c r="L916" s="38" t="n">
        <x:f>SUM(G916:K916)</x:f>
        <x:v>184.171</x:v>
      </x:c>
      <x:c r="M916" s="38" t="n">
        <x:v>243.706</x:v>
      </x:c>
      <x:c r="N916" s="38" t="n">
        <x:v>573.22</x:v>
      </x:c>
      <x:c r="O916" s="38" t="n">
        <x:v>421.35</x:v>
      </x:c>
      <x:c r="P916" s="38" t="n">
        <x:v>669.9</x:v>
      </x:c>
      <x:c r="Q916" s="38" t="n">
        <x:v>19.88</x:v>
      </x:c>
      <x:c r="R916" s="38" t="n">
        <x:v>43.7475</x:v>
      </x:c>
      <x:c r="S916" s="38" t="n">
        <x:v>84.52</x:v>
      </x:c>
      <x:c r="T916" s="40" t="n">
        <x:v>30.56</x:v>
      </x:c>
      <x:c r="U916" s="40" t="n">
        <x:v>1.29</x:v>
      </x:c>
      <x:c r="V916" s="38" t="n">
        <x:f>L916*(1-T916/100)*(1-U916/100)</x:f>
        <x:v>126.23858278304</x:v>
      </x:c>
      <x:c r="W916" s="38" t="n">
        <x:f>G916*N916</x:f>
        <x:v>74276.12794</x:v>
      </x:c>
      <x:c r="X916" s="38" t="n">
        <x:f>H916*O916</x:f>
        <x:v>16674.08355</x:v>
      </x:c>
      <x:c r="Y916" s="38" t="n">
        <x:f>I916*P916</x:f>
        <x:v>5745.0624</x:v>
      </x:c>
      <x:c r="Z916" s="38" t="n">
        <x:f>J916*Q916+K916*P916</x:f>
        <x:v>1201.95964</x:v>
      </x:c>
      <x:c r="AA916" s="38" t="n">
        <x:f>M916*R916</x:f>
        <x:v>10661.528235</x:v>
      </x:c>
      <x:c r="AB916" s="38" t="n">
        <x:f>SUM(W916:AA916)</x:f>
        <x:v>108558.761765</x:v>
      </x:c>
      <x:c r="AC916" s="38" t="n">
        <x:v>6.63</x:v>
      </x:c>
      <x:c r="AD916" s="38" t="n">
        <x:v>174.33</x:v>
      </x:c>
      <x:c r="AE916" s="38" t="n">
        <x:v>78.25</x:v>
      </x:c>
      <x:c r="AF916" s="38" t="n">
        <x:v>4.8148</x:v>
      </x:c>
      <x:c r="AG916" s="38" t="n">
        <x:v>5.72</x:v>
      </x:c>
      <x:c r="AH916" s="38" t="n">
        <x:f>IF(E916="Fason",L916*S916,0)</x:f>
        <x:v>0</x:v>
      </x:c>
      <x:c r="AI916" s="38" t="n">
        <x:f>IF(E916="Kurum içi",AC916*AD916+AE916*AF916+AB916*12%,0)</x:f>
        <x:v>14559.6174118</x:v>
      </x:c>
      <x:c r="AJ916" s="38" t="n">
        <x:f>V916*AG916</x:f>
        <x:v>722.0846935189887</x:v>
      </x:c>
      <x:c r="AK916" s="38" t="n">
        <x:f>AB916*2%</x:f>
        <x:v>2171.1752353</x:v>
      </x:c>
      <x:c r="AL916" s="38" t="n">
        <x:f>AB916+AH916+AI916+AJ916+AK916</x:f>
        <x:v>126011.639105619</x:v>
      </x:c>
      <x:c r="AM916" s="38" t="n">
        <x:f>AL916/V916</x:f>
        <x:v>998.2022637420523</x:v>
      </x:c>
      <x:c r="AN916" s="40" t="n">
        <x:f>(W916+X916)/AL916*100</x:f>
        <x:v>72.1760403527236</x:v>
      </x:c>
      <x:c r="AO916" s="28" t="str">
        <x:v>R01-R20; ilgili satırdaki bölgesel fiyat ve maliyet varsayımları</x:v>
      </x:c>
      <x:c r="AP916" s="28" t="str">
        <x:v>Girdi miktarları, alım fiyatı değişimi, fason bedeli ve parti sonucu simüle edilmiştir; işletme kaydı değildir.</x:v>
      </x:c>
    </x:row>
    <x:row r="917" ht="22" customHeight="1">
      <x:c r="A917" t="str">
        <x:v>SUC-0916</x:v>
      </x:c>
      <x:c r="B917" s="36" t="n">
        <x:v>46315</x:v>
      </x:c>
      <x:c r="C917" t="str">
        <x:v>Akdeniz</x:v>
      </x:c>
      <x:c r="D917" t="str">
        <x:v>ERZURUM_CI</x:v>
      </x:c>
      <x:c r="E917" t="str">
        <x:v>Kurum içi</x:v>
      </x:c>
      <x:c r="F917" s="42" t="str">
        <x:v>SENTETİK/SİMÜLE — gerçek parti kaydı değildir</x:v>
      </x:c>
      <x:c r="G917" s="38" t="n">
        <x:v>100.403</x:v>
      </x:c>
      <x:c r="H917" s="38" t="n">
        <x:v>17.138</x:v>
      </x:c>
      <x:c r="I917" s="38" t="n">
        <x:v>5.717</x:v>
      </x:c>
      <x:c r="J917" s="38" t="n">
        <x:v>1.916</x:v>
      </x:c>
      <x:c r="K917" s="38" t="n">
        <x:v>0.207</x:v>
      </x:c>
      <x:c r="L917" s="38" t="n">
        <x:f>SUM(G917:K917)</x:f>
        <x:v>125.381</x:v>
      </x:c>
      <x:c r="M917" s="38" t="n">
        <x:v>160.22</x:v>
      </x:c>
      <x:c r="N917" s="38" t="n">
        <x:v>606.09</x:v>
      </x:c>
      <x:c r="O917" s="38" t="n">
        <x:v>480.89</x:v>
      </x:c>
      <x:c r="P917" s="38" t="n">
        <x:v>550</x:v>
      </x:c>
      <x:c r="Q917" s="38" t="n">
        <x:v>19.88</x:v>
      </x:c>
      <x:c r="R917" s="38" t="n">
        <x:v>43.7475</x:v>
      </x:c>
      <x:c r="S917" s="38" t="n">
        <x:v>106.81</x:v>
      </x:c>
      <x:c r="T917" s="40" t="n">
        <x:v>18.94</x:v>
      </x:c>
      <x:c r="U917" s="40" t="n">
        <x:v>1.08</x:v>
      </x:c>
      <x:c r="V917" s="38" t="n">
        <x:f>L917*(1-T917/100)*(1-U917/100)</x:f>
        <x:v>100.53619314312</x:v>
      </x:c>
      <x:c r="W917" s="38" t="n">
        <x:f>G917*N917</x:f>
        <x:v>60853.254270000005</x:v>
      </x:c>
      <x:c r="X917" s="38" t="n">
        <x:f>H917*O917</x:f>
        <x:v>8241.492820000001</x:v>
      </x:c>
      <x:c r="Y917" s="38" t="n">
        <x:f>I917*P917</x:f>
        <x:v>3144.35</x:v>
      </x:c>
      <x:c r="Z917" s="38" t="n">
        <x:f>J917*Q917+K917*P917</x:f>
        <x:v>151.94008</x:v>
      </x:c>
      <x:c r="AA917" s="38" t="n">
        <x:f>M917*R917</x:f>
        <x:v>7009.224450000001</x:v>
      </x:c>
      <x:c r="AB917" s="38" t="n">
        <x:f>SUM(W917:AA917)</x:f>
        <x:v>79400.26162</x:v>
      </x:c>
      <x:c r="AC917" s="38" t="n">
        <x:v>8.21</x:v>
      </x:c>
      <x:c r="AD917" s="38" t="n">
        <x:v>174.33</x:v>
      </x:c>
      <x:c r="AE917" s="38" t="n">
        <x:v>56.34</x:v>
      </x:c>
      <x:c r="AF917" s="38" t="n">
        <x:v>4.8148</x:v>
      </x:c>
      <x:c r="AG917" s="38" t="n">
        <x:v>5.79</x:v>
      </x:c>
      <x:c r="AH917" s="38" t="n">
        <x:f>IF(E917="Fason",L917*S917,0)</x:f>
        <x:v>0</x:v>
      </x:c>
      <x:c r="AI917" s="38" t="n">
        <x:f>IF(E917="Kurum içi",AC917*AD917+AE917*AF917+AB917*12%,0)</x:f>
        <x:v>11230.546526400001</x:v>
      </x:c>
      <x:c r="AJ917" s="38" t="n">
        <x:f>V917*AG917</x:f>
        <x:v>582.1045582986649</x:v>
      </x:c>
      <x:c r="AK917" s="38" t="n">
        <x:f>AB917*2%</x:f>
        <x:v>1588.0052324</x:v>
      </x:c>
      <x:c r="AL917" s="38" t="n">
        <x:f>AB917+AH917+AI917+AJ917+AK917</x:f>
        <x:v>92800.91793709867</x:v>
      </x:c>
      <x:c r="AM917" s="38" t="n">
        <x:f>AL917/V917</x:f>
        <x:v>923.0597960377348</x:v>
      </x:c>
      <x:c r="AN917" s="40" t="n">
        <x:f>(W917+X917)/AL917*100</x:f>
        <x:v>74.45480995870436</x:v>
      </x:c>
      <x:c r="AO917" s="28" t="str">
        <x:v>R01-R20; ilgili satırdaki bölgesel fiyat ve maliyet varsayımları</x:v>
      </x:c>
      <x:c r="AP917" s="28" t="str">
        <x:v>Girdi miktarları, alım fiyatı değişimi, fason bedeli ve parti sonucu simüle edilmiştir; işletme kaydı değildir.</x:v>
      </x:c>
    </x:row>
    <x:row r="918" ht="22" customHeight="1">
      <x:c r="A918" t="str">
        <x:v>SUC-0917</x:v>
      </x:c>
      <x:c r="B918" s="36" t="n">
        <x:v>46270</x:v>
      </x:c>
      <x:c r="C918" t="str">
        <x:v>Doğu Anadolu</x:v>
      </x:c>
      <x:c r="D918" t="str">
        <x:v>MEB_STANDART</x:v>
      </x:c>
      <x:c r="E918" t="str">
        <x:v>Kurum içi</x:v>
      </x:c>
      <x:c r="F918" s="42" t="str">
        <x:v>SENTETİK/SİMÜLE — gerçek parti kaydı değildir</x:v>
      </x:c>
      <x:c r="G918" s="38" t="n">
        <x:v>167.572</x:v>
      </x:c>
      <x:c r="H918" s="38" t="n">
        <x:v>54.672</x:v>
      </x:c>
      <x:c r="I918" s="38" t="n">
        <x:v>10.302</x:v>
      </x:c>
      <x:c r="J918" s="38" t="n">
        <x:v>5.571</x:v>
      </x:c>
      <x:c r="K918" s="38" t="n">
        <x:v>2.247</x:v>
      </x:c>
      <x:c r="L918" s="38" t="n">
        <x:f>SUM(G918:K918)</x:f>
        <x:v>240.36399999999998</x:v>
      </x:c>
      <x:c r="M918" s="38" t="n">
        <x:v>303.776</x:v>
      </x:c>
      <x:c r="N918" s="38" t="n">
        <x:v>607.48</x:v>
      </x:c>
      <x:c r="O918" s="38" t="n">
        <x:v>420.64</x:v>
      </x:c>
      <x:c r="P918" s="38" t="n">
        <x:v>669.9</x:v>
      </x:c>
      <x:c r="Q918" s="38" t="n">
        <x:v>19.88</x:v>
      </x:c>
      <x:c r="R918" s="38" t="n">
        <x:v>43.7475</x:v>
      </x:c>
      <x:c r="S918" s="38" t="n">
        <x:v>117.38</x:v>
      </x:c>
      <x:c r="T918" s="40" t="n">
        <x:v>18.23</x:v>
      </x:c>
      <x:c r="U918" s="40" t="n">
        <x:v>0.62</x:v>
      </x:c>
      <x:c r="V918" s="38" t="n">
        <x:f>L918*(1-T918/100)*(1-U918/100)</x:f>
        <x:v>195.32705981463997</x:v>
      </x:c>
      <x:c r="W918" s="38" t="n">
        <x:f>G918*N918</x:f>
        <x:v>101796.63856</x:v>
      </x:c>
      <x:c r="X918" s="38" t="n">
        <x:f>H918*O918</x:f>
        <x:v>22997.230079999998</x:v>
      </x:c>
      <x:c r="Y918" s="38" t="n">
        <x:f>I918*P918</x:f>
        <x:v>6901.309799999999</x:v>
      </x:c>
      <x:c r="Z918" s="38" t="n">
        <x:f>J918*Q918+K918*P918</x:f>
        <x:v>1616.0167799999997</x:v>
      </x:c>
      <x:c r="AA918" s="38" t="n">
        <x:f>M918*R918</x:f>
        <x:v>13289.440560000001</x:v>
      </x:c>
      <x:c r="AB918" s="38" t="n">
        <x:f>SUM(W918:AA918)</x:f>
        <x:v>146600.63577999998</x:v>
      </x:c>
      <x:c r="AC918" s="38" t="n">
        <x:v>14.2</x:v>
      </x:c>
      <x:c r="AD918" s="38" t="n">
        <x:v>174.33</x:v>
      </x:c>
      <x:c r="AE918" s="38" t="n">
        <x:v>65</x:v>
      </x:c>
      <x:c r="AF918" s="38" t="n">
        <x:v>4.8148</x:v>
      </x:c>
      <x:c r="AG918" s="38" t="n">
        <x:v>5.84</x:v>
      </x:c>
      <x:c r="AH918" s="38" t="n">
        <x:f>IF(E918="Fason",L918*S918,0)</x:f>
        <x:v>0</x:v>
      </x:c>
      <x:c r="AI918" s="38" t="n">
        <x:f>IF(E918="Kurum içi",AC918*AD918+AE918*AF918+AB918*12%,0)</x:f>
        <x:v>20380.524293599996</x:v>
      </x:c>
      <x:c r="AJ918" s="38" t="n">
        <x:f>V918*AG918</x:f>
        <x:v>1140.7100293174974</x:v>
      </x:c>
      <x:c r="AK918" s="38" t="n">
        <x:f>AB918*2%</x:f>
        <x:v>2932.0127156</x:v>
      </x:c>
      <x:c r="AL918" s="38" t="n">
        <x:f>AB918+AH918+AI918+AJ918+AK918</x:f>
        <x:v>171053.88281851748</x:v>
      </x:c>
      <x:c r="AM918" s="38" t="n">
        <x:f>AL918/V918</x:f>
        <x:v>875.7305975979106</x:v>
      </x:c>
      <x:c r="AN918" s="40" t="n">
        <x:f>(W918+X918)/AL918*100</x:f>
        <x:v>72.95588184478815</x:v>
      </x:c>
      <x:c r="AO918" s="28" t="str">
        <x:v>R01-R20; ilgili satırdaki bölgesel fiyat ve maliyet varsayımları</x:v>
      </x:c>
      <x:c r="AP918" s="28" t="str">
        <x:v>Girdi miktarları, alım fiyatı değişimi, fason bedeli ve parti sonucu simüle edilmiştir; işletme kaydı değildir.</x:v>
      </x:c>
    </x:row>
    <x:row r="919" ht="22" customHeight="1">
      <x:c r="A919" t="str">
        <x:v>SUC-0918</x:v>
      </x:c>
      <x:c r="B919" s="36" t="n">
        <x:v>46273</x:v>
      </x:c>
      <x:c r="C919" t="str">
        <x:v>Karadeniz</x:v>
      </x:c>
      <x:c r="D919" t="str">
        <x:v>MEB_STANDART</x:v>
      </x:c>
      <x:c r="E919" t="str">
        <x:v>Fason</x:v>
      </x:c>
      <x:c r="F919" s="42" t="str">
        <x:v>SENTETİK/SİMÜLE — gerçek parti kaydı değildir</x:v>
      </x:c>
      <x:c r="G919" s="38" t="n">
        <x:v>278.012</x:v>
      </x:c>
      <x:c r="H919" s="38" t="n">
        <x:v>86.607</x:v>
      </x:c>
      <x:c r="I919" s="38" t="n">
        <x:v>17.017</x:v>
      </x:c>
      <x:c r="J919" s="38" t="n">
        <x:v>10.556</x:v>
      </x:c>
      <x:c r="K919" s="38" t="n">
        <x:v>4.501</x:v>
      </x:c>
      <x:c r="L919" s="38" t="n">
        <x:f>SUM(G919:K919)</x:f>
        <x:v>396.693</x:v>
      </x:c>
      <x:c r="M919" s="38" t="n">
        <x:v>461.164</x:v>
      </x:c>
      <x:c r="N919" s="38" t="n">
        <x:v>601.71</x:v>
      </x:c>
      <x:c r="O919" s="38" t="n">
        <x:v>436.58</x:v>
      </x:c>
      <x:c r="P919" s="38" t="n">
        <x:v>669.9</x:v>
      </x:c>
      <x:c r="Q919" s="38" t="n">
        <x:v>19.88</x:v>
      </x:c>
      <x:c r="R919" s="38" t="n">
        <x:v>43.7475</x:v>
      </x:c>
      <x:c r="S919" s="38" t="n">
        <x:v>74.88</x:v>
      </x:c>
      <x:c r="T919" s="40" t="n">
        <x:v>19.67</x:v>
      </x:c>
      <x:c r="U919" s="40" t="n">
        <x:v>1.42</x:v>
      </x:c>
      <x:c r="V919" s="38" t="n">
        <x:f>L919*(1-T919/100)*(1-U919/100)</x:f>
        <x:v>314.13846538602</x:v>
      </x:c>
      <x:c r="W919" s="38" t="n">
        <x:f>G919*N919</x:f>
        <x:v>167282.60052</x:v>
      </x:c>
      <x:c r="X919" s="38" t="n">
        <x:f>H919*O919</x:f>
        <x:v>37810.88406</x:v>
      </x:c>
      <x:c r="Y919" s="38" t="n">
        <x:f>I919*P919</x:f>
        <x:v>11399.6883</x:v>
      </x:c>
      <x:c r="Z919" s="38" t="n">
        <x:f>J919*Q919+K919*P919</x:f>
        <x:v>3225.07318</x:v>
      </x:c>
      <x:c r="AA919" s="38" t="n">
        <x:f>M919*R919</x:f>
        <x:v>20174.772090000002</x:v>
      </x:c>
      <x:c r="AB919" s="38" t="n">
        <x:f>SUM(W919:AA919)</x:f>
        <x:v>239893.01815000002</x:v>
      </x:c>
      <x:c r="AC919" s="38" t="n">
        <x:v>17.13</x:v>
      </x:c>
      <x:c r="AD919" s="38" t="n">
        <x:v>174.33</x:v>
      </x:c>
      <x:c r="AE919" s="38" t="n">
        <x:v>176.4</x:v>
      </x:c>
      <x:c r="AF919" s="38" t="n">
        <x:v>4.8148</x:v>
      </x:c>
      <x:c r="AG919" s="38" t="n">
        <x:v>5.47</x:v>
      </x:c>
      <x:c r="AH919" s="38" t="n">
        <x:f>IF(E919="Fason",L919*S919,0)</x:f>
        <x:v>29704.371839999996</x:v>
      </x:c>
      <x:c r="AI919" s="38" t="n">
        <x:f>IF(E919="Kurum içi",AC919*AD919+AE919*AF919+AB919*12%,0)</x:f>
        <x:v>0</x:v>
      </x:c>
      <x:c r="AJ919" s="38" t="n">
        <x:f>V919*AG919</x:f>
        <x:v>1718.3374056615294</x:v>
      </x:c>
      <x:c r="AK919" s="38" t="n">
        <x:f>AB919*2%</x:f>
        <x:v>4797.860363000001</x:v>
      </x:c>
      <x:c r="AL919" s="38" t="n">
        <x:f>AB919+AH919+AI919+AJ919+AK919</x:f>
        <x:v>276113.58775866154</x:v>
      </x:c>
      <x:c r="AM919" s="38" t="n">
        <x:f>AL919/V919</x:f>
        <x:v>878.9550411133744</x:v>
      </x:c>
      <x:c r="AN919" s="40" t="n">
        <x:f>(W919+X919)/AL919*100</x:f>
        <x:v>74.27866417036418</x:v>
      </x:c>
      <x:c r="AO919" s="28" t="str">
        <x:v>R01-R20; ilgili satırdaki bölgesel fiyat ve maliyet varsayımları</x:v>
      </x:c>
      <x:c r="AP919" s="28" t="str">
        <x:v>Girdi miktarları, alım fiyatı değişimi, fason bedeli ve parti sonucu simüle edilmiştir; işletme kaydı değildir.</x:v>
      </x:c>
    </x:row>
    <x:row r="920" ht="22" customHeight="1">
      <x:c r="A920" t="str">
        <x:v>SUC-0919</x:v>
      </x:c>
      <x:c r="B920" s="36" t="n">
        <x:v>46273</x:v>
      </x:c>
      <x:c r="C920" t="str">
        <x:v>Güneydoğu Anadolu</x:v>
      </x:c>
      <x:c r="D920" t="str">
        <x:v>ERZURUM_CI</x:v>
      </x:c>
      <x:c r="E920" t="str">
        <x:v>Kurum içi</x:v>
      </x:c>
      <x:c r="F920" s="42" t="str">
        <x:v>SENTETİK/SİMÜLE — gerçek parti kaydı değildir</x:v>
      </x:c>
      <x:c r="G920" s="38" t="n">
        <x:v>122.536</x:v>
      </x:c>
      <x:c r="H920" s="38" t="n">
        <x:v>22.77</x:v>
      </x:c>
      <x:c r="I920" s="38" t="n">
        <x:v>7.22</x:v>
      </x:c>
      <x:c r="J920" s="38" t="n">
        <x:v>2.562</x:v>
      </x:c>
      <x:c r="K920" s="38" t="n">
        <x:v>0.099</x:v>
      </x:c>
      <x:c r="L920" s="38" t="n">
        <x:f>SUM(G920:K920)</x:f>
        <x:v>155.187</x:v>
      </x:c>
      <x:c r="M920" s="38" t="n">
        <x:v>177.53</x:v>
      </x:c>
      <x:c r="N920" s="38" t="n">
        <x:v>576.39</x:v>
      </x:c>
      <x:c r="O920" s="38" t="n">
        <x:v>483.41</x:v>
      </x:c>
      <x:c r="P920" s="38" t="n">
        <x:v>669.9</x:v>
      </x:c>
      <x:c r="Q920" s="38" t="n">
        <x:v>19.88</x:v>
      </x:c>
      <x:c r="R920" s="38" t="n">
        <x:v>43.7475</x:v>
      </x:c>
      <x:c r="S920" s="38" t="n">
        <x:v>72.81</x:v>
      </x:c>
      <x:c r="T920" s="40" t="n">
        <x:v>16.92</x:v>
      </x:c>
      <x:c r="U920" s="40" t="n">
        <x:v>0.73</x:v>
      </x:c>
      <x:c r="V920" s="38" t="n">
        <x:f>L920*(1-T920/100)*(1-U920/100)</x:f>
        <x:v>127.98817527492</x:v>
      </x:c>
      <x:c r="W920" s="38" t="n">
        <x:f>G920*N920</x:f>
        <x:v>70628.52504</x:v>
      </x:c>
      <x:c r="X920" s="38" t="n">
        <x:f>H920*O920</x:f>
        <x:v>11007.2457</x:v>
      </x:c>
      <x:c r="Y920" s="38" t="n">
        <x:f>I920*P920</x:f>
        <x:v>4836.678</x:v>
      </x:c>
      <x:c r="Z920" s="38" t="n">
        <x:f>J920*Q920+K920*P920</x:f>
        <x:v>117.25265999999999</x:v>
      </x:c>
      <x:c r="AA920" s="38" t="n">
        <x:f>M920*R920</x:f>
        <x:v>7766.493675000001</x:v>
      </x:c>
      <x:c r="AB920" s="38" t="n">
        <x:f>SUM(W920:AA920)</x:f>
        <x:v>94356.195075</x:v>
      </x:c>
      <x:c r="AC920" s="38" t="n">
        <x:v>10.54</x:v>
      </x:c>
      <x:c r="AD920" s="38" t="n">
        <x:v>174.33</x:v>
      </x:c>
      <x:c r="AE920" s="38" t="n">
        <x:v>45.7</x:v>
      </x:c>
      <x:c r="AF920" s="38" t="n">
        <x:v>4.8148</x:v>
      </x:c>
      <x:c r="AG920" s="38" t="n">
        <x:v>5.27</x:v>
      </x:c>
      <x:c r="AH920" s="38" t="n">
        <x:f>IF(E920="Fason",L920*S920,0)</x:f>
        <x:v>0</x:v>
      </x:c>
      <x:c r="AI920" s="38" t="n">
        <x:f>IF(E920="Kurum içi",AC920*AD920+AE920*AF920+AB920*12%,0)</x:f>
        <x:v>13380.217969</x:v>
      </x:c>
      <x:c r="AJ920" s="38" t="n">
        <x:f>V920*AG920</x:f>
        <x:v>674.4976836988283</x:v>
      </x:c>
      <x:c r="AK920" s="38" t="n">
        <x:f>AB920*2%</x:f>
        <x:v>1887.1239014999999</x:v>
      </x:c>
      <x:c r="AL920" s="38" t="n">
        <x:f>AB920+AH920+AI920+AJ920+AK920</x:f>
        <x:v>110298.03462919884</x:v>
      </x:c>
      <x:c r="AM920" s="38" t="n">
        <x:f>AL920/V920</x:f>
        <x:v>861.783007627677</x:v>
      </x:c>
      <x:c r="AN920" s="40" t="n">
        <x:f>(W920+X920)/AL920*100</x:f>
        <x:v>74.01380361349506</x:v>
      </x:c>
      <x:c r="AO920" s="28" t="str">
        <x:v>R01-R20; ilgili satırdaki bölgesel fiyat ve maliyet varsayımları</x:v>
      </x:c>
      <x:c r="AP920" s="28" t="str">
        <x:v>Girdi miktarları, alım fiyatı değişimi, fason bedeli ve parti sonucu simüle edilmiştir; işletme kaydı değildir.</x:v>
      </x:c>
    </x:row>
    <x:row r="921" ht="22" customHeight="1">
      <x:c r="A921" t="str">
        <x:v>SUC-0920</x:v>
      </x:c>
      <x:c r="B921" s="36" t="n">
        <x:v>46274</x:v>
      </x:c>
      <x:c r="C921" t="str">
        <x:v>Akdeniz</x:v>
      </x:c>
      <x:c r="D921" t="str">
        <x:v>MEB_STANDART</x:v>
      </x:c>
      <x:c r="E921" t="str">
        <x:v>Fason</x:v>
      </x:c>
      <x:c r="F921" s="42" t="str">
        <x:v>SENTETİK/SİMÜLE — gerçek parti kaydı değildir</x:v>
      </x:c>
      <x:c r="G921" s="38" t="n">
        <x:v>284.149</x:v>
      </x:c>
      <x:c r="H921" s="38" t="n">
        <x:v>88.959</x:v>
      </x:c>
      <x:c r="I921" s="38" t="n">
        <x:v>19.31</x:v>
      </x:c>
      <x:c r="J921" s="38" t="n">
        <x:v>9.677</x:v>
      </x:c>
      <x:c r="K921" s="38" t="n">
        <x:v>4.583</x:v>
      </x:c>
      <x:c r="L921" s="38" t="n">
        <x:f>SUM(G921:K921)</x:f>
        <x:v>406.67800000000005</x:v>
      </x:c>
      <x:c r="M921" s="38" t="n">
        <x:v>519.628</x:v>
      </x:c>
      <x:c r="N921" s="38" t="n">
        <x:v>603.17</x:v>
      </x:c>
      <x:c r="O921" s="38" t="n">
        <x:v>477.32</x:v>
      </x:c>
      <x:c r="P921" s="38" t="n">
        <x:v>669.9</x:v>
      </x:c>
      <x:c r="Q921" s="38" t="n">
        <x:v>19.88</x:v>
      </x:c>
      <x:c r="R921" s="38" t="n">
        <x:v>43.7475</x:v>
      </x:c>
      <x:c r="S921" s="38" t="n">
        <x:v>107.56</x:v>
      </x:c>
      <x:c r="T921" s="40" t="n">
        <x:v>31.3</x:v>
      </x:c>
      <x:c r="U921" s="40" t="n">
        <x:v>0.77</x:v>
      </x:c>
      <x:c r="V921" s="38" t="n">
        <x:f>L921*(1-T921/100)*(1-U921/100)</x:f>
        <x:v>277.23650004780006</x:v>
      </x:c>
      <x:c r="W921" s="38" t="n">
        <x:f>G921*N921</x:f>
        <x:v>171390.15232999998</x:v>
      </x:c>
      <x:c r="X921" s="38" t="n">
        <x:f>H921*O921</x:f>
        <x:v>42461.90988</x:v>
      </x:c>
      <x:c r="Y921" s="38" t="n">
        <x:f>I921*P921</x:f>
        <x:v>12935.768999999998</x:v>
      </x:c>
      <x:c r="Z921" s="38" t="n">
        <x:f>J921*Q921+K921*P921</x:f>
        <x:v>3262.53046</x:v>
      </x:c>
      <x:c r="AA921" s="38" t="n">
        <x:f>M921*R921</x:f>
        <x:v>22732.42593</x:v>
      </x:c>
      <x:c r="AB921" s="38" t="n">
        <x:f>SUM(W921:AA921)</x:f>
        <x:v>252782.78759999998</x:v>
      </x:c>
      <x:c r="AC921" s="38" t="n">
        <x:v>21.76</x:v>
      </x:c>
      <x:c r="AD921" s="38" t="n">
        <x:v>174.33</x:v>
      </x:c>
      <x:c r="AE921" s="38" t="n">
        <x:v>151.35</x:v>
      </x:c>
      <x:c r="AF921" s="38" t="n">
        <x:v>4.8148</x:v>
      </x:c>
      <x:c r="AG921" s="38" t="n">
        <x:v>5.16</x:v>
      </x:c>
      <x:c r="AH921" s="38" t="n">
        <x:f>IF(E921="Fason",L921*S921,0)</x:f>
        <x:v>43742.28568000001</x:v>
      </x:c>
      <x:c r="AI921" s="38" t="n">
        <x:f>IF(E921="Kurum içi",AC921*AD921+AE921*AF921+AB921*12%,0)</x:f>
        <x:v>0</x:v>
      </x:c>
      <x:c r="AJ921" s="38" t="n">
        <x:f>V921*AG921</x:f>
        <x:v>1430.5403402466484</x:v>
      </x:c>
      <x:c r="AK921" s="38" t="n">
        <x:f>AB921*2%</x:f>
        <x:v>5055.655752</x:v>
      </x:c>
      <x:c r="AL921" s="38" t="n">
        <x:f>AB921+AH921+AI921+AJ921+AK921</x:f>
        <x:v>303011.26937224664</x:v>
      </x:c>
      <x:c r="AM921" s="38" t="n">
        <x:f>AL921/V921</x:f>
        <x:v>1092.9703315400482</x:v>
      </x:c>
      <x:c r="AN921" s="40" t="n">
        <x:f>(W921+X921)/AL921*100</x:f>
        <x:v>70.57561345920921</x:v>
      </x:c>
      <x:c r="AO921" s="28" t="str">
        <x:v>R01-R20; ilgili satırdaki bölgesel fiyat ve maliyet varsayımları</x:v>
      </x:c>
      <x:c r="AP921" s="28" t="str">
        <x:v>Girdi miktarları, alım fiyatı değişimi, fason bedeli ve parti sonucu simüle edilmiştir; işletme kaydı değildir.</x:v>
      </x:c>
    </x:row>
    <x:row r="922" ht="22" customHeight="1">
      <x:c r="A922" t="str">
        <x:v>SUC-0921</x:v>
      </x:c>
      <x:c r="B922" s="36" t="n">
        <x:v>46267</x:v>
      </x:c>
      <x:c r="C922" t="str">
        <x:v>Marmara</x:v>
      </x:c>
      <x:c r="D922" t="str">
        <x:v>MEB_STANDART</x:v>
      </x:c>
      <x:c r="E922" t="str">
        <x:v>Fason</x:v>
      </x:c>
      <x:c r="F922" s="42" t="str">
        <x:v>SENTETİK/SİMÜLE — gerçek parti kaydı değildir</x:v>
      </x:c>
      <x:c r="G922" s="38" t="n">
        <x:v>168.829</x:v>
      </x:c>
      <x:c r="H922" s="38" t="n">
        <x:v>53.834</x:v>
      </x:c>
      <x:c r="I922" s="38" t="n">
        <x:v>10.276</x:v>
      </x:c>
      <x:c r="J922" s="38" t="n">
        <x:v>6.187</x:v>
      </x:c>
      <x:c r="K922" s="38" t="n">
        <x:v>2.134</x:v>
      </x:c>
      <x:c r="L922" s="38" t="n">
        <x:f>SUM(G922:K922)</x:f>
        <x:v>241.26000000000002</x:v>
      </x:c>
      <x:c r="M922" s="38" t="n">
        <x:v>300.898</x:v>
      </x:c>
      <x:c r="N922" s="38" t="n">
        <x:v>618.58</x:v>
      </x:c>
      <x:c r="O922" s="38" t="n">
        <x:v>457.78</x:v>
      </x:c>
      <x:c r="P922" s="38" t="n">
        <x:v>669.9</x:v>
      </x:c>
      <x:c r="Q922" s="38" t="n">
        <x:v>19.88</x:v>
      </x:c>
      <x:c r="R922" s="38" t="n">
        <x:v>43.7475</x:v>
      </x:c>
      <x:c r="S922" s="38" t="n">
        <x:v>84</x:v>
      </x:c>
      <x:c r="T922" s="40" t="n">
        <x:v>17.16</x:v>
      </x:c>
      <x:c r="U922" s="40" t="n">
        <x:v>1.66</x:v>
      </x:c>
      <x:c r="V922" s="38" t="n">
        <x:f>L922*(1-T922/100)*(1-U922/100)</x:f>
        <x:v>196.54211158560003</x:v>
      </x:c>
      <x:c r="W922" s="38" t="n">
        <x:f>G922*N922</x:f>
        <x:v>104434.24282000001</x:v>
      </x:c>
      <x:c r="X922" s="38" t="n">
        <x:f>H922*O922</x:f>
        <x:v>24644.12852</x:v>
      </x:c>
      <x:c r="Y922" s="38" t="n">
        <x:f>I922*P922</x:f>
        <x:v>6883.8924</x:v>
      </x:c>
      <x:c r="Z922" s="38" t="n">
        <x:f>J922*Q922+K922*P922</x:f>
        <x:v>1552.56416</x:v>
      </x:c>
      <x:c r="AA922" s="38" t="n">
        <x:f>M922*R922</x:f>
        <x:v>13163.535255000003</x:v>
      </x:c>
      <x:c r="AB922" s="38" t="n">
        <x:f>SUM(W922:AA922)</x:f>
        <x:v>150678.36315500003</x:v>
      </x:c>
      <x:c r="AC922" s="38" t="n">
        <x:v>14.65</x:v>
      </x:c>
      <x:c r="AD922" s="38" t="n">
        <x:v>174.33</x:v>
      </x:c>
      <x:c r="AE922" s="38" t="n">
        <x:v>90.52</x:v>
      </x:c>
      <x:c r="AF922" s="38" t="n">
        <x:v>4.8148</x:v>
      </x:c>
      <x:c r="AG922" s="38" t="n">
        <x:v>5.35</x:v>
      </x:c>
      <x:c r="AH922" s="38" t="n">
        <x:f>IF(E922="Fason",L922*S922,0)</x:f>
        <x:v>20265.84</x:v>
      </x:c>
      <x:c r="AI922" s="38" t="n">
        <x:f>IF(E922="Kurum içi",AC922*AD922+AE922*AF922+AB922*12%,0)</x:f>
        <x:v>0</x:v>
      </x:c>
      <x:c r="AJ922" s="38" t="n">
        <x:f>V922*AG922</x:f>
        <x:v>1051.50029698296</x:v>
      </x:c>
      <x:c r="AK922" s="38" t="n">
        <x:f>AB922*2%</x:f>
        <x:v>3013.5672631000007</x:v>
      </x:c>
      <x:c r="AL922" s="38" t="n">
        <x:f>AB922+AH922+AI922+AJ922+AK922</x:f>
        <x:v>175009.270715083</x:v>
      </x:c>
      <x:c r="AM922" s="38" t="n">
        <x:f>AL922/V922</x:f>
        <x:v>890.4415918970178</x:v>
      </x:c>
      <x:c r="AN922" s="40" t="n">
        <x:f>(W922+X922)/AL922*100</x:f>
        <x:v>73.75516211946338</x:v>
      </x:c>
      <x:c r="AO922" s="28" t="str">
        <x:v>R01-R20; ilgili satırdaki bölgesel fiyat ve maliyet varsayımları</x:v>
      </x:c>
      <x:c r="AP922" s="28" t="str">
        <x:v>Girdi miktarları, alım fiyatı değişimi, fason bedeli ve parti sonucu simüle edilmiştir; işletme kaydı değildir.</x:v>
      </x:c>
    </x:row>
    <x:row r="923" ht="22" customHeight="1">
      <x:c r="A923" t="str">
        <x:v>SUC-0922</x:v>
      </x:c>
      <x:c r="B923" s="36" t="n">
        <x:v>46289</x:v>
      </x:c>
      <x:c r="C923" t="str">
        <x:v>Karadeniz</x:v>
      </x:c>
      <x:c r="D923" t="str">
        <x:v>ERZURUM_CI</x:v>
      </x:c>
      <x:c r="E923" t="str">
        <x:v>Fason</x:v>
      </x:c>
      <x:c r="F923" s="42" t="str">
        <x:v>SENTETİK/SİMÜLE — gerçek parti kaydı değildir</x:v>
      </x:c>
      <x:c r="G923" s="38" t="n">
        <x:v>362.64</x:v>
      </x:c>
      <x:c r="H923" s="38" t="n">
        <x:v>66.059</x:v>
      </x:c>
      <x:c r="I923" s="38" t="n">
        <x:v>21.154</x:v>
      </x:c>
      <x:c r="J923" s="38" t="n">
        <x:v>6.881</x:v>
      </x:c>
      <x:c r="K923" s="38" t="n">
        <x:v>0.408</x:v>
      </x:c>
      <x:c r="L923" s="38" t="n">
        <x:f>SUM(G923:K923)</x:f>
        <x:v>457.14199999999994</x:v>
      </x:c>
      <x:c r="M923" s="38" t="n">
        <x:v>611.604</x:v>
      </x:c>
      <x:c r="N923" s="38" t="n">
        <x:v>605.8</x:v>
      </x:c>
      <x:c r="O923" s="38" t="n">
        <x:v>447.24</x:v>
      </x:c>
      <x:c r="P923" s="38" t="n">
        <x:v>550</x:v>
      </x:c>
      <x:c r="Q923" s="38" t="n">
        <x:v>19.88</x:v>
      </x:c>
      <x:c r="R923" s="38" t="n">
        <x:v>43.7475</x:v>
      </x:c>
      <x:c r="S923" s="38" t="n">
        <x:v>110.19</x:v>
      </x:c>
      <x:c r="T923" s="40" t="n">
        <x:v>21.6</x:v>
      </x:c>
      <x:c r="U923" s="40" t="n">
        <x:v>1.71</x:v>
      </x:c>
      <x:c r="V923" s="38" t="n">
        <x:f>L923*(1-T923/100)*(1-U923/100)</x:f>
        <x:v>352.2706994912</x:v>
      </x:c>
      <x:c r="W923" s="38" t="n">
        <x:f>G923*N923</x:f>
        <x:v>219687.31199999998</x:v>
      </x:c>
      <x:c r="X923" s="38" t="n">
        <x:f>H923*O923</x:f>
        <x:v>29544.22716</x:v>
      </x:c>
      <x:c r="Y923" s="38" t="n">
        <x:f>I923*P923</x:f>
        <x:v>11634.7</x:v>
      </x:c>
      <x:c r="Z923" s="38" t="n">
        <x:f>J923*Q923+K923*P923</x:f>
        <x:v>361.19427999999994</x:v>
      </x:c>
      <x:c r="AA923" s="38" t="n">
        <x:f>M923*R923</x:f>
        <x:v>26756.145990000005</x:v>
      </x:c>
      <x:c r="AB923" s="38" t="n">
        <x:f>SUM(W923:AA923)</x:f>
        <x:v>287983.57943</x:v>
      </x:c>
      <x:c r="AC923" s="38" t="n">
        <x:v>22.94</x:v>
      </x:c>
      <x:c r="AD923" s="38" t="n">
        <x:v>174.33</x:v>
      </x:c>
      <x:c r="AE923" s="38" t="n">
        <x:v>139.65</x:v>
      </x:c>
      <x:c r="AF923" s="38" t="n">
        <x:v>4.8148</x:v>
      </x:c>
      <x:c r="AG923" s="38" t="n">
        <x:v>5.85</x:v>
      </x:c>
      <x:c r="AH923" s="38" t="n">
        <x:f>IF(E923="Fason",L923*S923,0)</x:f>
        <x:v>50372.47697999999</x:v>
      </x:c>
      <x:c r="AI923" s="38" t="n">
        <x:f>IF(E923="Kurum içi",AC923*AD923+AE923*AF923+AB923*12%,0)</x:f>
        <x:v>0</x:v>
      </x:c>
      <x:c r="AJ923" s="38" t="n">
        <x:f>V923*AG923</x:f>
        <x:v>2060.7835920235198</x:v>
      </x:c>
      <x:c r="AK923" s="38" t="n">
        <x:f>AB923*2%</x:f>
        <x:v>5759.6715886</x:v>
      </x:c>
      <x:c r="AL923" s="38" t="n">
        <x:f>AB923+AH923+AI923+AJ923+AK923</x:f>
        <x:v>346176.5115906235</x:v>
      </x:c>
      <x:c r="AM923" s="38" t="n">
        <x:f>AL923/V923</x:f>
        <x:v>982.7002702484805</x:v>
      </x:c>
      <x:c r="AN923" s="40" t="n">
        <x:f>(W923+X923)/AL923*100</x:f>
        <x:v>71.99550830725705</x:v>
      </x:c>
      <x:c r="AO923" s="28" t="str">
        <x:v>R01-R20; ilgili satırdaki bölgesel fiyat ve maliyet varsayımları</x:v>
      </x:c>
      <x:c r="AP923" s="28" t="str">
        <x:v>Girdi miktarları, alım fiyatı değişimi, fason bedeli ve parti sonucu simüle edilmiştir; işletme kaydı değildir.</x:v>
      </x:c>
    </x:row>
    <x:row r="924" ht="22" customHeight="1">
      <x:c r="A924" t="str">
        <x:v>SUC-0923</x:v>
      </x:c>
      <x:c r="B924" s="36" t="n">
        <x:v>46289</x:v>
      </x:c>
      <x:c r="C924" t="str">
        <x:v>Ege</x:v>
      </x:c>
      <x:c r="D924" t="str">
        <x:v>ERZURUM_CI</x:v>
      </x:c>
      <x:c r="E924" t="str">
        <x:v>Kurum içi</x:v>
      </x:c>
      <x:c r="F924" s="42" t="str">
        <x:v>SENTETİK/SİMÜLE — gerçek parti kaydı değildir</x:v>
      </x:c>
      <x:c r="G924" s="38" t="n">
        <x:v>123.615</x:v>
      </x:c>
      <x:c r="H924" s="38" t="n">
        <x:v>19.997</x:v>
      </x:c>
      <x:c r="I924" s="38" t="n">
        <x:v>7.334</x:v>
      </x:c>
      <x:c r="J924" s="38" t="n">
        <x:v>2.721</x:v>
      </x:c>
      <x:c r="K924" s="38" t="n">
        <x:v>0.015</x:v>
      </x:c>
      <x:c r="L924" s="38" t="n">
        <x:f>SUM(G924:K924)</x:f>
        <x:v>153.682</x:v>
      </x:c>
      <x:c r="M924" s="38" t="n">
        <x:v>190.802</x:v>
      </x:c>
      <x:c r="N924" s="38" t="n">
        <x:v>584.88</x:v>
      </x:c>
      <x:c r="O924" s="38" t="n">
        <x:v>463.02</x:v>
      </x:c>
      <x:c r="P924" s="38" t="n">
        <x:v>669.9</x:v>
      </x:c>
      <x:c r="Q924" s="38" t="n">
        <x:v>19.88</x:v>
      </x:c>
      <x:c r="R924" s="38" t="n">
        <x:v>43.7475</x:v>
      </x:c>
      <x:c r="S924" s="38" t="n">
        <x:v>81.9</x:v>
      </x:c>
      <x:c r="T924" s="40" t="n">
        <x:v>29.28</x:v>
      </x:c>
      <x:c r="U924" s="40" t="n">
        <x:v>0.58</x:v>
      </x:c>
      <x:c r="V924" s="38" t="n">
        <x:f>L924*(1-T924/100)*(1-U924/100)</x:f>
        <x:v>108.05354371968</x:v>
      </x:c>
      <x:c r="W924" s="38" t="n">
        <x:f>G924*N924</x:f>
        <x:v>72299.9412</x:v>
      </x:c>
      <x:c r="X924" s="38" t="n">
        <x:f>H924*O924</x:f>
        <x:v>9259.01094</x:v>
      </x:c>
      <x:c r="Y924" s="38" t="n">
        <x:f>I924*P924</x:f>
        <x:v>4913.0466</x:v>
      </x:c>
      <x:c r="Z924" s="38" t="n">
        <x:f>J924*Q924+K924*P924</x:f>
        <x:v>64.14198</x:v>
      </x:c>
      <x:c r="AA924" s="38" t="n">
        <x:f>M924*R924</x:f>
        <x:v>8347.110495</x:v>
      </x:c>
      <x:c r="AB924" s="38" t="n">
        <x:f>SUM(W924:AA924)</x:f>
        <x:v>94883.25121500001</x:v>
      </x:c>
      <x:c r="AC924" s="38" t="n">
        <x:v>9.17</x:v>
      </x:c>
      <x:c r="AD924" s="38" t="n">
        <x:v>174.33</x:v>
      </x:c>
      <x:c r="AE924" s="38" t="n">
        <x:v>54.19</x:v>
      </x:c>
      <x:c r="AF924" s="38" t="n">
        <x:v>4.8148</x:v>
      </x:c>
      <x:c r="AG924" s="38" t="n">
        <x:v>5.79</x:v>
      </x:c>
      <x:c r="AH924" s="38" t="n">
        <x:f>IF(E924="Fason",L924*S924,0)</x:f>
        <x:v>0</x:v>
      </x:c>
      <x:c r="AI924" s="38" t="n">
        <x:f>IF(E924="Kurum içi",AC924*AD924+AE924*AF924+AB924*12%,0)</x:f>
        <x:v>13245.5102578</x:v>
      </x:c>
      <x:c r="AJ924" s="38" t="n">
        <x:f>V924*AG924</x:f>
        <x:v>625.6300181369471</x:v>
      </x:c>
      <x:c r="AK924" s="38" t="n">
        <x:f>AB924*2%</x:f>
        <x:v>1897.6650243000004</x:v>
      </x:c>
      <x:c r="AL924" s="38" t="n">
        <x:f>AB924+AH924+AI924+AJ924+AK924</x:f>
        <x:v>110652.05651523697</x:v>
      </x:c>
      <x:c r="AM924" s="38" t="n">
        <x:f>AL924/V924</x:f>
        <x:v>1024.0483810720564</x:v>
      </x:c>
      <x:c r="AN924" s="40" t="n">
        <x:f>(W924+X924)/AL924*100</x:f>
        <x:v>73.70757915264703</x:v>
      </x:c>
      <x:c r="AO924" s="28" t="str">
        <x:v>R01-R20; ilgili satırdaki bölgesel fiyat ve maliyet varsayımları</x:v>
      </x:c>
      <x:c r="AP924" s="28" t="str">
        <x:v>Girdi miktarları, alım fiyatı değişimi, fason bedeli ve parti sonucu simüle edilmiştir; işletme kaydı değildir.</x:v>
      </x:c>
    </x:row>
    <x:row r="925" ht="22" customHeight="1">
      <x:c r="A925" t="str">
        <x:v>SUC-0924</x:v>
      </x:c>
      <x:c r="B925" s="36" t="n">
        <x:v>46298</x:v>
      </x:c>
      <x:c r="C925" t="str">
        <x:v>Marmara</x:v>
      </x:c>
      <x:c r="D925" t="str">
        <x:v>MEB_STANDART</x:v>
      </x:c>
      <x:c r="E925" t="str">
        <x:v>Kurum içi</x:v>
      </x:c>
      <x:c r="F925" s="42" t="str">
        <x:v>SENTETİK/SİMÜLE — gerçek parti kaydı değildir</x:v>
      </x:c>
      <x:c r="G925" s="38" t="n">
        <x:v>108.611</x:v>
      </x:c>
      <x:c r="H925" s="38" t="n">
        <x:v>33.727</x:v>
      </x:c>
      <x:c r="I925" s="38" t="n">
        <x:v>7.27</x:v>
      </x:c>
      <x:c r="J925" s="38" t="n">
        <x:v>3.884</x:v>
      </x:c>
      <x:c r="K925" s="38" t="n">
        <x:v>1.412</x:v>
      </x:c>
      <x:c r="L925" s="38" t="n">
        <x:f>SUM(G925:K925)</x:f>
        <x:v>154.904</x:v>
      </x:c>
      <x:c r="M925" s="38" t="n">
        <x:v>187.171</x:v>
      </x:c>
      <x:c r="N925" s="38" t="n">
        <x:v>594.66</x:v>
      </x:c>
      <x:c r="O925" s="38" t="n">
        <x:v>423.03</x:v>
      </x:c>
      <x:c r="P925" s="38" t="n">
        <x:v>669.9</x:v>
      </x:c>
      <x:c r="Q925" s="38" t="n">
        <x:v>19.88</x:v>
      </x:c>
      <x:c r="R925" s="38" t="n">
        <x:v>43.7475</x:v>
      </x:c>
      <x:c r="S925" s="38" t="n">
        <x:v>111.29</x:v>
      </x:c>
      <x:c r="T925" s="40" t="n">
        <x:v>17.9</x:v>
      </x:c>
      <x:c r="U925" s="40" t="n">
        <x:v>1.01</x:v>
      </x:c>
      <x:c r="V925" s="38" t="n">
        <x:f>L925*(1-T925/100)*(1-U925/100)</x:f>
        <x:v>125.89170454159999</x:v>
      </x:c>
      <x:c r="W925" s="38" t="n">
        <x:f>G925*N925</x:f>
        <x:v>64586.61726</x:v>
      </x:c>
      <x:c r="X925" s="38" t="n">
        <x:f>H925*O925</x:f>
        <x:v>14267.532809999997</x:v>
      </x:c>
      <x:c r="Y925" s="38" t="n">
        <x:f>I925*P925</x:f>
        <x:v>4870.173</x:v>
      </x:c>
      <x:c r="Z925" s="38" t="n">
        <x:f>J925*Q925+K925*P925</x:f>
        <x:v>1023.11272</x:v>
      </x:c>
      <x:c r="AA925" s="38" t="n">
        <x:f>M925*R925</x:f>
        <x:v>8188.2633225</x:v>
      </x:c>
      <x:c r="AB925" s="38" t="n">
        <x:f>SUM(W925:AA925)</x:f>
        <x:v>92935.6991125</x:v>
      </x:c>
      <x:c r="AC925" s="38" t="n">
        <x:v>8.17</x:v>
      </x:c>
      <x:c r="AD925" s="38" t="n">
        <x:v>174.33</x:v>
      </x:c>
      <x:c r="AE925" s="38" t="n">
        <x:v>56.32</x:v>
      </x:c>
      <x:c r="AF925" s="38" t="n">
        <x:v>4.8148</x:v>
      </x:c>
      <x:c r="AG925" s="38" t="n">
        <x:v>5.2</x:v>
      </x:c>
      <x:c r="AH925" s="38" t="n">
        <x:f>IF(E925="Fason",L925*S925,0)</x:f>
        <x:v>0</x:v>
      </x:c>
      <x:c r="AI925" s="38" t="n">
        <x:f>IF(E925="Kurum içi",AC925*AD925+AE925*AF925+AB925*12%,0)</x:f>
        <x:v>12847.7295295</x:v>
      </x:c>
      <x:c r="AJ925" s="38" t="n">
        <x:f>V925*AG925</x:f>
        <x:v>654.6368636163199</x:v>
      </x:c>
      <x:c r="AK925" s="38" t="n">
        <x:f>AB925*2%</x:f>
        <x:v>1858.71398225</x:v>
      </x:c>
      <x:c r="AL925" s="38" t="n">
        <x:f>AB925+AH925+AI925+AJ925+AK925</x:f>
        <x:v>108296.77948786634</x:v>
      </x:c>
      <x:c r="AM925" s="38" t="n">
        <x:f>AL925/V925</x:f>
        <x:v>860.237613607658</x:v>
      </x:c>
      <x:c r="AN925" s="40" t="n">
        <x:f>(W925+X925)/AL925*100</x:f>
        <x:v>72.81301479406864</x:v>
      </x:c>
      <x:c r="AO925" s="28" t="str">
        <x:v>R01-R20; ilgili satırdaki bölgesel fiyat ve maliyet varsayımları</x:v>
      </x:c>
      <x:c r="AP925" s="28" t="str">
        <x:v>Girdi miktarları, alım fiyatı değişimi, fason bedeli ve parti sonucu simüle edilmiştir; işletme kaydı değildir.</x:v>
      </x:c>
    </x:row>
    <x:row r="926" ht="22" customHeight="1">
      <x:c r="A926" t="str">
        <x:v>SUC-0925</x:v>
      </x:c>
      <x:c r="B926" s="36" t="n">
        <x:v>46285</x:v>
      </x:c>
      <x:c r="C926" t="str">
        <x:v>Güneydoğu Anadolu</x:v>
      </x:c>
      <x:c r="D926" t="str">
        <x:v>MEB_STANDART</x:v>
      </x:c>
      <x:c r="E926" t="str">
        <x:v>Kurum içi</x:v>
      </x:c>
      <x:c r="F926" s="42" t="str">
        <x:v>SENTETİK/SİMÜLE — gerçek parti kaydı değildir</x:v>
      </x:c>
      <x:c r="G926" s="38" t="n">
        <x:v>288.722</x:v>
      </x:c>
      <x:c r="H926" s="38" t="n">
        <x:v>94.1</x:v>
      </x:c>
      <x:c r="I926" s="38" t="n">
        <x:v>19.435</x:v>
      </x:c>
      <x:c r="J926" s="38" t="n">
        <x:v>9.655</x:v>
      </x:c>
      <x:c r="K926" s="38" t="n">
        <x:v>4.589</x:v>
      </x:c>
      <x:c r="L926" s="38" t="n">
        <x:f>SUM(G926:K926)</x:f>
        <x:v>416.501</x:v>
      </x:c>
      <x:c r="M926" s="38" t="n">
        <x:v>480.141</x:v>
      </x:c>
      <x:c r="N926" s="38" t="n">
        <x:v>571.79</x:v>
      </x:c>
      <x:c r="O926" s="38" t="n">
        <x:v>421.2</x:v>
      </x:c>
      <x:c r="P926" s="38" t="n">
        <x:v>400</x:v>
      </x:c>
      <x:c r="Q926" s="38" t="n">
        <x:v>19.88</x:v>
      </x:c>
      <x:c r="R926" s="38" t="n">
        <x:v>43.7475</x:v>
      </x:c>
      <x:c r="S926" s="38" t="n">
        <x:v>77.18</x:v>
      </x:c>
      <x:c r="T926" s="40" t="n">
        <x:v>21.25</x:v>
      </x:c>
      <x:c r="U926" s="40" t="n">
        <x:v>0.67</x:v>
      </x:c>
      <x:c r="V926" s="38" t="n">
        <x:f>L926*(1-T926/100)*(1-U926/100)</x:f>
        <x:v>325.79697409874996</x:v>
      </x:c>
      <x:c r="W926" s="38" t="n">
        <x:f>G926*N926</x:f>
        <x:v>165088.35237999997</x:v>
      </x:c>
      <x:c r="X926" s="38" t="n">
        <x:f>H926*O926</x:f>
        <x:v>39634.92</x:v>
      </x:c>
      <x:c r="Y926" s="38" t="n">
        <x:f>I926*P926</x:f>
        <x:v>7773.999999999999</x:v>
      </x:c>
      <x:c r="Z926" s="38" t="n">
        <x:f>J926*Q926+K926*P926</x:f>
        <x:v>2027.5414</x:v>
      </x:c>
      <x:c r="AA926" s="38" t="n">
        <x:f>M926*R926</x:f>
        <x:v>21004.9683975</x:v>
      </x:c>
      <x:c r="AB926" s="38" t="n">
        <x:f>SUM(W926:AA926)</x:f>
        <x:v>235529.78217749996</x:v>
      </x:c>
      <x:c r="AC926" s="38" t="n">
        <x:v>19.2</x:v>
      </x:c>
      <x:c r="AD926" s="38" t="n">
        <x:v>174.33</x:v>
      </x:c>
      <x:c r="AE926" s="38" t="n">
        <x:v>159.9</x:v>
      </x:c>
      <x:c r="AF926" s="38" t="n">
        <x:v>4.8148</x:v>
      </x:c>
      <x:c r="AG926" s="38" t="n">
        <x:v>5.27</x:v>
      </x:c>
      <x:c r="AH926" s="38" t="n">
        <x:f>IF(E926="Fason",L926*S926,0)</x:f>
        <x:v>0</x:v>
      </x:c>
      <x:c r="AI926" s="38" t="n">
        <x:f>IF(E926="Kurum içi",AC926*AD926+AE926*AF926+AB926*12%,0)</x:f>
        <x:v>32380.596381299998</x:v>
      </x:c>
      <x:c r="AJ926" s="38" t="n">
        <x:f>V926*AG926</x:f>
        <x:v>1716.9500535004122</x:v>
      </x:c>
      <x:c r="AK926" s="38" t="n">
        <x:f>AB926*2%</x:f>
        <x:v>4710.595643549999</x:v>
      </x:c>
      <x:c r="AL926" s="38" t="n">
        <x:f>AB926+AH926+AI926+AJ926+AK926</x:f>
        <x:v>274337.9242558504</x:v>
      </x:c>
      <x:c r="AM926" s="38" t="n">
        <x:f>AL926/V926</x:f>
        <x:v>842.051787051582</x:v>
      </x:c>
      <x:c r="AN926" s="40" t="n">
        <x:f>(W926+X926)/AL926*100</x:f>
        <x:v>74.62448836970601</x:v>
      </x:c>
      <x:c r="AO926" s="28" t="str">
        <x:v>R01-R20; ilgili satırdaki bölgesel fiyat ve maliyet varsayımları</x:v>
      </x:c>
      <x:c r="AP926" s="28" t="str">
        <x:v>Girdi miktarları, alım fiyatı değişimi, fason bedeli ve parti sonucu simüle edilmiştir; işletme kaydı değildir.</x:v>
      </x:c>
    </x:row>
    <x:row r="927" ht="22" customHeight="1">
      <x:c r="A927" t="str">
        <x:v>SUC-0926</x:v>
      </x:c>
      <x:c r="B927" s="36" t="n">
        <x:v>46300</x:v>
      </x:c>
      <x:c r="C927" t="str">
        <x:v>Güneydoğu Anadolu</x:v>
      </x:c>
      <x:c r="D927" t="str">
        <x:v>ERZURUM_CI</x:v>
      </x:c>
      <x:c r="E927" t="str">
        <x:v>Fason</x:v>
      </x:c>
      <x:c r="F927" s="42" t="str">
        <x:v>SENTETİK/SİMÜLE — gerçek parti kaydı değildir</x:v>
      </x:c>
      <x:c r="G927" s="38" t="n">
        <x:v>168.845</x:v>
      </x:c>
      <x:c r="H927" s="38" t="n">
        <x:v>31.273</x:v>
      </x:c>
      <x:c r="I927" s="38" t="n">
        <x:v>9.567</x:v>
      </x:c>
      <x:c r="J927" s="38" t="n">
        <x:v>3.126</x:v>
      </x:c>
      <x:c r="K927" s="38" t="n">
        <x:v>0.152</x:v>
      </x:c>
      <x:c r="L927" s="38" t="n">
        <x:f>SUM(G927:K927)</x:f>
        <x:v>212.963</x:v>
      </x:c>
      <x:c r="M927" s="38" t="n">
        <x:v>258.857</x:v>
      </x:c>
      <x:c r="N927" s="38" t="n">
        <x:v>578.25</x:v>
      </x:c>
      <x:c r="O927" s="38" t="n">
        <x:v>478.8</x:v>
      </x:c>
      <x:c r="P927" s="38" t="n">
        <x:v>550</x:v>
      </x:c>
      <x:c r="Q927" s="38" t="n">
        <x:v>19.88</x:v>
      </x:c>
      <x:c r="R927" s="38" t="n">
        <x:v>43.7475</x:v>
      </x:c>
      <x:c r="S927" s="38" t="n">
        <x:v>74.95</x:v>
      </x:c>
      <x:c r="T927" s="40" t="n">
        <x:v>20.45</x:v>
      </x:c>
      <x:c r="U927" s="40" t="n">
        <x:v>0.68</x:v>
      </x:c>
      <x:c r="V927" s="38" t="n">
        <x:f>L927*(1-T927/100)*(1-U927/100)</x:f>
        <x:v>168.26006444779998</x:v>
      </x:c>
      <x:c r="W927" s="38" t="n">
        <x:f>G927*N927</x:f>
        <x:v>97634.62125</x:v>
      </x:c>
      <x:c r="X927" s="38" t="n">
        <x:f>H927*O927</x:f>
        <x:v>14973.5124</x:v>
      </x:c>
      <x:c r="Y927" s="38" t="n">
        <x:f>I927*P927</x:f>
        <x:v>5261.85</x:v>
      </x:c>
      <x:c r="Z927" s="38" t="n">
        <x:f>J927*Q927+K927*P927</x:f>
        <x:v>145.74488</x:v>
      </x:c>
      <x:c r="AA927" s="38" t="n">
        <x:f>M927*R927</x:f>
        <x:v>11324.346607500001</x:v>
      </x:c>
      <x:c r="AB927" s="38" t="n">
        <x:f>SUM(W927:AA927)</x:f>
        <x:v>129340.07513750001</x:v>
      </x:c>
      <x:c r="AC927" s="38" t="n">
        <x:v>8.54</x:v>
      </x:c>
      <x:c r="AD927" s="38" t="n">
        <x:v>174.33</x:v>
      </x:c>
      <x:c r="AE927" s="38" t="n">
        <x:v>100.4</x:v>
      </x:c>
      <x:c r="AF927" s="38" t="n">
        <x:v>4.8148</x:v>
      </x:c>
      <x:c r="AG927" s="38" t="n">
        <x:v>5.69</x:v>
      </x:c>
      <x:c r="AH927" s="38" t="n">
        <x:f>IF(E927="Fason",L927*S927,0)</x:f>
        <x:v>15961.57685</x:v>
      </x:c>
      <x:c r="AI927" s="38" t="n">
        <x:f>IF(E927="Kurum içi",AC927*AD927+AE927*AF927+AB927*12%,0)</x:f>
        <x:v>0</x:v>
      </x:c>
      <x:c r="AJ927" s="38" t="n">
        <x:f>V927*AG927</x:f>
        <x:v>957.3997667079819</x:v>
      </x:c>
      <x:c r="AK927" s="38" t="n">
        <x:f>AB927*2%</x:f>
        <x:v>2586.80150275</x:v>
      </x:c>
      <x:c r="AL927" s="38" t="n">
        <x:f>AB927+AH927+AI927+AJ927+AK927</x:f>
        <x:v>148845.85325695798</x:v>
      </x:c>
      <x:c r="AM927" s="38" t="n">
        <x:f>AL927/V927</x:f>
        <x:v>884.6178310072802</x:v>
      </x:c>
      <x:c r="AN927" s="40" t="n">
        <x:f>(W927+X927)/AL927*100</x:f>
        <x:v>75.65419605986638</x:v>
      </x:c>
      <x:c r="AO927" s="28" t="str">
        <x:v>R01-R20; ilgili satırdaki bölgesel fiyat ve maliyet varsayımları</x:v>
      </x:c>
      <x:c r="AP927" s="28" t="str">
        <x:v>Girdi miktarları, alım fiyatı değişimi, fason bedeli ve parti sonucu simüle edilmiştir; işletme kaydı değildir.</x:v>
      </x:c>
    </x:row>
    <x:row r="928" ht="22" customHeight="1">
      <x:c r="A928" t="str">
        <x:v>SUC-0927</x:v>
      </x:c>
      <x:c r="B928" s="36" t="n">
        <x:v>46316</x:v>
      </x:c>
      <x:c r="C928" t="str">
        <x:v>Marmara</x:v>
      </x:c>
      <x:c r="D928" t="str">
        <x:v>ERZURUM_CI</x:v>
      </x:c>
      <x:c r="E928" t="str">
        <x:v>Kurum içi</x:v>
      </x:c>
      <x:c r="F928" s="42" t="str">
        <x:v>SENTETİK/SİMÜLE — gerçek parti kaydı değildir</x:v>
      </x:c>
      <x:c r="G928" s="38" t="n">
        <x:v>112.198</x:v>
      </x:c>
      <x:c r="H928" s="38" t="n">
        <x:v>21.454</x:v>
      </x:c>
      <x:c r="I928" s="38" t="n">
        <x:v>6.872</x:v>
      </x:c>
      <x:c r="J928" s="38" t="n">
        <x:v>2.46</x:v>
      </x:c>
      <x:c r="K928" s="38" t="n">
        <x:v>0.212</x:v>
      </x:c>
      <x:c r="L928" s="38" t="n">
        <x:f>SUM(G928:K928)</x:f>
        <x:v>143.196</x:v>
      </x:c>
      <x:c r="M928" s="38" t="n">
        <x:v>186.497</x:v>
      </x:c>
      <x:c r="N928" s="38" t="n">
        <x:v>601.32</x:v>
      </x:c>
      <x:c r="O928" s="38" t="n">
        <x:v>467.48</x:v>
      </x:c>
      <x:c r="P928" s="38" t="n">
        <x:v>669.9</x:v>
      </x:c>
      <x:c r="Q928" s="38" t="n">
        <x:v>19.88</x:v>
      </x:c>
      <x:c r="R928" s="38" t="n">
        <x:v>43.7475</x:v>
      </x:c>
      <x:c r="S928" s="38" t="n">
        <x:v>114.39</x:v>
      </x:c>
      <x:c r="T928" s="40" t="n">
        <x:v>26.29</x:v>
      </x:c>
      <x:c r="U928" s="40" t="n">
        <x:v>1.71</x:v>
      </x:c>
      <x:c r="V928" s="38" t="n">
        <x:f>L928*(1-T928/100)*(1-U928/100)</x:f>
        <x:v>103.74487050564001</x:v>
      </x:c>
      <x:c r="W928" s="38" t="n">
        <x:f>G928*N928</x:f>
        <x:v>67466.90136</x:v>
      </x:c>
      <x:c r="X928" s="38" t="n">
        <x:f>H928*O928</x:f>
        <x:v>10029.315920000001</x:v>
      </x:c>
      <x:c r="Y928" s="38" t="n">
        <x:f>I928*P928</x:f>
        <x:v>4603.5527999999995</x:v>
      </x:c>
      <x:c r="Z928" s="38" t="n">
        <x:f>J928*Q928+K928*P928</x:f>
        <x:v>190.9236</x:v>
      </x:c>
      <x:c r="AA928" s="38" t="n">
        <x:f>M928*R928</x:f>
        <x:v>8158.777507500001</x:v>
      </x:c>
      <x:c r="AB928" s="38" t="n">
        <x:f>SUM(W928:AA928)</x:f>
        <x:v>90449.4711875</x:v>
      </x:c>
      <x:c r="AC928" s="38" t="n">
        <x:v>7</x:v>
      </x:c>
      <x:c r="AD928" s="38" t="n">
        <x:v>174.33</x:v>
      </x:c>
      <x:c r="AE928" s="38" t="n">
        <x:v>38.62</x:v>
      </x:c>
      <x:c r="AF928" s="38" t="n">
        <x:v>4.8148</x:v>
      </x:c>
      <x:c r="AG928" s="38" t="n">
        <x:v>5.77</x:v>
      </x:c>
      <x:c r="AH928" s="38" t="n">
        <x:f>IF(E928="Fason",L928*S928,0)</x:f>
        <x:v>0</x:v>
      </x:c>
      <x:c r="AI928" s="38" t="n">
        <x:f>IF(E928="Kurum içi",AC928*AD928+AE928*AF928+AB928*12%,0)</x:f>
        <x:v>12260.1941185</x:v>
      </x:c>
      <x:c r="AJ928" s="38" t="n">
        <x:f>V928*AG928</x:f>
        <x:v>598.6079028175428</x:v>
      </x:c>
      <x:c r="AK928" s="38" t="n">
        <x:f>AB928*2%</x:f>
        <x:v>1808.9894237500002</x:v>
      </x:c>
      <x:c r="AL928" s="38" t="n">
        <x:f>AB928+AH928+AI928+AJ928+AK928</x:f>
        <x:v>105117.26263256755</x:v>
      </x:c>
      <x:c r="AM928" s="38" t="n">
        <x:f>AL928/V928</x:f>
        <x:v>1013.2285299527454</x:v>
      </x:c>
      <x:c r="AN928" s="40" t="n">
        <x:f>(W928+X928)/AL928*100</x:f>
        <x:v>73.7235876764451</x:v>
      </x:c>
      <x:c r="AO928" s="28" t="str">
        <x:v>R01-R20; ilgili satırdaki bölgesel fiyat ve maliyet varsayımları</x:v>
      </x:c>
      <x:c r="AP928" s="28" t="str">
        <x:v>Girdi miktarları, alım fiyatı değişimi, fason bedeli ve parti sonucu simüle edilmiştir; işletme kaydı değildir.</x:v>
      </x:c>
    </x:row>
    <x:row r="929" ht="22" customHeight="1">
      <x:c r="A929" t="str">
        <x:v>SUC-0928</x:v>
      </x:c>
      <x:c r="B929" s="36" t="n">
        <x:v>46306</x:v>
      </x:c>
      <x:c r="C929" t="str">
        <x:v>Güneydoğu Anadolu</x:v>
      </x:c>
      <x:c r="D929" t="str">
        <x:v>ERZURUM_CI</x:v>
      </x:c>
      <x:c r="E929" t="str">
        <x:v>Fason</x:v>
      </x:c>
      <x:c r="F929" s="42" t="str">
        <x:v>SENTETİK/SİMÜLE — gerçek parti kaydı değildir</x:v>
      </x:c>
      <x:c r="G929" s="38" t="n">
        <x:v>384.327</x:v>
      </x:c>
      <x:c r="H929" s="38" t="n">
        <x:v>68.82</x:v>
      </x:c>
      <x:c r="I929" s="38" t="n">
        <x:v>22.447</x:v>
      </x:c>
      <x:c r="J929" s="38" t="n">
        <x:v>8.265</x:v>
      </x:c>
      <x:c r="K929" s="38" t="n">
        <x:v>1.066</x:v>
      </x:c>
      <x:c r="L929" s="38" t="n">
        <x:f>SUM(G929:K929)</x:f>
        <x:v>484.92499999999995</x:v>
      </x:c>
      <x:c r="M929" s="38" t="n">
        <x:v>621.784</x:v>
      </x:c>
      <x:c r="N929" s="38" t="n">
        <x:v>571.44</x:v>
      </x:c>
      <x:c r="O929" s="38" t="n">
        <x:v>424.51</x:v>
      </x:c>
      <x:c r="P929" s="38" t="n">
        <x:v>400</x:v>
      </x:c>
      <x:c r="Q929" s="38" t="n">
        <x:v>19.88</x:v>
      </x:c>
      <x:c r="R929" s="38" t="n">
        <x:v>43.7475</x:v>
      </x:c>
      <x:c r="S929" s="38" t="n">
        <x:v>121.49</x:v>
      </x:c>
      <x:c r="T929" s="40" t="n">
        <x:v>17.17</x:v>
      </x:c>
      <x:c r="U929" s="40" t="n">
        <x:v>1.17</x:v>
      </x:c>
      <x:c r="V929" s="38" t="n">
        <x:f>L929*(1-T929/100)*(1-U929/100)</x:f>
        <x:v>396.96391598324993</x:v>
      </x:c>
      <x:c r="W929" s="38" t="n">
        <x:f>G929*N929</x:f>
        <x:v>219619.82088</x:v>
      </x:c>
      <x:c r="X929" s="38" t="n">
        <x:f>H929*O929</x:f>
        <x:v>29214.778199999997</x:v>
      </x:c>
      <x:c r="Y929" s="38" t="n">
        <x:f>I929*P929</x:f>
        <x:v>8978.8</x:v>
      </x:c>
      <x:c r="Z929" s="38" t="n">
        <x:f>J929*Q929+K929*P929</x:f>
        <x:v>590.7082</x:v>
      </x:c>
      <x:c r="AA929" s="38" t="n">
        <x:f>M929*R929</x:f>
        <x:v>27201.49554</x:v>
      </x:c>
      <x:c r="AB929" s="38" t="n">
        <x:f>SUM(W929:AA929)</x:f>
        <x:v>285605.60282</x:v>
      </x:c>
      <x:c r="AC929" s="38" t="n">
        <x:v>20.89</x:v>
      </x:c>
      <x:c r="AD929" s="38" t="n">
        <x:v>174.33</x:v>
      </x:c>
      <x:c r="AE929" s="38" t="n">
        <x:v>143.45</x:v>
      </x:c>
      <x:c r="AF929" s="38" t="n">
        <x:v>4.8148</x:v>
      </x:c>
      <x:c r="AG929" s="38" t="n">
        <x:v>5.21</x:v>
      </x:c>
      <x:c r="AH929" s="38" t="n">
        <x:f>IF(E929="Fason",L929*S929,0)</x:f>
        <x:v>58913.53824999999</x:v>
      </x:c>
      <x:c r="AI929" s="38" t="n">
        <x:f>IF(E929="Kurum içi",AC929*AD929+AE929*AF929+AB929*12%,0)</x:f>
        <x:v>0</x:v>
      </x:c>
      <x:c r="AJ929" s="38" t="n">
        <x:f>V929*AG929</x:f>
        <x:v>2068.182002272732</x:v>
      </x:c>
      <x:c r="AK929" s="38" t="n">
        <x:f>AB929*2%</x:f>
        <x:v>5712.112056399999</x:v>
      </x:c>
      <x:c r="AL929" s="38" t="n">
        <x:f>AB929+AH929+AI929+AJ929+AK929</x:f>
        <x:v>352299.4351286727</x:v>
      </x:c>
      <x:c r="AM929" s="38" t="n">
        <x:f>AL929/V929</x:f>
        <x:v>887.4847837392307</x:v>
      </x:c>
      <x:c r="AN929" s="40" t="n">
        <x:f>(W929+X929)/AL929*100</x:f>
        <x:v>70.63156345655692</x:v>
      </x:c>
      <x:c r="AO929" s="28" t="str">
        <x:v>R01-R20; ilgili satırdaki bölgesel fiyat ve maliyet varsayımları</x:v>
      </x:c>
      <x:c r="AP929" s="28" t="str">
        <x:v>Girdi miktarları, alım fiyatı değişimi, fason bedeli ve parti sonucu simüle edilmiştir; işletme kaydı değildir.</x:v>
      </x:c>
    </x:row>
    <x:row r="930" ht="22" customHeight="1">
      <x:c r="A930" t="str">
        <x:v>SUC-0929</x:v>
      </x:c>
      <x:c r="B930" s="36" t="n">
        <x:v>46298</x:v>
      </x:c>
      <x:c r="C930" t="str">
        <x:v>Marmara</x:v>
      </x:c>
      <x:c r="D930" t="str">
        <x:v>ERZURUM_CI</x:v>
      </x:c>
      <x:c r="E930" t="str">
        <x:v>Fason</x:v>
      </x:c>
      <x:c r="F930" s="42" t="str">
        <x:v>SENTETİK/SİMÜLE — gerçek parti kaydı değildir</x:v>
      </x:c>
      <x:c r="G930" s="38" t="n">
        <x:v>128.711</x:v>
      </x:c>
      <x:c r="H930" s="38" t="n">
        <x:v>24.095</x:v>
      </x:c>
      <x:c r="I930" s="38" t="n">
        <x:v>7.34</x:v>
      </x:c>
      <x:c r="J930" s="38" t="n">
        <x:v>2.302</x:v>
      </x:c>
      <x:c r="K930" s="38" t="n">
        <x:v>0.173</x:v>
      </x:c>
      <x:c r="L930" s="38" t="n">
        <x:f>SUM(G930:K930)</x:f>
        <x:v>162.621</x:v>
      </x:c>
      <x:c r="M930" s="38" t="n">
        <x:v>198.207</x:v>
      </x:c>
      <x:c r="N930" s="38" t="n">
        <x:v>598.47</x:v>
      </x:c>
      <x:c r="O930" s="38" t="n">
        <x:v>419.47</x:v>
      </x:c>
      <x:c r="P930" s="38" t="n">
        <x:v>669.9</x:v>
      </x:c>
      <x:c r="Q930" s="38" t="n">
        <x:v>19.88</x:v>
      </x:c>
      <x:c r="R930" s="38" t="n">
        <x:v>43.7475</x:v>
      </x:c>
      <x:c r="S930" s="38" t="n">
        <x:v>103.18</x:v>
      </x:c>
      <x:c r="T930" s="40" t="n">
        <x:v>19.61</x:v>
      </x:c>
      <x:c r="U930" s="40" t="n">
        <x:v>0.33</x:v>
      </x:c>
      <x:c r="V930" s="38" t="n">
        <x:f>L930*(1-T930/100)*(1-U930/100)</x:f>
        <x:v>130.29960952773004</x:v>
      </x:c>
      <x:c r="W930" s="38" t="n">
        <x:f>G930*N930</x:f>
        <x:v>77029.67217</x:v>
      </x:c>
      <x:c r="X930" s="38" t="n">
        <x:f>H930*O930</x:f>
        <x:v>10107.12965</x:v>
      </x:c>
      <x:c r="Y930" s="38" t="n">
        <x:f>I930*P930</x:f>
        <x:v>4917.066</x:v>
      </x:c>
      <x:c r="Z930" s="38" t="n">
        <x:f>J930*Q930+K930*P930</x:f>
        <x:v>161.65645999999998</x:v>
      </x:c>
      <x:c r="AA930" s="38" t="n">
        <x:f>M930*R930</x:f>
        <x:v>8671.0607325</x:v>
      </x:c>
      <x:c r="AB930" s="38" t="n">
        <x:f>SUM(W930:AA930)</x:f>
        <x:v>100886.58501250001</x:v>
      </x:c>
      <x:c r="AC930" s="38" t="n">
        <x:v>8.38</x:v>
      </x:c>
      <x:c r="AD930" s="38" t="n">
        <x:v>174.33</x:v>
      </x:c>
      <x:c r="AE930" s="38" t="n">
        <x:v>37.3</x:v>
      </x:c>
      <x:c r="AF930" s="38" t="n">
        <x:v>4.8148</x:v>
      </x:c>
      <x:c r="AG930" s="38" t="n">
        <x:v>5.52</x:v>
      </x:c>
      <x:c r="AH930" s="38" t="n">
        <x:f>IF(E930="Fason",L930*S930,0)</x:f>
        <x:v>16779.234780000003</x:v>
      </x:c>
      <x:c r="AI930" s="38" t="n">
        <x:f>IF(E930="Kurum içi",AC930*AD930+AE930*AF930+AB930*12%,0)</x:f>
        <x:v>0</x:v>
      </x:c>
      <x:c r="AJ930" s="38" t="n">
        <x:f>V930*AG930</x:f>
        <x:v>719.2538445930697</x:v>
      </x:c>
      <x:c r="AK930" s="38" t="n">
        <x:f>AB930*2%</x:f>
        <x:v>2017.7317002500004</x:v>
      </x:c>
      <x:c r="AL930" s="38" t="n">
        <x:f>AB930+AH930+AI930+AJ930+AK930</x:f>
        <x:v>120402.80533734309</x:v>
      </x:c>
      <x:c r="AM930" s="38" t="n">
        <x:f>AL930/V930</x:f>
        <x:v>924.0457878096654</x:v>
      </x:c>
      <x:c r="AN930" s="40" t="n">
        <x:f>(W930+X930)/AL930*100</x:f>
        <x:v>72.37107273029162</x:v>
      </x:c>
      <x:c r="AO930" s="28" t="str">
        <x:v>R01-R20; ilgili satırdaki bölgesel fiyat ve maliyet varsayımları</x:v>
      </x:c>
      <x:c r="AP930" s="28" t="str">
        <x:v>Girdi miktarları, alım fiyatı değişimi, fason bedeli ve parti sonucu simüle edilmiştir; işletme kaydı değildir.</x:v>
      </x:c>
    </x:row>
    <x:row r="931" ht="22" customHeight="1">
      <x:c r="A931" t="str">
        <x:v>SUC-0930</x:v>
      </x:c>
      <x:c r="B931" s="36" t="n">
        <x:v>46267</x:v>
      </x:c>
      <x:c r="C931" t="str">
        <x:v>Ege</x:v>
      </x:c>
      <x:c r="D931" t="str">
        <x:v>ERZURUM_CI</x:v>
      </x:c>
      <x:c r="E931" t="str">
        <x:v>Kurum içi</x:v>
      </x:c>
      <x:c r="F931" s="42" t="str">
        <x:v>SENTETİK/SİMÜLE — gerçek parti kaydı değildir</x:v>
      </x:c>
      <x:c r="G931" s="38" t="n">
        <x:v>80.186</x:v>
      </x:c>
      <x:c r="H931" s="38" t="n">
        <x:v>14.93</x:v>
      </x:c>
      <x:c r="I931" s="38" t="n">
        <x:v>5.006</x:v>
      </x:c>
      <x:c r="J931" s="38" t="n">
        <x:v>1.494</x:v>
      </x:c>
      <x:c r="K931" s="38" t="n">
        <x:v>0.01</x:v>
      </x:c>
      <x:c r="L931" s="38" t="n">
        <x:f>SUM(G931:K931)</x:f>
        <x:v>101.62600000000002</x:v>
      </x:c>
      <x:c r="M931" s="38" t="n">
        <x:v>126.284</x:v>
      </x:c>
      <x:c r="N931" s="38" t="n">
        <x:v>591.67</x:v>
      </x:c>
      <x:c r="O931" s="38" t="n">
        <x:v>448.51</x:v>
      </x:c>
      <x:c r="P931" s="38" t="n">
        <x:v>669.9</x:v>
      </x:c>
      <x:c r="Q931" s="38" t="n">
        <x:v>19.88</x:v>
      </x:c>
      <x:c r="R931" s="38" t="n">
        <x:v>43.7475</x:v>
      </x:c>
      <x:c r="S931" s="38" t="n">
        <x:v>89.18</x:v>
      </x:c>
      <x:c r="T931" s="40" t="n">
        <x:v>24.7</x:v>
      </x:c>
      <x:c r="U931" s="40" t="n">
        <x:v>0.93</x:v>
      </x:c>
      <x:c r="V931" s="38" t="n">
        <x:f>L931*(1-T931/100)*(1-U931/100)</x:f>
        <x:v>75.81270128460001</x:v>
      </x:c>
      <x:c r="W931" s="38" t="n">
        <x:f>G931*N931</x:f>
        <x:v>47443.65062</x:v>
      </x:c>
      <x:c r="X931" s="38" t="n">
        <x:f>H931*O931</x:f>
        <x:v>6696.2543</x:v>
      </x:c>
      <x:c r="Y931" s="38" t="n">
        <x:f>I931*P931</x:f>
        <x:v>3353.5194</x:v>
      </x:c>
      <x:c r="Z931" s="38" t="n">
        <x:f>J931*Q931+K931*P931</x:f>
        <x:v>36.399719999999995</x:v>
      </x:c>
      <x:c r="AA931" s="38" t="n">
        <x:f>M931*R931</x:f>
        <x:v>5524.60929</x:v>
      </x:c>
      <x:c r="AB931" s="38" t="n">
        <x:f>SUM(W931:AA931)</x:f>
        <x:v>63054.43333</x:v>
      </x:c>
      <x:c r="AC931" s="38" t="n">
        <x:v>6.11</x:v>
      </x:c>
      <x:c r="AD931" s="38" t="n">
        <x:v>174.33</x:v>
      </x:c>
      <x:c r="AE931" s="38" t="n">
        <x:v>46.57</x:v>
      </x:c>
      <x:c r="AF931" s="38" t="n">
        <x:v>4.8148</x:v>
      </x:c>
      <x:c r="AG931" s="38" t="n">
        <x:v>5.4</x:v>
      </x:c>
      <x:c r="AH931" s="38" t="n">
        <x:f>IF(E931="Fason",L931*S931,0)</x:f>
        <x:v>0</x:v>
      </x:c>
      <x:c r="AI931" s="38" t="n">
        <x:f>IF(E931="Kurum içi",AC931*AD931+AE931*AF931+AB931*12%,0)</x:f>
        <x:v>8855.9135356</x:v>
      </x:c>
      <x:c r="AJ931" s="38" t="n">
        <x:f>V931*AG931</x:f>
        <x:v>409.38858693684006</x:v>
      </x:c>
      <x:c r="AK931" s="38" t="n">
        <x:f>AB931*2%</x:f>
        <x:v>1261.0886666000001</x:v>
      </x:c>
      <x:c r="AL931" s="38" t="n">
        <x:f>AB931+AH931+AI931+AJ931+AK931</x:f>
        <x:v>73580.82411913684</x:v>
      </x:c>
      <x:c r="AM931" s="38" t="n">
        <x:f>AL931/V931</x:f>
        <x:v>970.5606431686858</x:v>
      </x:c>
      <x:c r="AN931" s="40" t="n">
        <x:f>(W931+X931)/AL931*100</x:f>
        <x:v>73.57882378748641</x:v>
      </x:c>
      <x:c r="AO931" s="28" t="str">
        <x:v>R01-R20; ilgili satırdaki bölgesel fiyat ve maliyet varsayımları</x:v>
      </x:c>
      <x:c r="AP931" s="28" t="str">
        <x:v>Girdi miktarları, alım fiyatı değişimi, fason bedeli ve parti sonucu simüle edilmiştir; işletme kaydı değildir.</x:v>
      </x:c>
    </x:row>
    <x:row r="932" ht="22" customHeight="1">
      <x:c r="A932" t="str">
        <x:v>SUC-0931</x:v>
      </x:c>
      <x:c r="B932" s="36" t="n">
        <x:v>46275</x:v>
      </x:c>
      <x:c r="C932" t="str">
        <x:v>Doğu Anadolu</x:v>
      </x:c>
      <x:c r="D932" t="str">
        <x:v>ERZURUM_CI</x:v>
      </x:c>
      <x:c r="E932" t="str">
        <x:v>Kurum içi</x:v>
      </x:c>
      <x:c r="F932" s="42" t="str">
        <x:v>SENTETİK/SİMÜLE — gerçek parti kaydı değildir</x:v>
      </x:c>
      <x:c r="G932" s="38" t="n">
        <x:v>261.448</x:v>
      </x:c>
      <x:c r="H932" s="38" t="n">
        <x:v>48.496</x:v>
      </x:c>
      <x:c r="I932" s="38" t="n">
        <x:v>15.856</x:v>
      </x:c>
      <x:c r="J932" s="38" t="n">
        <x:v>5.674</x:v>
      </x:c>
      <x:c r="K932" s="38" t="n">
        <x:v>0.09</x:v>
      </x:c>
      <x:c r="L932" s="38" t="n">
        <x:f>SUM(G932:K932)</x:f>
        <x:v>331.5639999999999</x:v>
      </x:c>
      <x:c r="M932" s="38" t="n">
        <x:v>384.63</x:v>
      </x:c>
      <x:c r="N932" s="38" t="n">
        <x:v>585.46</x:v>
      </x:c>
      <x:c r="O932" s="38" t="n">
        <x:v>453.39</x:v>
      </x:c>
      <x:c r="P932" s="38" t="n">
        <x:v>669.9</x:v>
      </x:c>
      <x:c r="Q932" s="38" t="n">
        <x:v>19.88</x:v>
      </x:c>
      <x:c r="R932" s="38" t="n">
        <x:v>43.7475</x:v>
      </x:c>
      <x:c r="S932" s="38" t="n">
        <x:v>72.32</x:v>
      </x:c>
      <x:c r="T932" s="40" t="n">
        <x:v>16.17</x:v>
      </x:c>
      <x:c r="U932" s="40" t="n">
        <x:v>0.57</x:v>
      </x:c>
      <x:c r="V932" s="38" t="n">
        <x:f>L932*(1-T932/100)*(1-U932/100)</x:f>
        <x:v>276.3657856231599</x:v>
      </x:c>
      <x:c r="W932" s="38" t="n">
        <x:f>G932*N932</x:f>
        <x:v>153067.34608</x:v>
      </x:c>
      <x:c r="X932" s="38" t="n">
        <x:f>H932*O932</x:f>
        <x:v>21987.60144</x:v>
      </x:c>
      <x:c r="Y932" s="38" t="n">
        <x:f>I932*P932</x:f>
        <x:v>10621.9344</x:v>
      </x:c>
      <x:c r="Z932" s="38" t="n">
        <x:f>J932*Q932+K932*P932</x:f>
        <x:v>173.09012</x:v>
      </x:c>
      <x:c r="AA932" s="38" t="n">
        <x:f>M932*R932</x:f>
        <x:v>16826.600925000002</x:v>
      </x:c>
      <x:c r="AB932" s="38" t="n">
        <x:f>SUM(W932:AA932)</x:f>
        <x:v>202676.572965</x:v>
      </x:c>
      <x:c r="AC932" s="38" t="n">
        <x:v>22.51</x:v>
      </x:c>
      <x:c r="AD932" s="38" t="n">
        <x:v>174.33</x:v>
      </x:c>
      <x:c r="AE932" s="38" t="n">
        <x:v>135.6</x:v>
      </x:c>
      <x:c r="AF932" s="38" t="n">
        <x:v>4.8148</x:v>
      </x:c>
      <x:c r="AG932" s="38" t="n">
        <x:v>5.78</x:v>
      </x:c>
      <x:c r="AH932" s="38" t="n">
        <x:f>IF(E932="Fason",L932*S932,0)</x:f>
        <x:v>0</x:v>
      </x:c>
      <x:c r="AI932" s="38" t="n">
        <x:f>IF(E932="Kurum içi",AC932*AD932+AE932*AF932+AB932*12%,0)</x:f>
        <x:v>28898.243935799997</x:v>
      </x:c>
      <x:c r="AJ932" s="38" t="n">
        <x:f>V932*AG932</x:f>
        <x:v>1597.3942409018644</x:v>
      </x:c>
      <x:c r="AK932" s="38" t="n">
        <x:f>AB932*2%</x:f>
        <x:v>4053.5314593000003</x:v>
      </x:c>
      <x:c r="AL932" s="38" t="n">
        <x:f>AB932+AH932+AI932+AJ932+AK932</x:f>
        <x:v>237225.74260100184</x:v>
      </x:c>
      <x:c r="AM932" s="38" t="n">
        <x:f>AL932/V932</x:f>
        <x:v>858.3759457274942</x:v>
      </x:c>
      <x:c r="AN932" s="40" t="n">
        <x:f>(W932+X932)/AL932*100</x:f>
        <x:v>73.79255961037539</x:v>
      </x:c>
      <x:c r="AO932" s="28" t="str">
        <x:v>R01-R20; ilgili satırdaki bölgesel fiyat ve maliyet varsayımları</x:v>
      </x:c>
      <x:c r="AP932" s="28" t="str">
        <x:v>Girdi miktarları, alım fiyatı değişimi, fason bedeli ve parti sonucu simüle edilmiştir; işletme kaydı değildir.</x:v>
      </x:c>
    </x:row>
    <x:row r="933" ht="22" customHeight="1">
      <x:c r="A933" t="str">
        <x:v>SUC-0932</x:v>
      </x:c>
      <x:c r="B933" s="36" t="n">
        <x:v>46307</x:v>
      </x:c>
      <x:c r="C933" t="str">
        <x:v>Marmara</x:v>
      </x:c>
      <x:c r="D933" t="str">
        <x:v>ERZURUM_CI</x:v>
      </x:c>
      <x:c r="E933" t="str">
        <x:v>Kurum içi</x:v>
      </x:c>
      <x:c r="F933" s="42" t="str">
        <x:v>SENTETİK/SİMÜLE — gerçek parti kaydı değildir</x:v>
      </x:c>
      <x:c r="G933" s="38" t="n">
        <x:v>270.764</x:v>
      </x:c>
      <x:c r="H933" s="38" t="n">
        <x:v>45.398</x:v>
      </x:c>
      <x:c r="I933" s="38" t="n">
        <x:v>15.899</x:v>
      </x:c>
      <x:c r="J933" s="38" t="n">
        <x:v>5.481</x:v>
      </x:c>
      <x:c r="K933" s="38" t="n">
        <x:v>0.034</x:v>
      </x:c>
      <x:c r="L933" s="38" t="n">
        <x:f>SUM(G933:K933)</x:f>
        <x:v>337.576</x:v>
      </x:c>
      <x:c r="M933" s="38" t="n">
        <x:v>396.579</x:v>
      </x:c>
      <x:c r="N933" s="38" t="n">
        <x:v>617.86</x:v>
      </x:c>
      <x:c r="O933" s="38" t="n">
        <x:v>415.5</x:v>
      </x:c>
      <x:c r="P933" s="38" t="n">
        <x:v>669.9</x:v>
      </x:c>
      <x:c r="Q933" s="38" t="n">
        <x:v>19.88</x:v>
      </x:c>
      <x:c r="R933" s="38" t="n">
        <x:v>43.7475</x:v>
      </x:c>
      <x:c r="S933" s="38" t="n">
        <x:v>114.62</x:v>
      </x:c>
      <x:c r="T933" s="40" t="n">
        <x:v>18.04</x:v>
      </x:c>
      <x:c r="U933" s="40" t="n">
        <x:v>0.8</x:v>
      </x:c>
      <x:c r="V933" s="38" t="n">
        <x:f>L933*(1-T933/100)*(1-U933/100)</x:f>
        <x:v>274.4638712832</x:v>
      </x:c>
      <x:c r="W933" s="38" t="n">
        <x:f>G933*N933</x:f>
        <x:v>167294.24504</x:v>
      </x:c>
      <x:c r="X933" s="38" t="n">
        <x:f>H933*O933</x:f>
        <x:v>18862.869000000002</x:v>
      </x:c>
      <x:c r="Y933" s="38" t="n">
        <x:f>I933*P933</x:f>
        <x:v>10650.740099999999</x:v>
      </x:c>
      <x:c r="Z933" s="38" t="n">
        <x:f>J933*Q933+K933*P933</x:f>
        <x:v>131.73888</x:v>
      </x:c>
      <x:c r="AA933" s="38" t="n">
        <x:f>M933*R933</x:f>
        <x:v>17349.339802500002</x:v>
      </x:c>
      <x:c r="AB933" s="38" t="n">
        <x:f>SUM(W933:AA933)</x:f>
        <x:v>214288.9328225</x:v>
      </x:c>
      <x:c r="AC933" s="38" t="n">
        <x:v>17.46</x:v>
      </x:c>
      <x:c r="AD933" s="38" t="n">
        <x:v>174.33</x:v>
      </x:c>
      <x:c r="AE933" s="38" t="n">
        <x:v>92.31</x:v>
      </x:c>
      <x:c r="AF933" s="38" t="n">
        <x:v>4.8148</x:v>
      </x:c>
      <x:c r="AG933" s="38" t="n">
        <x:v>5.6</x:v>
      </x:c>
      <x:c r="AH933" s="38" t="n">
        <x:f>IF(E933="Fason",L933*S933,0)</x:f>
        <x:v>0</x:v>
      </x:c>
      <x:c r="AI933" s="38" t="n">
        <x:f>IF(E933="Kurum içi",AC933*AD933+AE933*AF933+AB933*12%,0)</x:f>
        <x:v>29202.927926700002</x:v>
      </x:c>
      <x:c r="AJ933" s="38" t="n">
        <x:f>V933*AG933</x:f>
        <x:v>1536.9976791859199</x:v>
      </x:c>
      <x:c r="AK933" s="38" t="n">
        <x:f>AB933*2%</x:f>
        <x:v>4285.77865645</x:v>
      </x:c>
      <x:c r="AL933" s="38" t="n">
        <x:f>AB933+AH933+AI933+AJ933+AK933</x:f>
        <x:v>249314.63708483594</x:v>
      </x:c>
      <x:c r="AM933" s="38" t="n">
        <x:f>AL933/V933</x:f>
        <x:v>908.3696004112165</x:v>
      </x:c>
      <x:c r="AN933" s="40" t="n">
        <x:f>(W933+X933)/AL933*100</x:f>
        <x:v>74.66754307596273</x:v>
      </x:c>
      <x:c r="AO933" s="28" t="str">
        <x:v>R01-R20; ilgili satırdaki bölgesel fiyat ve maliyet varsayımları</x:v>
      </x:c>
      <x:c r="AP933" s="28" t="str">
        <x:v>Girdi miktarları, alım fiyatı değişimi, fason bedeli ve parti sonucu simüle edilmiştir; işletme kaydı değildir.</x:v>
      </x:c>
    </x:row>
    <x:row r="934" ht="22" customHeight="1">
      <x:c r="A934" t="str">
        <x:v>SUC-0933</x:v>
      </x:c>
      <x:c r="B934" s="36" t="n">
        <x:v>46307</x:v>
      </x:c>
      <x:c r="C934" t="str">
        <x:v>Güneydoğu Anadolu</x:v>
      </x:c>
      <x:c r="D934" t="str">
        <x:v>MEB_STANDART</x:v>
      </x:c>
      <x:c r="E934" t="str">
        <x:v>Kurum içi</x:v>
      </x:c>
      <x:c r="F934" s="42" t="str">
        <x:v>SENTETİK/SİMÜLE — gerçek parti kaydı değildir</x:v>
      </x:c>
      <x:c r="G934" s="38" t="n">
        <x:v>141.898</x:v>
      </x:c>
      <x:c r="H934" s="38" t="n">
        <x:v>45.699</x:v>
      </x:c>
      <x:c r="I934" s="38" t="n">
        <x:v>8.919</x:v>
      </x:c>
      <x:c r="J934" s="38" t="n">
        <x:v>5.008</x:v>
      </x:c>
      <x:c r="K934" s="38" t="n">
        <x:v>1.787</x:v>
      </x:c>
      <x:c r="L934" s="38" t="n">
        <x:f>SUM(G934:K934)</x:f>
        <x:v>203.311</x:v>
      </x:c>
      <x:c r="M934" s="38" t="n">
        <x:v>243.1</x:v>
      </x:c>
      <x:c r="N934" s="38" t="n">
        <x:v>591.81</x:v>
      </x:c>
      <x:c r="O934" s="38" t="n">
        <x:v>413.18</x:v>
      </x:c>
      <x:c r="P934" s="38" t="n">
        <x:v>550</x:v>
      </x:c>
      <x:c r="Q934" s="38" t="n">
        <x:v>19.88</x:v>
      </x:c>
      <x:c r="R934" s="38" t="n">
        <x:v>43.7475</x:v>
      </x:c>
      <x:c r="S934" s="38" t="n">
        <x:v>72.69</x:v>
      </x:c>
      <x:c r="T934" s="40" t="n">
        <x:v>20.43</x:v>
      </x:c>
      <x:c r="U934" s="40" t="n">
        <x:v>1.4</x:v>
      </x:c>
      <x:c r="V934" s="38" t="n">
        <x:f>L934*(1-T934/100)*(1-U934/100)</x:f>
        <x:v>159.5097188222</x:v>
      </x:c>
      <x:c r="W934" s="38" t="n">
        <x:f>G934*N934</x:f>
        <x:v>83976.65538</x:v>
      </x:c>
      <x:c r="X934" s="38" t="n">
        <x:f>H934*O934</x:f>
        <x:v>18881.912819999998</x:v>
      </x:c>
      <x:c r="Y934" s="38" t="n">
        <x:f>I934*P934</x:f>
        <x:v>4905.45</x:v>
      </x:c>
      <x:c r="Z934" s="38" t="n">
        <x:f>J934*Q934+K934*P934</x:f>
        <x:v>1082.40904</x:v>
      </x:c>
      <x:c r="AA934" s="38" t="n">
        <x:f>M934*R934</x:f>
        <x:v>10635.01725</x:v>
      </x:c>
      <x:c r="AB934" s="38" t="n">
        <x:f>SUM(W934:AA934)</x:f>
        <x:v>119481.44449</x:v>
      </x:c>
      <x:c r="AC934" s="38" t="n">
        <x:v>8.99</x:v>
      </x:c>
      <x:c r="AD934" s="38" t="n">
        <x:v>174.33</x:v>
      </x:c>
      <x:c r="AE934" s="38" t="n">
        <x:v>78.45</x:v>
      </x:c>
      <x:c r="AF934" s="38" t="n">
        <x:v>4.8148</x:v>
      </x:c>
      <x:c r="AG934" s="38" t="n">
        <x:v>5.89</x:v>
      </x:c>
      <x:c r="AH934" s="38" t="n">
        <x:f>IF(E934="Fason",L934*S934,0)</x:f>
        <x:v>0</x:v>
      </x:c>
      <x:c r="AI934" s="38" t="n">
        <x:f>IF(E934="Kurum içi",AC934*AD934+AE934*AF934+AB934*12%,0)</x:f>
        <x:v>16282.7210988</x:v>
      </x:c>
      <x:c r="AJ934" s="38" t="n">
        <x:f>V934*AG934</x:f>
        <x:v>939.5122438627579</x:v>
      </x:c>
      <x:c r="AK934" s="38" t="n">
        <x:f>AB934*2%</x:f>
        <x:v>2389.6288898</x:v>
      </x:c>
      <x:c r="AL934" s="38" t="n">
        <x:f>AB934+AH934+AI934+AJ934+AK934</x:f>
        <x:v>139093.30672246273</x:v>
      </x:c>
      <x:c r="AM934" s="38" t="n">
        <x:f>AL934/V934</x:f>
        <x:v>872.0052154157783</x:v>
      </x:c>
      <x:c r="AN934" s="40" t="n">
        <x:f>(W934+X934)/AL934*100</x:f>
        <x:v>73.94932985901109</x:v>
      </x:c>
      <x:c r="AO934" s="28" t="str">
        <x:v>R01-R20; ilgili satırdaki bölgesel fiyat ve maliyet varsayımları</x:v>
      </x:c>
      <x:c r="AP934" s="28" t="str">
        <x:v>Girdi miktarları, alım fiyatı değişimi, fason bedeli ve parti sonucu simüle edilmiştir; işletme kaydı değildir.</x:v>
      </x:c>
    </x:row>
    <x:row r="935" ht="22" customHeight="1">
      <x:c r="A935" t="str">
        <x:v>SUC-0934</x:v>
      </x:c>
      <x:c r="B935" s="36" t="n">
        <x:v>46303</x:v>
      </x:c>
      <x:c r="C935" t="str">
        <x:v>İç Anadolu</x:v>
      </x:c>
      <x:c r="D935" t="str">
        <x:v>MEB_STANDART</x:v>
      </x:c>
      <x:c r="E935" t="str">
        <x:v>Kurum içi</x:v>
      </x:c>
      <x:c r="F935" s="42" t="str">
        <x:v>SENTETİK/SİMÜLE — gerçek parti kaydı değildir</x:v>
      </x:c>
      <x:c r="G935" s="38" t="n">
        <x:v>148.117</x:v>
      </x:c>
      <x:c r="H935" s="38" t="n">
        <x:v>45.045</x:v>
      </x:c>
      <x:c r="I935" s="38" t="n">
        <x:v>9.556</x:v>
      </x:c>
      <x:c r="J935" s="38" t="n">
        <x:v>5.183</x:v>
      </x:c>
      <x:c r="K935" s="38" t="n">
        <x:v>2.204</x:v>
      </x:c>
      <x:c r="L935" s="38" t="n">
        <x:f>SUM(G935:K935)</x:f>
        <x:v>210.105</x:v>
      </x:c>
      <x:c r="M935" s="38" t="n">
        <x:v>267.648</x:v>
      </x:c>
      <x:c r="N935" s="38" t="n">
        <x:v>596.48</x:v>
      </x:c>
      <x:c r="O935" s="38" t="n">
        <x:v>411.93</x:v>
      </x:c>
      <x:c r="P935" s="38" t="n">
        <x:v>400</x:v>
      </x:c>
      <x:c r="Q935" s="38" t="n">
        <x:v>19.88</x:v>
      </x:c>
      <x:c r="R935" s="38" t="n">
        <x:v>43.7475</x:v>
      </x:c>
      <x:c r="S935" s="38" t="n">
        <x:v>116.51</x:v>
      </x:c>
      <x:c r="T935" s="40" t="n">
        <x:v>24.26</x:v>
      </x:c>
      <x:c r="U935" s="40" t="n">
        <x:v>0.47</x:v>
      </x:c>
      <x:c r="V935" s="38" t="n">
        <x:f>L935*(1-T935/100)*(1-U935/100)</x:f>
        <x:v>158.3855994231</x:v>
      </x:c>
      <x:c r="W935" s="38" t="n">
        <x:f>G935*N935</x:f>
        <x:v>88348.82815999999</x:v>
      </x:c>
      <x:c r="X935" s="38" t="n">
        <x:f>H935*O935</x:f>
        <x:v>18555.386850000003</x:v>
      </x:c>
      <x:c r="Y935" s="38" t="n">
        <x:f>I935*P935</x:f>
        <x:v>3822.3999999999996</x:v>
      </x:c>
      <x:c r="Z935" s="38" t="n">
        <x:f>J935*Q935+K935*P935</x:f>
        <x:v>984.63804</x:v>
      </x:c>
      <x:c r="AA935" s="38" t="n">
        <x:f>M935*R935</x:f>
        <x:v>11708.930880000002</x:v>
      </x:c>
      <x:c r="AB935" s="38" t="n">
        <x:f>SUM(W935:AA935)</x:f>
        <x:v>123420.18392999998</x:v>
      </x:c>
      <x:c r="AC935" s="38" t="n">
        <x:v>11.11</x:v>
      </x:c>
      <x:c r="AD935" s="38" t="n">
        <x:v>174.33</x:v>
      </x:c>
      <x:c r="AE935" s="38" t="n">
        <x:v>51.41</x:v>
      </x:c>
      <x:c r="AF935" s="38" t="n">
        <x:v>4.8148</x:v>
      </x:c>
      <x:c r="AG935" s="38" t="n">
        <x:v>5.23</x:v>
      </x:c>
      <x:c r="AH935" s="38" t="n">
        <x:f>IF(E935="Fason",L935*S935,0)</x:f>
        <x:v>0</x:v>
      </x:c>
      <x:c r="AI935" s="38" t="n">
        <x:f>IF(E935="Kurum içi",AC935*AD935+AE935*AF935+AB935*12%,0)</x:f>
        <x:v>16994.7572396</x:v>
      </x:c>
      <x:c r="AJ935" s="38" t="n">
        <x:f>V935*AG935</x:f>
        <x:v>828.356684982813</x:v>
      </x:c>
      <x:c r="AK935" s="38" t="n">
        <x:f>AB935*2%</x:f>
        <x:v>2468.4036785999997</x:v>
      </x:c>
      <x:c r="AL935" s="38" t="n">
        <x:f>AB935+AH935+AI935+AJ935+AK935</x:f>
        <x:v>143711.7015331828</x:v>
      </x:c>
      <x:c r="AM935" s="38" t="n">
        <x:f>AL935/V935</x:f>
        <x:v>907.3533329837746</x:v>
      </x:c>
      <x:c r="AN935" s="40" t="n">
        <x:f>(W935+X935)/AL935*100</x:f>
        <x:v>74.38796832094845</x:v>
      </x:c>
      <x:c r="AO935" s="28" t="str">
        <x:v>R01-R20; ilgili satırdaki bölgesel fiyat ve maliyet varsayımları</x:v>
      </x:c>
      <x:c r="AP935" s="28" t="str">
        <x:v>Girdi miktarları, alım fiyatı değişimi, fason bedeli ve parti sonucu simüle edilmiştir; işletme kaydı değildir.</x:v>
      </x:c>
    </x:row>
    <x:row r="936" ht="22" customHeight="1">
      <x:c r="A936" t="str">
        <x:v>SUC-0935</x:v>
      </x:c>
      <x:c r="B936" s="36" t="n">
        <x:v>46270</x:v>
      </x:c>
      <x:c r="C936" t="str">
        <x:v>İç Anadolu</x:v>
      </x:c>
      <x:c r="D936" t="str">
        <x:v>MEB_STANDART</x:v>
      </x:c>
      <x:c r="E936" t="str">
        <x:v>Fason</x:v>
      </x:c>
      <x:c r="F936" s="42" t="str">
        <x:v>SENTETİK/SİMÜLE — gerçek parti kaydı değildir</x:v>
      </x:c>
      <x:c r="G936" s="38" t="n">
        <x:v>76.767</x:v>
      </x:c>
      <x:c r="H936" s="38" t="n">
        <x:v>23.245</x:v>
      </x:c>
      <x:c r="I936" s="38" t="n">
        <x:v>5.118</x:v>
      </x:c>
      <x:c r="J936" s="38" t="n">
        <x:v>2.697</x:v>
      </x:c>
      <x:c r="K936" s="38" t="n">
        <x:v>1.142</x:v>
      </x:c>
      <x:c r="L936" s="38" t="n">
        <x:f>SUM(G936:K936)</x:f>
        <x:v>108.969</x:v>
      </x:c>
      <x:c r="M936" s="38" t="n">
        <x:v>136.563</x:v>
      </x:c>
      <x:c r="N936" s="38" t="n">
        <x:v>590.38</x:v>
      </x:c>
      <x:c r="O936" s="38" t="n">
        <x:v>455.14</x:v>
      </x:c>
      <x:c r="P936" s="38" t="n">
        <x:v>669.9</x:v>
      </x:c>
      <x:c r="Q936" s="38" t="n">
        <x:v>19.88</x:v>
      </x:c>
      <x:c r="R936" s="38" t="n">
        <x:v>43.7475</x:v>
      </x:c>
      <x:c r="S936" s="38" t="n">
        <x:v>77.08</x:v>
      </x:c>
      <x:c r="T936" s="40" t="n">
        <x:v>18.78</x:v>
      </x:c>
      <x:c r="U936" s="40" t="n">
        <x:v>0.83</x:v>
      </x:c>
      <x:c r="V936" s="38" t="n">
        <x:f>L936*(1-T936/100)*(1-U936/100)</x:f>
        <x:v>87.77003343906</x:v>
      </x:c>
      <x:c r="W936" s="38" t="n">
        <x:f>G936*N936</x:f>
        <x:v>45321.70146</x:v>
      </x:c>
      <x:c r="X936" s="38" t="n">
        <x:f>H936*O936</x:f>
        <x:v>10579.7293</x:v>
      </x:c>
      <x:c r="Y936" s="38" t="n">
        <x:f>I936*P936</x:f>
        <x:v>3428.5482</x:v>
      </x:c>
      <x:c r="Z936" s="38" t="n">
        <x:f>J936*Q936+K936*P936</x:f>
        <x:v>818.6421599999999</x:v>
      </x:c>
      <x:c r="AA936" s="38" t="n">
        <x:f>M936*R936</x:f>
        <x:v>5974.289842499999</x:v>
      </x:c>
      <x:c r="AB936" s="38" t="n">
        <x:f>SUM(W936:AA936)</x:f>
        <x:v>66122.9109625</x:v>
      </x:c>
      <x:c r="AC936" s="38" t="n">
        <x:v>7.42</x:v>
      </x:c>
      <x:c r="AD936" s="38" t="n">
        <x:v>174.33</x:v>
      </x:c>
      <x:c r="AE936" s="38" t="n">
        <x:v>29.61</x:v>
      </x:c>
      <x:c r="AF936" s="38" t="n">
        <x:v>4.8148</x:v>
      </x:c>
      <x:c r="AG936" s="38" t="n">
        <x:v>5.31</x:v>
      </x:c>
      <x:c r="AH936" s="38" t="n">
        <x:f>IF(E936="Fason",L936*S936,0)</x:f>
        <x:v>8399.33052</x:v>
      </x:c>
      <x:c r="AI936" s="38" t="n">
        <x:f>IF(E936="Kurum içi",AC936*AD936+AE936*AF936+AB936*12%,0)</x:f>
        <x:v>0</x:v>
      </x:c>
      <x:c r="AJ936" s="38" t="n">
        <x:f>V936*AG936</x:f>
        <x:v>466.05887756140856</x:v>
      </x:c>
      <x:c r="AK936" s="38" t="n">
        <x:f>AB936*2%</x:f>
        <x:v>1322.45821925</x:v>
      </x:c>
      <x:c r="AL936" s="38" t="n">
        <x:f>AB936+AH936+AI936+AJ936+AK936</x:f>
        <x:v>76310.7585793114</x:v>
      </x:c>
      <x:c r="AM936" s="38" t="n">
        <x:f>AL936/V936</x:f>
        <x:v>869.4397801761697</x:v>
      </x:c>
      <x:c r="AN936" s="40" t="n">
        <x:f>(W936+X936)/AL936*100</x:f>
        <x:v>73.25497977051356</x:v>
      </x:c>
      <x:c r="AO936" s="28" t="str">
        <x:v>R01-R20; ilgili satırdaki bölgesel fiyat ve maliyet varsayımları</x:v>
      </x:c>
      <x:c r="AP936" s="28" t="str">
        <x:v>Girdi miktarları, alım fiyatı değişimi, fason bedeli ve parti sonucu simüle edilmiştir; işletme kaydı değildir.</x:v>
      </x:c>
    </x:row>
    <x:row r="937" ht="22" customHeight="1">
      <x:c r="A937" t="str">
        <x:v>SUC-0936</x:v>
      </x:c>
      <x:c r="B937" s="36" t="n">
        <x:v>46302</x:v>
      </x:c>
      <x:c r="C937" t="str">
        <x:v>Akdeniz</x:v>
      </x:c>
      <x:c r="D937" t="str">
        <x:v>MEB_STANDART</x:v>
      </x:c>
      <x:c r="E937" t="str">
        <x:v>Fason</x:v>
      </x:c>
      <x:c r="F937" s="42" t="str">
        <x:v>SENTETİK/SİMÜLE — gerçek parti kaydı değildir</x:v>
      </x:c>
      <x:c r="G937" s="38" t="n">
        <x:v>305.476</x:v>
      </x:c>
      <x:c r="H937" s="38" t="n">
        <x:v>94.863</x:v>
      </x:c>
      <x:c r="I937" s="38" t="n">
        <x:v>19.812</x:v>
      </x:c>
      <x:c r="J937" s="38" t="n">
        <x:v>10.821</x:v>
      </x:c>
      <x:c r="K937" s="38" t="n">
        <x:v>4.367</x:v>
      </x:c>
      <x:c r="L937" s="38" t="n">
        <x:f>SUM(G937:K937)</x:f>
        <x:v>435.33900000000006</x:v>
      </x:c>
      <x:c r="M937" s="38" t="n">
        <x:v>555.944</x:v>
      </x:c>
      <x:c r="N937" s="38" t="n">
        <x:v>590.67</x:v>
      </x:c>
      <x:c r="O937" s="38" t="n">
        <x:v>482.05</x:v>
      </x:c>
      <x:c r="P937" s="38" t="n">
        <x:v>550</x:v>
      </x:c>
      <x:c r="Q937" s="38" t="n">
        <x:v>19.88</x:v>
      </x:c>
      <x:c r="R937" s="38" t="n">
        <x:v>43.7475</x:v>
      </x:c>
      <x:c r="S937" s="38" t="n">
        <x:v>120.5</x:v>
      </x:c>
      <x:c r="T937" s="40" t="n">
        <x:v>16.42</x:v>
      </x:c>
      <x:c r="U937" s="40" t="n">
        <x:v>0.98</x:v>
      </x:c>
      <x:c r="V937" s="38" t="n">
        <x:f>L937*(1-T937/100)*(1-U937/100)</x:f>
        <x:v>360.29054410524003</x:v>
      </x:c>
      <x:c r="W937" s="38" t="n">
        <x:f>G937*N937</x:f>
        <x:v>180435.50892</x:v>
      </x:c>
      <x:c r="X937" s="38" t="n">
        <x:f>H937*O937</x:f>
        <x:v>45728.70915</x:v>
      </x:c>
      <x:c r="Y937" s="38" t="n">
        <x:f>I937*P937</x:f>
        <x:v>10896.6</x:v>
      </x:c>
      <x:c r="Z937" s="38" t="n">
        <x:f>J937*Q937+K937*P937</x:f>
        <x:v>2616.9714799999997</x:v>
      </x:c>
      <x:c r="AA937" s="38" t="n">
        <x:f>M937*R937</x:f>
        <x:v>24321.16014</x:v>
      </x:c>
      <x:c r="AB937" s="38" t="n">
        <x:f>SUM(W937:AA937)</x:f>
        <x:v>263998.94969000004</x:v>
      </x:c>
      <x:c r="AC937" s="38" t="n">
        <x:v>23.89</x:v>
      </x:c>
      <x:c r="AD937" s="38" t="n">
        <x:v>174.33</x:v>
      </x:c>
      <x:c r="AE937" s="38" t="n">
        <x:v>154.86</x:v>
      </x:c>
      <x:c r="AF937" s="38" t="n">
        <x:v>4.8148</x:v>
      </x:c>
      <x:c r="AG937" s="38" t="n">
        <x:v>5.83</x:v>
      </x:c>
      <x:c r="AH937" s="38" t="n">
        <x:f>IF(E937="Fason",L937*S937,0)</x:f>
        <x:v>52458.349500000004</x:v>
      </x:c>
      <x:c r="AI937" s="38" t="n">
        <x:f>IF(E937="Kurum içi",AC937*AD937+AE937*AF937+AB937*12%,0)</x:f>
        <x:v>0</x:v>
      </x:c>
      <x:c r="AJ937" s="38" t="n">
        <x:f>V937*AG937</x:f>
        <x:v>2100.4938721335493</x:v>
      </x:c>
      <x:c r="AK937" s="38" t="n">
        <x:f>AB937*2%</x:f>
        <x:v>5279.978993800001</x:v>
      </x:c>
      <x:c r="AL937" s="38" t="n">
        <x:f>AB937+AH937+AI937+AJ937+AK937</x:f>
        <x:v>323837.7720559336</x:v>
      </x:c>
      <x:c r="AM937" s="38" t="n">
        <x:f>AL937/V937</x:f>
        <x:v>898.8239557054302</x:v>
      </x:c>
      <x:c r="AN937" s="40" t="n">
        <x:f>(W937+X937)/AL937*100</x:f>
        <x:v>69.8387395127387</x:v>
      </x:c>
      <x:c r="AO937" s="28" t="str">
        <x:v>R01-R20; ilgili satırdaki bölgesel fiyat ve maliyet varsayımları</x:v>
      </x:c>
      <x:c r="AP937" s="28" t="str">
        <x:v>Girdi miktarları, alım fiyatı değişimi, fason bedeli ve parti sonucu simüle edilmiştir; işletme kaydı değildir.</x:v>
      </x:c>
    </x:row>
    <x:row r="938" ht="22" customHeight="1">
      <x:c r="A938" t="str">
        <x:v>SUC-0937</x:v>
      </x:c>
      <x:c r="B938" s="36" t="n">
        <x:v>46291</x:v>
      </x:c>
      <x:c r="C938" t="str">
        <x:v>Ege</x:v>
      </x:c>
      <x:c r="D938" t="str">
        <x:v>MEB_STANDART</x:v>
      </x:c>
      <x:c r="E938" t="str">
        <x:v>Fason</x:v>
      </x:c>
      <x:c r="F938" s="42" t="str">
        <x:v>SENTETİK/SİMÜLE — gerçek parti kaydı değildir</x:v>
      </x:c>
      <x:c r="G938" s="38" t="n">
        <x:v>145.352</x:v>
      </x:c>
      <x:c r="H938" s="38" t="n">
        <x:v>45.778</x:v>
      </x:c>
      <x:c r="I938" s="38" t="n">
        <x:v>9.886</x:v>
      </x:c>
      <x:c r="J938" s="38" t="n">
        <x:v>5.398</x:v>
      </x:c>
      <x:c r="K938" s="38" t="n">
        <x:v>2.199</x:v>
      </x:c>
      <x:c r="L938" s="38" t="n">
        <x:f>SUM(G938:K938)</x:f>
        <x:v>208.613</x:v>
      </x:c>
      <x:c r="M938" s="38" t="n">
        <x:v>251.192</x:v>
      </x:c>
      <x:c r="N938" s="38" t="n">
        <x:v>599.42</x:v>
      </x:c>
      <x:c r="O938" s="38" t="n">
        <x:v>448.68</x:v>
      </x:c>
      <x:c r="P938" s="38" t="n">
        <x:v>550</x:v>
      </x:c>
      <x:c r="Q938" s="38" t="n">
        <x:v>19.88</x:v>
      </x:c>
      <x:c r="R938" s="38" t="n">
        <x:v>43.7475</x:v>
      </x:c>
      <x:c r="S938" s="38" t="n">
        <x:v>117.27</x:v>
      </x:c>
      <x:c r="T938" s="40" t="n">
        <x:v>19.42</x:v>
      </x:c>
      <x:c r="U938" s="40" t="n">
        <x:v>0.53</x:v>
      </x:c>
      <x:c r="V938" s="38" t="n">
        <x:f>L938*(1-T938/100)*(1-U938/100)</x:f>
        <x:v>167.20942351637999</x:v>
      </x:c>
      <x:c r="W938" s="38" t="n">
        <x:f>G938*N938</x:f>
        <x:v>87126.89584</x:v>
      </x:c>
      <x:c r="X938" s="38" t="n">
        <x:f>H938*O938</x:f>
        <x:v>20539.67304</x:v>
      </x:c>
      <x:c r="Y938" s="38" t="n">
        <x:f>I938*P938</x:f>
        <x:v>5437.299999999999</x:v>
      </x:c>
      <x:c r="Z938" s="38" t="n">
        <x:f>J938*Q938+K938*P938</x:f>
        <x:v>1316.7622399999998</x:v>
      </x:c>
      <x:c r="AA938" s="38" t="n">
        <x:f>M938*R938</x:f>
        <x:v>10989.02202</x:v>
      </x:c>
      <x:c r="AB938" s="38" t="n">
        <x:f>SUM(W938:AA938)</x:f>
        <x:v>125409.65314000001</x:v>
      </x:c>
      <x:c r="AC938" s="38" t="n">
        <x:v>9.59</x:v>
      </x:c>
      <x:c r="AD938" s="38" t="n">
        <x:v>174.33</x:v>
      </x:c>
      <x:c r="AE938" s="38" t="n">
        <x:v>73.26</x:v>
      </x:c>
      <x:c r="AF938" s="38" t="n">
        <x:v>4.8148</x:v>
      </x:c>
      <x:c r="AG938" s="38" t="n">
        <x:v>5.15</x:v>
      </x:c>
      <x:c r="AH938" s="38" t="n">
        <x:f>IF(E938="Fason",L938*S938,0)</x:f>
        <x:v>24464.04651</x:v>
      </x:c>
      <x:c r="AI938" s="38" t="n">
        <x:f>IF(E938="Kurum içi",AC938*AD938+AE938*AF938+AB938*12%,0)</x:f>
        <x:v>0</x:v>
      </x:c>
      <x:c r="AJ938" s="38" t="n">
        <x:f>V938*AG938</x:f>
        <x:v>861.128531109357</x:v>
      </x:c>
      <x:c r="AK938" s="38" t="n">
        <x:f>AB938*2%</x:f>
        <x:v>2508.1930628000005</x:v>
      </x:c>
      <x:c r="AL938" s="38" t="n">
        <x:f>AB938+AH938+AI938+AJ938+AK938</x:f>
        <x:v>153243.0212439094</x:v>
      </x:c>
      <x:c r="AM938" s="38" t="n">
        <x:f>AL938/V938</x:f>
        <x:v>916.4735935406031</x:v>
      </x:c>
      <x:c r="AN938" s="40" t="n">
        <x:f>(W938+X938)/AL938*100</x:f>
        <x:v>70.25870934026575</x:v>
      </x:c>
      <x:c r="AO938" s="28" t="str">
        <x:v>R01-R20; ilgili satırdaki bölgesel fiyat ve maliyet varsayımları</x:v>
      </x:c>
      <x:c r="AP938" s="28" t="str">
        <x:v>Girdi miktarları, alım fiyatı değişimi, fason bedeli ve parti sonucu simüle edilmiştir; işletme kaydı değildir.</x:v>
      </x:c>
    </x:row>
    <x:row r="939" ht="22" customHeight="1">
      <x:c r="A939" t="str">
        <x:v>SUC-0938</x:v>
      </x:c>
      <x:c r="B939" s="36" t="n">
        <x:v>46312</x:v>
      </x:c>
      <x:c r="C939" t="str">
        <x:v>İç Anadolu</x:v>
      </x:c>
      <x:c r="D939" t="str">
        <x:v>ERZURUM_CI</x:v>
      </x:c>
      <x:c r="E939" t="str">
        <x:v>Kurum içi</x:v>
      </x:c>
      <x:c r="F939" s="42" t="str">
        <x:v>SENTETİK/SİMÜLE — gerçek parti kaydı değildir</x:v>
      </x:c>
      <x:c r="G939" s="38" t="n">
        <x:v>76.852</x:v>
      </x:c>
      <x:c r="H939" s="38" t="n">
        <x:v>13.088</x:v>
      </x:c>
      <x:c r="I939" s="38" t="n">
        <x:v>4.472</x:v>
      </x:c>
      <x:c r="J939" s="38" t="n">
        <x:v>1.438</x:v>
      </x:c>
      <x:c r="K939" s="38" t="n">
        <x:v>0.162</x:v>
      </x:c>
      <x:c r="L939" s="38" t="n">
        <x:f>SUM(G939:K939)</x:f>
        <x:v>96.012</x:v>
      </x:c>
      <x:c r="M939" s="38" t="n">
        <x:v>115.787</x:v>
      </x:c>
      <x:c r="N939" s="38" t="n">
        <x:v>573.4</x:v>
      </x:c>
      <x:c r="O939" s="38" t="n">
        <x:v>460.38</x:v>
      </x:c>
      <x:c r="P939" s="38" t="n">
        <x:v>669.9</x:v>
      </x:c>
      <x:c r="Q939" s="38" t="n">
        <x:v>19.88</x:v>
      </x:c>
      <x:c r="R939" s="38" t="n">
        <x:v>43.7475</x:v>
      </x:c>
      <x:c r="S939" s="38" t="n">
        <x:v>70.64</x:v>
      </x:c>
      <x:c r="T939" s="40" t="n">
        <x:v>25.08</x:v>
      </x:c>
      <x:c r="U939" s="40" t="n">
        <x:v>0.39</x:v>
      </x:c>
      <x:c r="V939" s="38" t="n">
        <x:f>L939*(1-T939/100)*(1-U939/100)</x:f>
        <x:v>71.65165485744001</x:v>
      </x:c>
      <x:c r="W939" s="38" t="n">
        <x:f>G939*N939</x:f>
        <x:v>44066.9368</x:v>
      </x:c>
      <x:c r="X939" s="38" t="n">
        <x:f>H939*O939</x:f>
        <x:v>6025.453439999999</x:v>
      </x:c>
      <x:c r="Y939" s="38" t="n">
        <x:f>I939*P939</x:f>
        <x:v>2995.7928</x:v>
      </x:c>
      <x:c r="Z939" s="38" t="n">
        <x:f>J939*Q939+K939*P939</x:f>
        <x:v>137.11123999999998</x:v>
      </x:c>
      <x:c r="AA939" s="38" t="n">
        <x:f>M939*R939</x:f>
        <x:v>5065.391782500001</x:v>
      </x:c>
      <x:c r="AB939" s="38" t="n">
        <x:f>SUM(W939:AA939)</x:f>
        <x:v>58290.686062500004</x:v>
      </x:c>
      <x:c r="AC939" s="38" t="n">
        <x:v>4.32</x:v>
      </x:c>
      <x:c r="AD939" s="38" t="n">
        <x:v>174.33</x:v>
      </x:c>
      <x:c r="AE939" s="38" t="n">
        <x:v>26.76</x:v>
      </x:c>
      <x:c r="AF939" s="38" t="n">
        <x:v>4.8148</x:v>
      </x:c>
      <x:c r="AG939" s="38" t="n">
        <x:v>5.88</x:v>
      </x:c>
      <x:c r="AH939" s="38" t="n">
        <x:f>IF(E939="Fason",L939*S939,0)</x:f>
        <x:v>0</x:v>
      </x:c>
      <x:c r="AI939" s="38" t="n">
        <x:f>IF(E939="Kurum içi",AC939*AD939+AE939*AF939+AB939*12%,0)</x:f>
        <x:v>7876.8319755</x:v>
      </x:c>
      <x:c r="AJ939" s="38" t="n">
        <x:f>V939*AG939</x:f>
        <x:v>421.31173056174725</x:v>
      </x:c>
      <x:c r="AK939" s="38" t="n">
        <x:f>AB939*2%</x:f>
        <x:v>1165.81372125</x:v>
      </x:c>
      <x:c r="AL939" s="38" t="n">
        <x:f>AB939+AH939+AI939+AJ939+AK939</x:f>
        <x:v>67754.64348981176</x:v>
      </x:c>
      <x:c r="AM939" s="38" t="n">
        <x:f>AL939/V939</x:f>
        <x:v>945.6117046370828</x:v>
      </x:c>
      <x:c r="AN939" s="40" t="n">
        <x:f>(W939+X939)/AL939*100</x:f>
        <x:v>73.93204016715455</x:v>
      </x:c>
      <x:c r="AO939" s="28" t="str">
        <x:v>R01-R20; ilgili satırdaki bölgesel fiyat ve maliyet varsayımları</x:v>
      </x:c>
      <x:c r="AP939" s="28" t="str">
        <x:v>Girdi miktarları, alım fiyatı değişimi, fason bedeli ve parti sonucu simüle edilmiştir; işletme kaydı değildir.</x:v>
      </x:c>
    </x:row>
    <x:row r="940" ht="22" customHeight="1">
      <x:c r="A940" t="str">
        <x:v>SUC-0939</x:v>
      </x:c>
      <x:c r="B940" s="36" t="n">
        <x:v>46280</x:v>
      </x:c>
      <x:c r="C940" t="str">
        <x:v>Akdeniz</x:v>
      </x:c>
      <x:c r="D940" t="str">
        <x:v>ERZURUM_CI</x:v>
      </x:c>
      <x:c r="E940" t="str">
        <x:v>Fason</x:v>
      </x:c>
      <x:c r="F940" s="42" t="str">
        <x:v>SENTETİK/SİMÜLE — gerçek parti kaydı değildir</x:v>
      </x:c>
      <x:c r="G940" s="38" t="n">
        <x:v>169.232</x:v>
      </x:c>
      <x:c r="H940" s="38" t="n">
        <x:v>30.808</x:v>
      </x:c>
      <x:c r="I940" s="38" t="n">
        <x:v>9.533</x:v>
      </x:c>
      <x:c r="J940" s="38" t="n">
        <x:v>3.023</x:v>
      </x:c>
      <x:c r="K940" s="38" t="n">
        <x:v>0.027</x:v>
      </x:c>
      <x:c r="L940" s="38" t="n">
        <x:f>SUM(G940:K940)</x:f>
        <x:v>212.62299999999996</x:v>
      </x:c>
      <x:c r="M940" s="38" t="n">
        <x:v>253.118</x:v>
      </x:c>
      <x:c r="N940" s="38" t="n">
        <x:v>591.68</x:v>
      </x:c>
      <x:c r="O940" s="38" t="n">
        <x:v>465.07</x:v>
      </x:c>
      <x:c r="P940" s="38" t="n">
        <x:v>669.9</x:v>
      </x:c>
      <x:c r="Q940" s="38" t="n">
        <x:v>19.88</x:v>
      </x:c>
      <x:c r="R940" s="38" t="n">
        <x:v>43.7475</x:v>
      </x:c>
      <x:c r="S940" s="38" t="n">
        <x:v>75.62</x:v>
      </x:c>
      <x:c r="T940" s="40" t="n">
        <x:v>18.32</x:v>
      </x:c>
      <x:c r="U940" s="40" t="n">
        <x:v>1.25</x:v>
      </x:c>
      <x:c r="V940" s="38" t="n">
        <x:f>L940*(1-T940/100)*(1-U940/100)</x:f>
        <x:v>171.49958556999997</x:v>
      </x:c>
      <x:c r="W940" s="38" t="n">
        <x:f>G940*N940</x:f>
        <x:v>100131.18976</x:v>
      </x:c>
      <x:c r="X940" s="38" t="n">
        <x:f>H940*O940</x:f>
        <x:v>14327.87656</x:v>
      </x:c>
      <x:c r="Y940" s="38" t="n">
        <x:f>I940*P940</x:f>
        <x:v>6386.1567</x:v>
      </x:c>
      <x:c r="Z940" s="38" t="n">
        <x:f>J940*Q940+K940*P940</x:f>
        <x:v>78.18454</x:v>
      </x:c>
      <x:c r="AA940" s="38" t="n">
        <x:f>M940*R940</x:f>
        <x:v>11073.279705</x:v>
      </x:c>
      <x:c r="AB940" s="38" t="n">
        <x:f>SUM(W940:AA940)</x:f>
        <x:v>131996.68726500002</x:v>
      </x:c>
      <x:c r="AC940" s="38" t="n">
        <x:v>8.01</x:v>
      </x:c>
      <x:c r="AD940" s="38" t="n">
        <x:v>174.33</x:v>
      </x:c>
      <x:c r="AE940" s="38" t="n">
        <x:v>73.58</x:v>
      </x:c>
      <x:c r="AF940" s="38" t="n">
        <x:v>4.8148</x:v>
      </x:c>
      <x:c r="AG940" s="38" t="n">
        <x:v>5.19</x:v>
      </x:c>
      <x:c r="AH940" s="38" t="n">
        <x:f>IF(E940="Fason",L940*S940,0)</x:f>
        <x:v>16078.551259999998</x:v>
      </x:c>
      <x:c r="AI940" s="38" t="n">
        <x:f>IF(E940="Kurum içi",AC940*AD940+AE940*AF940+AB940*12%,0)</x:f>
        <x:v>0</x:v>
      </x:c>
      <x:c r="AJ940" s="38" t="n">
        <x:f>V940*AG940</x:f>
        <x:v>890.0828491082999</x:v>
      </x:c>
      <x:c r="AK940" s="38" t="n">
        <x:f>AB940*2%</x:f>
        <x:v>2639.9337453000003</x:v>
      </x:c>
      <x:c r="AL940" s="38" t="n">
        <x:f>AB940+AH940+AI940+AJ940+AK940</x:f>
        <x:v>151605.2551194083</x:v>
      </x:c>
      <x:c r="AM940" s="38" t="n">
        <x:f>AL940/V940</x:f>
        <x:v>883.99779285489</x:v>
      </x:c>
      <x:c r="AN940" s="40" t="n">
        <x:f>(W940+X940)/AL940*100</x:f>
        <x:v>75.49808628325516</x:v>
      </x:c>
      <x:c r="AO940" s="28" t="str">
        <x:v>R01-R20; ilgili satırdaki bölgesel fiyat ve maliyet varsayımları</x:v>
      </x:c>
      <x:c r="AP940" s="28" t="str">
        <x:v>Girdi miktarları, alım fiyatı değişimi, fason bedeli ve parti sonucu simüle edilmiştir; işletme kaydı değildir.</x:v>
      </x:c>
    </x:row>
    <x:row r="941" ht="22" customHeight="1">
      <x:c r="A941" t="str">
        <x:v>SUC-0940</x:v>
      </x:c>
      <x:c r="B941" s="36" t="n">
        <x:v>46293</x:v>
      </x:c>
      <x:c r="C941" t="str">
        <x:v>Ege</x:v>
      </x:c>
      <x:c r="D941" t="str">
        <x:v>ERZURUM_CI</x:v>
      </x:c>
      <x:c r="E941" t="str">
        <x:v>Kurum içi</x:v>
      </x:c>
      <x:c r="F941" s="42" t="str">
        <x:v>SENTETİK/SİMÜLE — gerçek parti kaydı değildir</x:v>
      </x:c>
      <x:c r="G941" s="38" t="n">
        <x:v>306.167</x:v>
      </x:c>
      <x:c r="H941" s="38" t="n">
        <x:v>53.759</x:v>
      </x:c>
      <x:c r="I941" s="38" t="n">
        <x:v>18.818</x:v>
      </x:c>
      <x:c r="J941" s="38" t="n">
        <x:v>6.153</x:v>
      </x:c>
      <x:c r="K941" s="38" t="n">
        <x:v>0.901</x:v>
      </x:c>
      <x:c r="L941" s="38" t="n">
        <x:f>SUM(G941:K941)</x:f>
        <x:v>385.798</x:v>
      </x:c>
      <x:c r="M941" s="38" t="n">
        <x:v>493.803</x:v>
      </x:c>
      <x:c r="N941" s="38" t="n">
        <x:v>612.48</x:v>
      </x:c>
      <x:c r="O941" s="38" t="n">
        <x:v>483.49</x:v>
      </x:c>
      <x:c r="P941" s="38" t="n">
        <x:v>400</x:v>
      </x:c>
      <x:c r="Q941" s="38" t="n">
        <x:v>19.88</x:v>
      </x:c>
      <x:c r="R941" s="38" t="n">
        <x:v>43.7475</x:v>
      </x:c>
      <x:c r="S941" s="38" t="n">
        <x:v>71.88</x:v>
      </x:c>
      <x:c r="T941" s="40" t="n">
        <x:v>15.99</x:v>
      </x:c>
      <x:c r="U941" s="40" t="n">
        <x:v>1.73</x:v>
      </x:c>
      <x:c r="V941" s="38" t="n">
        <x:f>L941*(1-T941/100)*(1-U941/100)</x:f>
        <x:v>318.50181583345994</x:v>
      </x:c>
      <x:c r="W941" s="38" t="n">
        <x:f>G941*N941</x:f>
        <x:v>187521.16416</x:v>
      </x:c>
      <x:c r="X941" s="38" t="n">
        <x:f>H941*O941</x:f>
        <x:v>25991.93891</x:v>
      </x:c>
      <x:c r="Y941" s="38" t="n">
        <x:f>I941*P941</x:f>
        <x:v>7527.200000000001</x:v>
      </x:c>
      <x:c r="Z941" s="38" t="n">
        <x:f>J941*Q941+K941*P941</x:f>
        <x:v>482.72164000000004</x:v>
      </x:c>
      <x:c r="AA941" s="38" t="n">
        <x:f>M941*R941</x:f>
        <x:v>21602.6467425</x:v>
      </x:c>
      <x:c r="AB941" s="38" t="n">
        <x:f>SUM(W941:AA941)</x:f>
        <x:v>243125.67145249998</x:v>
      </x:c>
      <x:c r="AC941" s="38" t="n">
        <x:v>23.22</x:v>
      </x:c>
      <x:c r="AD941" s="38" t="n">
        <x:v>174.33</x:v>
      </x:c>
      <x:c r="AE941" s="38" t="n">
        <x:v>135.46</x:v>
      </x:c>
      <x:c r="AF941" s="38" t="n">
        <x:v>4.8148</x:v>
      </x:c>
      <x:c r="AG941" s="38" t="n">
        <x:v>5.29</x:v>
      </x:c>
      <x:c r="AH941" s="38" t="n">
        <x:f>IF(E941="Fason",L941*S941,0)</x:f>
        <x:v>0</x:v>
      </x:c>
      <x:c r="AI941" s="38" t="n">
        <x:f>IF(E941="Kurum içi",AC941*AD941+AE941*AF941+AB941*12%,0)</x:f>
        <x:v>33875.2359823</x:v>
      </x:c>
      <x:c r="AJ941" s="38" t="n">
        <x:f>V941*AG941</x:f>
        <x:v>1684.874605759003</x:v>
      </x:c>
      <x:c r="AK941" s="38" t="n">
        <x:f>AB941*2%</x:f>
        <x:v>4862.51342905</x:v>
      </x:c>
      <x:c r="AL941" s="38" t="n">
        <x:f>AB941+AH941+AI941+AJ941+AK941</x:f>
        <x:v>283548.295469609</x:v>
      </x:c>
      <x:c r="AM941" s="38" t="n">
        <x:f>AL941/V941</x:f>
        <x:v>890.2564487038037</x:v>
      </x:c>
      <x:c r="AN941" s="40" t="n">
        <x:f>(W941+X941)/AL941*100</x:f>
        <x:v>75.30043610961667</x:v>
      </x:c>
      <x:c r="AO941" s="28" t="str">
        <x:v>R01-R20; ilgili satırdaki bölgesel fiyat ve maliyet varsayımları</x:v>
      </x:c>
      <x:c r="AP941" s="28" t="str">
        <x:v>Girdi miktarları, alım fiyatı değişimi, fason bedeli ve parti sonucu simüle edilmiştir; işletme kaydı değildir.</x:v>
      </x:c>
    </x:row>
    <x:row r="942" ht="22" customHeight="1">
      <x:c r="A942" t="str">
        <x:v>SUC-0941</x:v>
      </x:c>
      <x:c r="B942" s="36" t="n">
        <x:v>46276</x:v>
      </x:c>
      <x:c r="C942" t="str">
        <x:v>İç Anadolu</x:v>
      </x:c>
      <x:c r="D942" t="str">
        <x:v>ERZURUM_CI</x:v>
      </x:c>
      <x:c r="E942" t="str">
        <x:v>Kurum içi</x:v>
      </x:c>
      <x:c r="F942" s="42" t="str">
        <x:v>SENTETİK/SİMÜLE — gerçek parti kaydı değildir</x:v>
      </x:c>
      <x:c r="G942" s="38" t="n">
        <x:v>367.096</x:v>
      </x:c>
      <x:c r="H942" s="38" t="n">
        <x:v>61.395</x:v>
      </x:c>
      <x:c r="I942" s="38" t="n">
        <x:v>20.031</x:v>
      </x:c>
      <x:c r="J942" s="38" t="n">
        <x:v>6.49</x:v>
      </x:c>
      <x:c r="K942" s="38" t="n">
        <x:v>0.392</x:v>
      </x:c>
      <x:c r="L942" s="38" t="n">
        <x:f>SUM(G942:K942)</x:f>
        <x:v>455.404</x:v>
      </x:c>
      <x:c r="M942" s="38" t="n">
        <x:v>575.838</x:v>
      </x:c>
      <x:c r="N942" s="38" t="n">
        <x:v>592.23</x:v>
      </x:c>
      <x:c r="O942" s="38" t="n">
        <x:v>427.88</x:v>
      </x:c>
      <x:c r="P942" s="38" t="n">
        <x:v>400</x:v>
      </x:c>
      <x:c r="Q942" s="38" t="n">
        <x:v>19.88</x:v>
      </x:c>
      <x:c r="R942" s="38" t="n">
        <x:v>43.7475</x:v>
      </x:c>
      <x:c r="S942" s="38" t="n">
        <x:v>106.96</x:v>
      </x:c>
      <x:c r="T942" s="40" t="n">
        <x:v>22.37</x:v>
      </x:c>
      <x:c r="U942" s="40" t="n">
        <x:v>0.33</x:v>
      </x:c>
      <x:c r="V942" s="38" t="n">
        <x:f>L942*(1-T942/100)*(1-U942/100)</x:f>
        <x:v>352.36347578684</x:v>
      </x:c>
      <x:c r="W942" s="38" t="n">
        <x:f>G942*N942</x:f>
        <x:v>217405.26408000002</x:v>
      </x:c>
      <x:c r="X942" s="38" t="n">
        <x:f>H942*O942</x:f>
        <x:v>26269.692600000002</x:v>
      </x:c>
      <x:c r="Y942" s="38" t="n">
        <x:f>I942*P942</x:f>
        <x:v>8012.4</x:v>
      </x:c>
      <x:c r="Z942" s="38" t="n">
        <x:f>J942*Q942+K942*P942</x:f>
        <x:v>285.8212</x:v>
      </x:c>
      <x:c r="AA942" s="38" t="n">
        <x:f>M942*R942</x:f>
        <x:v>25191.472905</x:v>
      </x:c>
      <x:c r="AB942" s="38" t="n">
        <x:f>SUM(W942:AA942)</x:f>
        <x:v>277164.650785</x:v>
      </x:c>
      <x:c r="AC942" s="38" t="n">
        <x:v>27.46</x:v>
      </x:c>
      <x:c r="AD942" s="38" t="n">
        <x:v>174.33</x:v>
      </x:c>
      <x:c r="AE942" s="38" t="n">
        <x:v>209.35</x:v>
      </x:c>
      <x:c r="AF942" s="38" t="n">
        <x:v>4.8148</x:v>
      </x:c>
      <x:c r="AG942" s="38" t="n">
        <x:v>5.24</x:v>
      </x:c>
      <x:c r="AH942" s="38" t="n">
        <x:f>IF(E942="Fason",L942*S942,0)</x:f>
        <x:v>0</x:v>
      </x:c>
      <x:c r="AI942" s="38" t="n">
        <x:f>IF(E942="Kurum içi",AC942*AD942+AE942*AF942+AB942*12%,0)</x:f>
        <x:v>39054.838274199996</x:v>
      </x:c>
      <x:c r="AJ942" s="38" t="n">
        <x:f>V942*AG942</x:f>
        <x:v>1846.3846131230418</x:v>
      </x:c>
      <x:c r="AK942" s="38" t="n">
        <x:f>AB942*2%</x:f>
        <x:v>5543.2930157</x:v>
      </x:c>
      <x:c r="AL942" s="38" t="n">
        <x:f>AB942+AH942+AI942+AJ942+AK942</x:f>
        <x:v>323609.166688023</x:v>
      </x:c>
      <x:c r="AM942" s="38" t="n">
        <x:f>AL942/V942</x:f>
        <x:v>918.3958864220884</x:v>
      </x:c>
      <x:c r="AN942" s="40" t="n">
        <x:f>(W942+X942)/AL942*100</x:f>
        <x:v>75.29915149619852</x:v>
      </x:c>
      <x:c r="AO942" s="28" t="str">
        <x:v>R01-R20; ilgili satırdaki bölgesel fiyat ve maliyet varsayımları</x:v>
      </x:c>
      <x:c r="AP942" s="28" t="str">
        <x:v>Girdi miktarları, alım fiyatı değişimi, fason bedeli ve parti sonucu simüle edilmiştir; işletme kaydı değildir.</x:v>
      </x:c>
    </x:row>
    <x:row r="943" ht="22" customHeight="1">
      <x:c r="A943" t="str">
        <x:v>SUC-0942</x:v>
      </x:c>
      <x:c r="B943" s="36" t="n">
        <x:v>46266</x:v>
      </x:c>
      <x:c r="C943" t="str">
        <x:v>Marmara</x:v>
      </x:c>
      <x:c r="D943" t="str">
        <x:v>MEB_STANDART</x:v>
      </x:c>
      <x:c r="E943" t="str">
        <x:v>Fason</x:v>
      </x:c>
      <x:c r="F943" s="42" t="str">
        <x:v>SENTETİK/SİMÜLE — gerçek parti kaydı değildir</x:v>
      </x:c>
      <x:c r="G943" s="38" t="n">
        <x:v>182.11</x:v>
      </x:c>
      <x:c r="H943" s="38" t="n">
        <x:v>57.976</x:v>
      </x:c>
      <x:c r="I943" s="38" t="n">
        <x:v>11.807</x:v>
      </x:c>
      <x:c r="J943" s="38" t="n">
        <x:v>6.89</x:v>
      </x:c>
      <x:c r="K943" s="38" t="n">
        <x:v>2.311</x:v>
      </x:c>
      <x:c r="L943" s="38" t="n">
        <x:f>SUM(G943:K943)</x:f>
        <x:v>261.094</x:v>
      </x:c>
      <x:c r="M943" s="38" t="n">
        <x:v>329.056</x:v>
      </x:c>
      <x:c r="N943" s="38" t="n">
        <x:v>603.03</x:v>
      </x:c>
      <x:c r="O943" s="38" t="n">
        <x:v>470.22</x:v>
      </x:c>
      <x:c r="P943" s="38" t="n">
        <x:v>669.9</x:v>
      </x:c>
      <x:c r="Q943" s="38" t="n">
        <x:v>19.88</x:v>
      </x:c>
      <x:c r="R943" s="38" t="n">
        <x:v>43.7475</x:v>
      </x:c>
      <x:c r="S943" s="38" t="n">
        <x:v>72.12</x:v>
      </x:c>
      <x:c r="T943" s="40" t="n">
        <x:v>23.36</x:v>
      </x:c>
      <x:c r="U943" s="40" t="n">
        <x:v>0.38</x:v>
      </x:c>
      <x:c r="V943" s="38" t="n">
        <x:f>L943*(1-T943/100)*(1-U943/100)</x:f>
        <x:v>199.34205232192</x:v>
      </x:c>
      <x:c r="W943" s="38" t="n">
        <x:f>G943*N943</x:f>
        <x:v>109817.7933</x:v>
      </x:c>
      <x:c r="X943" s="38" t="n">
        <x:f>H943*O943</x:f>
        <x:v>27261.474720000002</x:v>
      </x:c>
      <x:c r="Y943" s="38" t="n">
        <x:f>I943*P943</x:f>
        <x:v>7909.5093</x:v>
      </x:c>
      <x:c r="Z943" s="38" t="n">
        <x:f>J943*Q943+K943*P943</x:f>
        <x:v>1685.1120999999998</x:v>
      </x:c>
      <x:c r="AA943" s="38" t="n">
        <x:f>M943*R943</x:f>
        <x:v>14395.37736</x:v>
      </x:c>
      <x:c r="AB943" s="38" t="n">
        <x:f>SUM(W943:AA943)</x:f>
        <x:v>161069.26678000003</x:v>
      </x:c>
      <x:c r="AC943" s="38" t="n">
        <x:v>17.36</x:v>
      </x:c>
      <x:c r="AD943" s="38" t="n">
        <x:v>174.33</x:v>
      </x:c>
      <x:c r="AE943" s="38" t="n">
        <x:v>106.59</x:v>
      </x:c>
      <x:c r="AF943" s="38" t="n">
        <x:v>4.8148</x:v>
      </x:c>
      <x:c r="AG943" s="38" t="n">
        <x:v>5.7</x:v>
      </x:c>
      <x:c r="AH943" s="38" t="n">
        <x:f>IF(E943="Fason",L943*S943,0)</x:f>
        <x:v>18830.099280000002</x:v>
      </x:c>
      <x:c r="AI943" s="38" t="n">
        <x:f>IF(E943="Kurum içi",AC943*AD943+AE943*AF943+AB943*12%,0)</x:f>
        <x:v>0</x:v>
      </x:c>
      <x:c r="AJ943" s="38" t="n">
        <x:f>V943*AG943</x:f>
        <x:v>1136.249698234944</x:v>
      </x:c>
      <x:c r="AK943" s="38" t="n">
        <x:f>AB943*2%</x:f>
        <x:v>3221.385335600001</x:v>
      </x:c>
      <x:c r="AL943" s="38" t="n">
        <x:f>AB943+AH943+AI943+AJ943+AK943</x:f>
        <x:v>184257.001093835</x:v>
      </x:c>
      <x:c r="AM943" s="38" t="n">
        <x:f>AL943/V943</x:f>
        <x:v>924.3257955239471</x:v>
      </x:c>
      <x:c r="AN943" s="40" t="n">
        <x:f>(W943+X943)/AL943*100</x:f>
        <x:v>74.39569037064206</x:v>
      </x:c>
      <x:c r="AO943" s="28" t="str">
        <x:v>R01-R20; ilgili satırdaki bölgesel fiyat ve maliyet varsayımları</x:v>
      </x:c>
      <x:c r="AP943" s="28" t="str">
        <x:v>Girdi miktarları, alım fiyatı değişimi, fason bedeli ve parti sonucu simüle edilmiştir; işletme kaydı değildir.</x:v>
      </x:c>
    </x:row>
    <x:row r="944" ht="22" customHeight="1">
      <x:c r="A944" t="str">
        <x:v>SUC-0943</x:v>
      </x:c>
      <x:c r="B944" s="36" t="n">
        <x:v>46314</x:v>
      </x:c>
      <x:c r="C944" t="str">
        <x:v>Karadeniz</x:v>
      </x:c>
      <x:c r="D944" t="str">
        <x:v>MEB_STANDART</x:v>
      </x:c>
      <x:c r="E944" t="str">
        <x:v>Fason</x:v>
      </x:c>
      <x:c r="F944" s="42" t="str">
        <x:v>SENTETİK/SİMÜLE — gerçek parti kaydı değildir</x:v>
      </x:c>
      <x:c r="G944" s="38" t="n">
        <x:v>224.202</x:v>
      </x:c>
      <x:c r="H944" s="38" t="n">
        <x:v>71.888</x:v>
      </x:c>
      <x:c r="I944" s="38" t="n">
        <x:v>13.275</x:v>
      </x:c>
      <x:c r="J944" s="38" t="n">
        <x:v>8.506</x:v>
      </x:c>
      <x:c r="K944" s="38" t="n">
        <x:v>3.208</x:v>
      </x:c>
      <x:c r="L944" s="38" t="n">
        <x:f>SUM(G944:K944)</x:f>
        <x:v>321.079</x:v>
      </x:c>
      <x:c r="M944" s="38" t="n">
        <x:v>414.539</x:v>
      </x:c>
      <x:c r="N944" s="38" t="n">
        <x:v>593.49</x:v>
      </x:c>
      <x:c r="O944" s="38" t="n">
        <x:v>448.68</x:v>
      </x:c>
      <x:c r="P944" s="38" t="n">
        <x:v>550</x:v>
      </x:c>
      <x:c r="Q944" s="38" t="n">
        <x:v>19.88</x:v>
      </x:c>
      <x:c r="R944" s="38" t="n">
        <x:v>43.7475</x:v>
      </x:c>
      <x:c r="S944" s="38" t="n">
        <x:v>105.96</x:v>
      </x:c>
      <x:c r="T944" s="40" t="n">
        <x:v>30.59</x:v>
      </x:c>
      <x:c r="U944" s="40" t="n">
        <x:v>0.96</x:v>
      </x:c>
      <x:c r="V944" s="38" t="n">
        <x:f>L944*(1-T944/100)*(1-U944/100)</x:f>
        <x:v>220.72146893456</x:v>
      </x:c>
      <x:c r="W944" s="38" t="n">
        <x:f>G944*N944</x:f>
        <x:v>133061.64498</x:v>
      </x:c>
      <x:c r="X944" s="38" t="n">
        <x:f>H944*O944</x:f>
        <x:v>32254.707840000003</x:v>
      </x:c>
      <x:c r="Y944" s="38" t="n">
        <x:f>I944*P944</x:f>
        <x:v>7301.25</x:v>
      </x:c>
      <x:c r="Z944" s="38" t="n">
        <x:f>J944*Q944+K944*P944</x:f>
        <x:v>1933.49928</x:v>
      </x:c>
      <x:c r="AA944" s="38" t="n">
        <x:f>M944*R944</x:f>
        <x:v>18135.0449025</x:v>
      </x:c>
      <x:c r="AB944" s="38" t="n">
        <x:f>SUM(W944:AA944)</x:f>
        <x:v>192686.14700250002</x:v>
      </x:c>
      <x:c r="AC944" s="38" t="n">
        <x:v>12.68</x:v>
      </x:c>
      <x:c r="AD944" s="38" t="n">
        <x:v>174.33</x:v>
      </x:c>
      <x:c r="AE944" s="38" t="n">
        <x:v>95.92</x:v>
      </x:c>
      <x:c r="AF944" s="38" t="n">
        <x:v>4.8148</x:v>
      </x:c>
      <x:c r="AG944" s="38" t="n">
        <x:v>5.76</x:v>
      </x:c>
      <x:c r="AH944" s="38" t="n">
        <x:f>IF(E944="Fason",L944*S944,0)</x:f>
        <x:v>34021.53084</x:v>
      </x:c>
      <x:c r="AI944" s="38" t="n">
        <x:f>IF(E944="Kurum içi",AC944*AD944+AE944*AF944+AB944*12%,0)</x:f>
        <x:v>0</x:v>
      </x:c>
      <x:c r="AJ944" s="38" t="n">
        <x:f>V944*AG944</x:f>
        <x:v>1271.3556610630656</x:v>
      </x:c>
      <x:c r="AK944" s="38" t="n">
        <x:f>AB944*2%</x:f>
        <x:v>3853.7229400500005</x:v>
      </x:c>
      <x:c r="AL944" s="38" t="n">
        <x:f>AB944+AH944+AI944+AJ944+AK944</x:f>
        <x:v>231832.7564436131</x:v>
      </x:c>
      <x:c r="AM944" s="38" t="n">
        <x:f>AL944/V944</x:f>
        <x:v>1050.340764596612</x:v>
      </x:c>
      <x:c r="AN944" s="40" t="n">
        <x:f>(W944+X944)/AL944*100</x:f>
        <x:v>71.30845328158304</x:v>
      </x:c>
      <x:c r="AO944" s="28" t="str">
        <x:v>R01-R20; ilgili satırdaki bölgesel fiyat ve maliyet varsayımları</x:v>
      </x:c>
      <x:c r="AP944" s="28" t="str">
        <x:v>Girdi miktarları, alım fiyatı değişimi, fason bedeli ve parti sonucu simüle edilmiştir; işletme kaydı değildir.</x:v>
      </x:c>
    </x:row>
    <x:row r="945" ht="22" customHeight="1">
      <x:c r="A945" t="str">
        <x:v>SUC-0944</x:v>
      </x:c>
      <x:c r="B945" s="36" t="n">
        <x:v>46311</x:v>
      </x:c>
      <x:c r="C945" t="str">
        <x:v>Güneydoğu Anadolu</x:v>
      </x:c>
      <x:c r="D945" t="str">
        <x:v>ERZURUM_CI</x:v>
      </x:c>
      <x:c r="E945" t="str">
        <x:v>Fason</x:v>
      </x:c>
      <x:c r="F945" s="42" t="str">
        <x:v>SENTETİK/SİMÜLE — gerçek parti kaydı değildir</x:v>
      </x:c>
      <x:c r="G945" s="38" t="n">
        <x:v>314.204</x:v>
      </x:c>
      <x:c r="H945" s="38" t="n">
        <x:v>59.341</x:v>
      </x:c>
      <x:c r="I945" s="38" t="n">
        <x:v>18.884</x:v>
      </x:c>
      <x:c r="J945" s="38" t="n">
        <x:v>6.279</x:v>
      </x:c>
      <x:c r="K945" s="38" t="n">
        <x:v>0.04</x:v>
      </x:c>
      <x:c r="L945" s="38" t="n">
        <x:f>SUM(G945:K945)</x:f>
        <x:v>398.74800000000005</x:v>
      </x:c>
      <x:c r="M945" s="38" t="n">
        <x:v>515.844</x:v>
      </x:c>
      <x:c r="N945" s="38" t="n">
        <x:v>595.65</x:v>
      </x:c>
      <x:c r="O945" s="38" t="n">
        <x:v>471.62</x:v>
      </x:c>
      <x:c r="P945" s="38" t="n">
        <x:v>550</x:v>
      </x:c>
      <x:c r="Q945" s="38" t="n">
        <x:v>19.88</x:v>
      </x:c>
      <x:c r="R945" s="38" t="n">
        <x:v>43.7475</x:v>
      </x:c>
      <x:c r="S945" s="38" t="n">
        <x:v>88.25</x:v>
      </x:c>
      <x:c r="T945" s="40" t="n">
        <x:v>23.45</x:v>
      </x:c>
      <x:c r="U945" s="40" t="n">
        <x:v>0.97</x:v>
      </x:c>
      <x:c r="V945" s="38" t="n">
        <x:f>L945*(1-T945/100)*(1-U945/100)</x:f>
        <x:v>302.28075053820004</x:v>
      </x:c>
      <x:c r="W945" s="38" t="n">
        <x:f>G945*N945</x:f>
        <x:v>187155.6126</x:v>
      </x:c>
      <x:c r="X945" s="38" t="n">
        <x:f>H945*O945</x:f>
        <x:v>27986.402420000002</x:v>
      </x:c>
      <x:c r="Y945" s="38" t="n">
        <x:f>I945*P945</x:f>
        <x:v>10386.2</x:v>
      </x:c>
      <x:c r="Z945" s="38" t="n">
        <x:f>J945*Q945+K945*P945</x:f>
        <x:v>146.82652</x:v>
      </x:c>
      <x:c r="AA945" s="38" t="n">
        <x:f>M945*R945</x:f>
        <x:v>22566.885390000003</x:v>
      </x:c>
      <x:c r="AB945" s="38" t="n">
        <x:f>SUM(W945:AA945)</x:f>
        <x:v>248241.92693000002</x:v>
      </x:c>
      <x:c r="AC945" s="38" t="n">
        <x:v>21.35</x:v>
      </x:c>
      <x:c r="AD945" s="38" t="n">
        <x:v>174.33</x:v>
      </x:c>
      <x:c r="AE945" s="38" t="n">
        <x:v>186.99</x:v>
      </x:c>
      <x:c r="AF945" s="38" t="n">
        <x:v>4.8148</x:v>
      </x:c>
      <x:c r="AG945" s="38" t="n">
        <x:v>5.72</x:v>
      </x:c>
      <x:c r="AH945" s="38" t="n">
        <x:f>IF(E945="Fason",L945*S945,0)</x:f>
        <x:v>35189.511000000006</x:v>
      </x:c>
      <x:c r="AI945" s="38" t="n">
        <x:f>IF(E945="Kurum içi",AC945*AD945+AE945*AF945+AB945*12%,0)</x:f>
        <x:v>0</x:v>
      </x:c>
      <x:c r="AJ945" s="38" t="n">
        <x:f>V945*AG945</x:f>
        <x:v>1729.0458930785042</x:v>
      </x:c>
      <x:c r="AK945" s="38" t="n">
        <x:f>AB945*2%</x:f>
        <x:v>4964.8385386</x:v>
      </x:c>
      <x:c r="AL945" s="38" t="n">
        <x:f>AB945+AH945+AI945+AJ945+AK945</x:f>
        <x:v>290125.3223616785</x:v>
      </x:c>
      <x:c r="AM945" s="38" t="n">
        <x:f>AL945/V945</x:f>
        <x:v>959.7876207635478</x:v>
      </x:c>
      <x:c r="AN945" s="40" t="n">
        <x:f>(W945+X945)/AL945*100</x:f>
        <x:v>74.1548560010897</x:v>
      </x:c>
      <x:c r="AO945" s="28" t="str">
        <x:v>R01-R20; ilgili satırdaki bölgesel fiyat ve maliyet varsayımları</x:v>
      </x:c>
      <x:c r="AP945" s="28" t="str">
        <x:v>Girdi miktarları, alım fiyatı değişimi, fason bedeli ve parti sonucu simüle edilmiştir; işletme kaydı değildir.</x:v>
      </x:c>
    </x:row>
    <x:row r="946" ht="22" customHeight="1">
      <x:c r="A946" t="str">
        <x:v>SUC-0945</x:v>
      </x:c>
      <x:c r="B946" s="36" t="n">
        <x:v>46305</x:v>
      </x:c>
      <x:c r="C946" t="str">
        <x:v>İç Anadolu</x:v>
      </x:c>
      <x:c r="D946" t="str">
        <x:v>ERZURUM_CI</x:v>
      </x:c>
      <x:c r="E946" t="str">
        <x:v>Fason</x:v>
      </x:c>
      <x:c r="F946" s="42" t="str">
        <x:v>SENTETİK/SİMÜLE — gerçek parti kaydı değildir</x:v>
      </x:c>
      <x:c r="G946" s="38" t="n">
        <x:v>328.26</x:v>
      </x:c>
      <x:c r="H946" s="38" t="n">
        <x:v>53.866</x:v>
      </x:c>
      <x:c r="I946" s="38" t="n">
        <x:v>19.004</x:v>
      </x:c>
      <x:c r="J946" s="38" t="n">
        <x:v>7.002</x:v>
      </x:c>
      <x:c r="K946" s="38" t="n">
        <x:v>0.041</x:v>
      </x:c>
      <x:c r="L946" s="38" t="n">
        <x:f>SUM(G946:K946)</x:f>
        <x:v>408.173</x:v>
      </x:c>
      <x:c r="M946" s="38" t="n">
        <x:v>518.913</x:v>
      </x:c>
      <x:c r="N946" s="38" t="n">
        <x:v>599.61</x:v>
      </x:c>
      <x:c r="O946" s="38" t="n">
        <x:v>418.24</x:v>
      </x:c>
      <x:c r="P946" s="38" t="n">
        <x:v>400</x:v>
      </x:c>
      <x:c r="Q946" s="38" t="n">
        <x:v>19.88</x:v>
      </x:c>
      <x:c r="R946" s="38" t="n">
        <x:v>43.7475</x:v>
      </x:c>
      <x:c r="S946" s="38" t="n">
        <x:v>111.24</x:v>
      </x:c>
      <x:c r="T946" s="40" t="n">
        <x:v>29.48</x:v>
      </x:c>
      <x:c r="U946" s="40" t="n">
        <x:v>0.88</x:v>
      </x:c>
      <x:c r="V946" s="38" t="n">
        <x:f>L946*(1-T946/100)*(1-U946/100)</x:f>
        <x:v>285.31057592352</x:v>
      </x:c>
      <x:c r="W946" s="38" t="n">
        <x:f>G946*N946</x:f>
        <x:v>196827.9786</x:v>
      </x:c>
      <x:c r="X946" s="38" t="n">
        <x:f>H946*O946</x:f>
        <x:v>22528.91584</x:v>
      </x:c>
      <x:c r="Y946" s="38" t="n">
        <x:f>I946*P946</x:f>
        <x:v>7601.6</x:v>
      </x:c>
      <x:c r="Z946" s="38" t="n">
        <x:f>J946*Q946+K946*P946</x:f>
        <x:v>155.59976</x:v>
      </x:c>
      <x:c r="AA946" s="38" t="n">
        <x:f>M946*R946</x:f>
        <x:v>22701.146467500002</x:v>
      </x:c>
      <x:c r="AB946" s="38" t="n">
        <x:f>SUM(W946:AA946)</x:f>
        <x:v>249815.2406675</x:v>
      </x:c>
      <x:c r="AC946" s="38" t="n">
        <x:v>23.82</x:v>
      </x:c>
      <x:c r="AD946" s="38" t="n">
        <x:v>174.33</x:v>
      </x:c>
      <x:c r="AE946" s="38" t="n">
        <x:v>101.12</x:v>
      </x:c>
      <x:c r="AF946" s="38" t="n">
        <x:v>4.8148</x:v>
      </x:c>
      <x:c r="AG946" s="38" t="n">
        <x:v>5.33</x:v>
      </x:c>
      <x:c r="AH946" s="38" t="n">
        <x:f>IF(E946="Fason",L946*S946,0)</x:f>
        <x:v>45405.16452</x:v>
      </x:c>
      <x:c r="AI946" s="38" t="n">
        <x:f>IF(E946="Kurum içi",AC946*AD946+AE946*AF946+AB946*12%,0)</x:f>
        <x:v>0</x:v>
      </x:c>
      <x:c r="AJ946" s="38" t="n">
        <x:f>V946*AG946</x:f>
        <x:v>1520.7053696723615</x:v>
      </x:c>
      <x:c r="AK946" s="38" t="n">
        <x:f>AB946*2%</x:f>
        <x:v>4996.304813350001</x:v>
      </x:c>
      <x:c r="AL946" s="38" t="n">
        <x:f>AB946+AH946+AI946+AJ946+AK946</x:f>
        <x:v>301737.4153705224</x:v>
      </x:c>
      <x:c r="AM946" s="38" t="n">
        <x:f>AL946/V946</x:f>
        <x:v>1057.5752910449621</x:v>
      </x:c>
      <x:c r="AN946" s="40" t="n">
        <x:f>(W946+X946)/AL946*100</x:f>
        <x:v>72.69794306769607</x:v>
      </x:c>
      <x:c r="AO946" s="28" t="str">
        <x:v>R01-R20; ilgili satırdaki bölgesel fiyat ve maliyet varsayımları</x:v>
      </x:c>
      <x:c r="AP946" s="28" t="str">
        <x:v>Girdi miktarları, alım fiyatı değişimi, fason bedeli ve parti sonucu simüle edilmiştir; işletme kaydı değildir.</x:v>
      </x:c>
    </x:row>
    <x:row r="947" ht="22" customHeight="1">
      <x:c r="A947" t="str">
        <x:v>SUC-0946</x:v>
      </x:c>
      <x:c r="B947" s="36" t="n">
        <x:v>46281</x:v>
      </x:c>
      <x:c r="C947" t="str">
        <x:v>Akdeniz</x:v>
      </x:c>
      <x:c r="D947" t="str">
        <x:v>ERZURUM_CI</x:v>
      </x:c>
      <x:c r="E947" t="str">
        <x:v>Fason</x:v>
      </x:c>
      <x:c r="F947" s="42" t="str">
        <x:v>SENTETİK/SİMÜLE — gerçek parti kaydı değildir</x:v>
      </x:c>
      <x:c r="G947" s="38" t="n">
        <x:v>201.73</x:v>
      </x:c>
      <x:c r="H947" s="38" t="n">
        <x:v>35.577</x:v>
      </x:c>
      <x:c r="I947" s="38" t="n">
        <x:v>12.046</x:v>
      </x:c>
      <x:c r="J947" s="38" t="n">
        <x:v>4.242</x:v>
      </x:c>
      <x:c r="K947" s="38" t="n">
        <x:v>0.354</x:v>
      </x:c>
      <x:c r="L947" s="38" t="n">
        <x:f>SUM(G947:K947)</x:f>
        <x:v>253.94899999999998</x:v>
      </x:c>
      <x:c r="M947" s="38" t="n">
        <x:v>338.997</x:v>
      </x:c>
      <x:c r="N947" s="38" t="n">
        <x:v>597.5</x:v>
      </x:c>
      <x:c r="O947" s="38" t="n">
        <x:v>437.66</x:v>
      </x:c>
      <x:c r="P947" s="38" t="n">
        <x:v>669.9</x:v>
      </x:c>
      <x:c r="Q947" s="38" t="n">
        <x:v>19.88</x:v>
      </x:c>
      <x:c r="R947" s="38" t="n">
        <x:v>43.7475</x:v>
      </x:c>
      <x:c r="S947" s="38" t="n">
        <x:v>74.24</x:v>
      </x:c>
      <x:c r="T947" s="40" t="n">
        <x:v>17.52</x:v>
      </x:c>
      <x:c r="U947" s="40" t="n">
        <x:v>0.53</x:v>
      </x:c>
      <x:c r="V947" s="38" t="n">
        <x:f>L947*(1-T947/100)*(1-U947/100)</x:f>
        <x:v>208.34701238344</x:v>
      </x:c>
      <x:c r="W947" s="38" t="n">
        <x:f>G947*N947</x:f>
        <x:v>120533.67499999999</x:v>
      </x:c>
      <x:c r="X947" s="38" t="n">
        <x:f>H947*O947</x:f>
        <x:v>15570.62982</x:v>
      </x:c>
      <x:c r="Y947" s="38" t="n">
        <x:f>I947*P947</x:f>
        <x:v>8069.6154</x:v>
      </x:c>
      <x:c r="Z947" s="38" t="n">
        <x:f>J947*Q947+K947*P947</x:f>
        <x:v>321.47556</x:v>
      </x:c>
      <x:c r="AA947" s="38" t="n">
        <x:f>M947*R947</x:f>
        <x:v>14830.2712575</x:v>
      </x:c>
      <x:c r="AB947" s="38" t="n">
        <x:f>SUM(W947:AA947)</x:f>
        <x:v>159325.66703749998</x:v>
      </x:c>
      <x:c r="AC947" s="38" t="n">
        <x:v>10.26</x:v>
      </x:c>
      <x:c r="AD947" s="38" t="n">
        <x:v>174.33</x:v>
      </x:c>
      <x:c r="AE947" s="38" t="n">
        <x:v>115.56</x:v>
      </x:c>
      <x:c r="AF947" s="38" t="n">
        <x:v>4.8148</x:v>
      </x:c>
      <x:c r="AG947" s="38" t="n">
        <x:v>5.69</x:v>
      </x:c>
      <x:c r="AH947" s="38" t="n">
        <x:f>IF(E947="Fason",L947*S947,0)</x:f>
        <x:v>18853.173759999998</x:v>
      </x:c>
      <x:c r="AI947" s="38" t="n">
        <x:f>IF(E947="Kurum içi",AC947*AD947+AE947*AF947+AB947*12%,0)</x:f>
        <x:v>0</x:v>
      </x:c>
      <x:c r="AJ947" s="38" t="n">
        <x:f>V947*AG947</x:f>
        <x:v>1185.4945004617737</x:v>
      </x:c>
      <x:c r="AK947" s="38" t="n">
        <x:f>AB947*2%</x:f>
        <x:v>3186.5133407499998</x:v>
      </x:c>
      <x:c r="AL947" s="38" t="n">
        <x:f>AB947+AH947+AI947+AJ947+AK947</x:f>
        <x:v>182550.84863871176</x:v>
      </x:c>
      <x:c r="AM947" s="38" t="n">
        <x:f>AL947/V947</x:f>
        <x:v>876.186543547583</x:v>
      </x:c>
      <x:c r="AN947" s="40" t="n">
        <x:f>(W947+X947)/AL947*100</x:f>
        <x:v>74.5569280202939</x:v>
      </x:c>
      <x:c r="AO947" s="28" t="str">
        <x:v>R01-R20; ilgili satırdaki bölgesel fiyat ve maliyet varsayımları</x:v>
      </x:c>
      <x:c r="AP947" s="28" t="str">
        <x:v>Girdi miktarları, alım fiyatı değişimi, fason bedeli ve parti sonucu simüle edilmiştir; işletme kaydı değildir.</x:v>
      </x:c>
    </x:row>
    <x:row r="948" ht="22" customHeight="1">
      <x:c r="A948" t="str">
        <x:v>SUC-0947</x:v>
      </x:c>
      <x:c r="B948" s="36" t="n">
        <x:v>46294</x:v>
      </x:c>
      <x:c r="C948" t="str">
        <x:v>Ege</x:v>
      </x:c>
      <x:c r="D948" t="str">
        <x:v>MEB_STANDART</x:v>
      </x:c>
      <x:c r="E948" t="str">
        <x:v>Kurum içi</x:v>
      </x:c>
      <x:c r="F948" s="42" t="str">
        <x:v>SENTETİK/SİMÜLE — gerçek parti kaydı değildir</x:v>
      </x:c>
      <x:c r="G948" s="38" t="n">
        <x:v>137.036</x:v>
      </x:c>
      <x:c r="H948" s="38" t="n">
        <x:v>43.965</x:v>
      </x:c>
      <x:c r="I948" s="38" t="n">
        <x:v>9.098</x:v>
      </x:c>
      <x:c r="J948" s="38" t="n">
        <x:v>4.574</x:v>
      </x:c>
      <x:c r="K948" s="38" t="n">
        <x:v>1.908</x:v>
      </x:c>
      <x:c r="L948" s="38" t="n">
        <x:f>SUM(G948:K948)</x:f>
        <x:v>196.58100000000002</x:v>
      </x:c>
      <x:c r="M948" s="38" t="n">
        <x:v>234.359</x:v>
      </x:c>
      <x:c r="N948" s="38" t="n">
        <x:v>612.16</x:v>
      </x:c>
      <x:c r="O948" s="38" t="n">
        <x:v>438.88</x:v>
      </x:c>
      <x:c r="P948" s="38" t="n">
        <x:v>550</x:v>
      </x:c>
      <x:c r="Q948" s="38" t="n">
        <x:v>19.88</x:v>
      </x:c>
      <x:c r="R948" s="38" t="n">
        <x:v>43.7475</x:v>
      </x:c>
      <x:c r="S948" s="38" t="n">
        <x:v>113.29</x:v>
      </x:c>
      <x:c r="T948" s="40" t="n">
        <x:v>21.66</x:v>
      </x:c>
      <x:c r="U948" s="40" t="n">
        <x:v>0.88</x:v>
      </x:c>
      <x:c r="V948" s="38" t="n">
        <x:f>L948*(1-T948/100)*(1-U948/100)</x:f>
        <x:v>152.64634171248</x:v>
      </x:c>
      <x:c r="W948" s="38" t="n">
        <x:f>G948*N948</x:f>
        <x:v>83887.95775999999</x:v>
      </x:c>
      <x:c r="X948" s="38" t="n">
        <x:f>H948*O948</x:f>
        <x:v>19295.359200000003</x:v>
      </x:c>
      <x:c r="Y948" s="38" t="n">
        <x:f>I948*P948</x:f>
        <x:v>5003.900000000001</x:v>
      </x:c>
      <x:c r="Z948" s="38" t="n">
        <x:f>J948*Q948+K948*P948</x:f>
        <x:v>1140.3311199999998</x:v>
      </x:c>
      <x:c r="AA948" s="38" t="n">
        <x:f>M948*R948</x:f>
        <x:v>10252.6203525</x:v>
      </x:c>
      <x:c r="AB948" s="38" t="n">
        <x:f>SUM(W948:AA948)</x:f>
        <x:v>119580.1684325</x:v>
      </x:c>
      <x:c r="AC948" s="38" t="n">
        <x:v>10.12</x:v>
      </x:c>
      <x:c r="AD948" s="38" t="n">
        <x:v>174.33</x:v>
      </x:c>
      <x:c r="AE948" s="38" t="n">
        <x:v>64.39</x:v>
      </x:c>
      <x:c r="AF948" s="38" t="n">
        <x:v>4.8148</x:v>
      </x:c>
      <x:c r="AG948" s="38" t="n">
        <x:v>5.77</x:v>
      </x:c>
      <x:c r="AH948" s="38" t="n">
        <x:f>IF(E948="Fason",L948*S948,0)</x:f>
        <x:v>0</x:v>
      </x:c>
      <x:c r="AI948" s="38" t="n">
        <x:f>IF(E948="Kurum içi",AC948*AD948+AE948*AF948+AB948*12%,0)</x:f>
        <x:v>16423.8647839</x:v>
      </x:c>
      <x:c r="AJ948" s="38" t="n">
        <x:f>V948*AG948</x:f>
        <x:v>880.7693916810096</x:v>
      </x:c>
      <x:c r="AK948" s="38" t="n">
        <x:f>AB948*2%</x:f>
        <x:v>2391.60336865</x:v>
      </x:c>
      <x:c r="AL948" s="38" t="n">
        <x:f>AB948+AH948+AI948+AJ948+AK948</x:f>
        <x:v>139276.40597673098</x:v>
      </x:c>
      <x:c r="AM948" s="38" t="n">
        <x:f>AL948/V948</x:f>
        <x:v>912.4123409329244</x:v>
      </x:c>
      <x:c r="AN948" s="40" t="n">
        <x:f>(W948+X948)/AL948*100</x:f>
        <x:v>74.08528116186378</x:v>
      </x:c>
      <x:c r="AO948" s="28" t="str">
        <x:v>R01-R20; ilgili satırdaki bölgesel fiyat ve maliyet varsayımları</x:v>
      </x:c>
      <x:c r="AP948" s="28" t="str">
        <x:v>Girdi miktarları, alım fiyatı değişimi, fason bedeli ve parti sonucu simüle edilmiştir; işletme kaydı değildir.</x:v>
      </x:c>
    </x:row>
    <x:row r="949" ht="22" customHeight="1">
      <x:c r="A949" t="str">
        <x:v>SUC-0948</x:v>
      </x:c>
      <x:c r="B949" s="36" t="n">
        <x:v>46288</x:v>
      </x:c>
      <x:c r="C949" t="str">
        <x:v>Ege</x:v>
      </x:c>
      <x:c r="D949" t="str">
        <x:v>ERZURUM_CI</x:v>
      </x:c>
      <x:c r="E949" t="str">
        <x:v>Fason</x:v>
      </x:c>
      <x:c r="F949" s="42" t="str">
        <x:v>SENTETİK/SİMÜLE — gerçek parti kaydı değildir</x:v>
      </x:c>
      <x:c r="G949" s="38" t="n">
        <x:v>206.786</x:v>
      </x:c>
      <x:c r="H949" s="38" t="n">
        <x:v>38.271</x:v>
      </x:c>
      <x:c r="I949" s="38" t="n">
        <x:v>12.035</x:v>
      </x:c>
      <x:c r="J949" s="38" t="n">
        <x:v>4.339</x:v>
      </x:c>
      <x:c r="K949" s="38" t="n">
        <x:v>0.299</x:v>
      </x:c>
      <x:c r="L949" s="38" t="n">
        <x:f>SUM(G949:K949)</x:f>
        <x:v>261.73</x:v>
      </x:c>
      <x:c r="M949" s="38" t="n">
        <x:v>320.552</x:v>
      </x:c>
      <x:c r="N949" s="38" t="n">
        <x:v>592.28</x:v>
      </x:c>
      <x:c r="O949" s="38" t="n">
        <x:v>463.92</x:v>
      </x:c>
      <x:c r="P949" s="38" t="n">
        <x:v>550</x:v>
      </x:c>
      <x:c r="Q949" s="38" t="n">
        <x:v>19.88</x:v>
      </x:c>
      <x:c r="R949" s="38" t="n">
        <x:v>43.7475</x:v>
      </x:c>
      <x:c r="S949" s="38" t="n">
        <x:v>88.56</x:v>
      </x:c>
      <x:c r="T949" s="40" t="n">
        <x:v>30.1</x:v>
      </x:c>
      <x:c r="U949" s="40" t="n">
        <x:v>0.96</x:v>
      </x:c>
      <x:c r="V949" s="38" t="n">
        <x:f>L949*(1-T949/100)*(1-U949/100)</x:f>
        <x:v>181.19295700800004</x:v>
      </x:c>
      <x:c r="W949" s="38" t="n">
        <x:f>G949*N949</x:f>
        <x:v>122475.21208</x:v>
      </x:c>
      <x:c r="X949" s="38" t="n">
        <x:f>H949*O949</x:f>
        <x:v>17754.68232</x:v>
      </x:c>
      <x:c r="Y949" s="38" t="n">
        <x:f>I949*P949</x:f>
        <x:v>6619.25</x:v>
      </x:c>
      <x:c r="Z949" s="38" t="n">
        <x:f>J949*Q949+K949*P949</x:f>
        <x:v>250.70932</x:v>
      </x:c>
      <x:c r="AA949" s="38" t="n">
        <x:f>M949*R949</x:f>
        <x:v>14023.348620000002</x:v>
      </x:c>
      <x:c r="AB949" s="38" t="n">
        <x:f>SUM(W949:AA949)</x:f>
        <x:v>161123.20234</x:v>
      </x:c>
      <x:c r="AC949" s="38" t="n">
        <x:v>11.97</x:v>
      </x:c>
      <x:c r="AD949" s="38" t="n">
        <x:v>174.33</x:v>
      </x:c>
      <x:c r="AE949" s="38" t="n">
        <x:v>85.44</x:v>
      </x:c>
      <x:c r="AF949" s="38" t="n">
        <x:v>4.8148</x:v>
      </x:c>
      <x:c r="AG949" s="38" t="n">
        <x:v>5.42</x:v>
      </x:c>
      <x:c r="AH949" s="38" t="n">
        <x:f>IF(E949="Fason",L949*S949,0)</x:f>
        <x:v>23178.808800000003</x:v>
      </x:c>
      <x:c r="AI949" s="38" t="n">
        <x:f>IF(E949="Kurum içi",AC949*AD949+AE949*AF949+AB949*12%,0)</x:f>
        <x:v>0</x:v>
      </x:c>
      <x:c r="AJ949" s="38" t="n">
        <x:f>V949*AG949</x:f>
        <x:v>982.0658269833602</x:v>
      </x:c>
      <x:c r="AK949" s="38" t="n">
        <x:f>AB949*2%</x:f>
        <x:v>3222.4640468</x:v>
      </x:c>
      <x:c r="AL949" s="38" t="n">
        <x:f>AB949+AH949+AI949+AJ949+AK949</x:f>
        <x:v>188506.54101378337</x:v>
      </x:c>
      <x:c r="AM949" s="38" t="n">
        <x:f>AL949/V949</x:f>
        <x:v>1040.3635115103311</x:v>
      </x:c>
      <x:c r="AN949" s="40" t="n">
        <x:f>(W949+X949)/AL949*100</x:f>
        <x:v>74.38993556714118</x:v>
      </x:c>
      <x:c r="AO949" s="28" t="str">
        <x:v>R01-R20; ilgili satırdaki bölgesel fiyat ve maliyet varsayımları</x:v>
      </x:c>
      <x:c r="AP949" s="28" t="str">
        <x:v>Girdi miktarları, alım fiyatı değişimi, fason bedeli ve parti sonucu simüle edilmiştir; işletme kaydı değildir.</x:v>
      </x:c>
    </x:row>
    <x:row r="950" ht="22" customHeight="1">
      <x:c r="A950" t="str">
        <x:v>SUC-0949</x:v>
      </x:c>
      <x:c r="B950" s="36" t="n">
        <x:v>46286</x:v>
      </x:c>
      <x:c r="C950" t="str">
        <x:v>İç Anadolu</x:v>
      </x:c>
      <x:c r="D950" t="str">
        <x:v>ERZURUM_CI</x:v>
      </x:c>
      <x:c r="E950" t="str">
        <x:v>Fason</x:v>
      </x:c>
      <x:c r="F950" s="42" t="str">
        <x:v>SENTETİK/SİMÜLE — gerçek parti kaydı değildir</x:v>
      </x:c>
      <x:c r="G950" s="38" t="n">
        <x:v>116.089</x:v>
      </x:c>
      <x:c r="H950" s="38" t="n">
        <x:v>20.663</x:v>
      </x:c>
      <x:c r="I950" s="38" t="n">
        <x:v>7.088</x:v>
      </x:c>
      <x:c r="J950" s="38" t="n">
        <x:v>2.265</x:v>
      </x:c>
      <x:c r="K950" s="38" t="n">
        <x:v>0.022</x:v>
      </x:c>
      <x:c r="L950" s="38" t="n">
        <x:f>SUM(G950:K950)</x:f>
        <x:v>146.12699999999998</x:v>
      </x:c>
      <x:c r="M950" s="38" t="n">
        <x:v>176.129</x:v>
      </x:c>
      <x:c r="N950" s="38" t="n">
        <x:v>594.97</x:v>
      </x:c>
      <x:c r="O950" s="38" t="n">
        <x:v>425.33</x:v>
      </x:c>
      <x:c r="P950" s="38" t="n">
        <x:v>400</x:v>
      </x:c>
      <x:c r="Q950" s="38" t="n">
        <x:v>19.88</x:v>
      </x:c>
      <x:c r="R950" s="38" t="n">
        <x:v>43.7475</x:v>
      </x:c>
      <x:c r="S950" s="38" t="n">
        <x:v>112.87</x:v>
      </x:c>
      <x:c r="T950" s="40" t="n">
        <x:v>19.27</x:v>
      </x:c>
      <x:c r="U950" s="40" t="n">
        <x:v>0.37</x:v>
      </x:c>
      <x:c r="V950" s="38" t="n">
        <x:f>L950*(1-T950/100)*(1-U950/100)</x:f>
        <x:v>117.53184428972997</x:v>
      </x:c>
      <x:c r="W950" s="38" t="n">
        <x:f>G950*N950</x:f>
        <x:v>69069.47233</x:v>
      </x:c>
      <x:c r="X950" s="38" t="n">
        <x:f>H950*O950</x:f>
        <x:v>8788.593789999999</x:v>
      </x:c>
      <x:c r="Y950" s="38" t="n">
        <x:f>I950*P950</x:f>
        <x:v>2835.2</x:v>
      </x:c>
      <x:c r="Z950" s="38" t="n">
        <x:f>J950*Q950+K950*P950</x:f>
        <x:v>53.828199999999995</x:v>
      </x:c>
      <x:c r="AA950" s="38" t="n">
        <x:f>M950*R950</x:f>
        <x:v>7705.2034275</x:v>
      </x:c>
      <x:c r="AB950" s="38" t="n">
        <x:f>SUM(W950:AA950)</x:f>
        <x:v>88452.29774750001</x:v>
      </x:c>
      <x:c r="AC950" s="38" t="n">
        <x:v>6.09</x:v>
      </x:c>
      <x:c r="AD950" s="38" t="n">
        <x:v>174.33</x:v>
      </x:c>
      <x:c r="AE950" s="38" t="n">
        <x:v>55.23</x:v>
      </x:c>
      <x:c r="AF950" s="38" t="n">
        <x:v>4.8148</x:v>
      </x:c>
      <x:c r="AG950" s="38" t="n">
        <x:v>5.65</x:v>
      </x:c>
      <x:c r="AH950" s="38" t="n">
        <x:f>IF(E950="Fason",L950*S950,0)</x:f>
        <x:v>16493.354489999998</x:v>
      </x:c>
      <x:c r="AI950" s="38" t="n">
        <x:f>IF(E950="Kurum içi",AC950*AD950+AE950*AF950+AB950*12%,0)</x:f>
        <x:v>0</x:v>
      </x:c>
      <x:c r="AJ950" s="38" t="n">
        <x:f>V950*AG950</x:f>
        <x:v>664.0549202369745</x:v>
      </x:c>
      <x:c r="AK950" s="38" t="n">
        <x:f>AB950*2%</x:f>
        <x:v>1769.0459549500001</x:v>
      </x:c>
      <x:c r="AL950" s="38" t="n">
        <x:f>AB950+AH950+AI950+AJ950+AK950</x:f>
        <x:v>107378.75311268697</x:v>
      </x:c>
      <x:c r="AM950" s="38" t="n">
        <x:f>AL950/V950</x:f>
        <x:v>913.6141252747262</x:v>
      </x:c>
      <x:c r="AN950" s="40" t="n">
        <x:f>(W950+X950)/AL950*100</x:f>
        <x:v>72.50788807194758</x:v>
      </x:c>
      <x:c r="AO950" s="28" t="str">
        <x:v>R01-R20; ilgili satırdaki bölgesel fiyat ve maliyet varsayımları</x:v>
      </x:c>
      <x:c r="AP950" s="28" t="str">
        <x:v>Girdi miktarları, alım fiyatı değişimi, fason bedeli ve parti sonucu simüle edilmiştir; işletme kaydı değildir.</x:v>
      </x:c>
    </x:row>
    <x:row r="951" ht="22" customHeight="1">
      <x:c r="A951" t="str">
        <x:v>SUC-0950</x:v>
      </x:c>
      <x:c r="B951" s="36" t="n">
        <x:v>46275</x:v>
      </x:c>
      <x:c r="C951" t="str">
        <x:v>Akdeniz</x:v>
      </x:c>
      <x:c r="D951" t="str">
        <x:v>ERZURUM_CI</x:v>
      </x:c>
      <x:c r="E951" t="str">
        <x:v>Fason</x:v>
      </x:c>
      <x:c r="F951" s="42" t="str">
        <x:v>SENTETİK/SİMÜLE — gerçek parti kaydı değildir</x:v>
      </x:c>
      <x:c r="G951" s="38" t="n">
        <x:v>196.881</x:v>
      </x:c>
      <x:c r="H951" s="38" t="n">
        <x:v>35.857</x:v>
      </x:c>
      <x:c r="I951" s="38" t="n">
        <x:v>11.999</x:v>
      </x:c>
      <x:c r="J951" s="38" t="n">
        <x:v>3.672</x:v>
      </x:c>
      <x:c r="K951" s="38" t="n">
        <x:v>0.497</x:v>
      </x:c>
      <x:c r="L951" s="38" t="n">
        <x:f>SUM(G951:K951)</x:f>
        <x:v>248.906</x:v>
      </x:c>
      <x:c r="M951" s="38" t="n">
        <x:v>286.687</x:v>
      </x:c>
      <x:c r="N951" s="38" t="n">
        <x:v>605.65</x:v>
      </x:c>
      <x:c r="O951" s="38" t="n">
        <x:v>446.99</x:v>
      </x:c>
      <x:c r="P951" s="38" t="n">
        <x:v>550</x:v>
      </x:c>
      <x:c r="Q951" s="38" t="n">
        <x:v>19.88</x:v>
      </x:c>
      <x:c r="R951" s="38" t="n">
        <x:v>43.7475</x:v>
      </x:c>
      <x:c r="S951" s="38" t="n">
        <x:v>80.29</x:v>
      </x:c>
      <x:c r="T951" s="40" t="n">
        <x:v>17.02</x:v>
      </x:c>
      <x:c r="U951" s="40" t="n">
        <x:v>1.11</x:v>
      </x:c>
      <x:c r="V951" s="38" t="n">
        <x:f>L951*(1-T951/100)*(1-U951/100)</x:f>
        <x:v>204.24958039332</x:v>
      </x:c>
      <x:c r="W951" s="38" t="n">
        <x:f>G951*N951</x:f>
        <x:v>119240.97765</x:v>
      </x:c>
      <x:c r="X951" s="38" t="n">
        <x:f>H951*O951</x:f>
        <x:v>16027.72043</x:v>
      </x:c>
      <x:c r="Y951" s="38" t="n">
        <x:f>I951*P951</x:f>
        <x:v>6599.450000000001</x:v>
      </x:c>
      <x:c r="Z951" s="38" t="n">
        <x:f>J951*Q951+K951*P951</x:f>
        <x:v>346.34936000000005</x:v>
      </x:c>
      <x:c r="AA951" s="38" t="n">
        <x:f>M951*R951</x:f>
        <x:v>12541.839532500002</x:v>
      </x:c>
      <x:c r="AB951" s="38" t="n">
        <x:f>SUM(W951:AA951)</x:f>
        <x:v>154756.33697250002</x:v>
      </x:c>
      <x:c r="AC951" s="38" t="n">
        <x:v>10.19</x:v>
      </x:c>
      <x:c r="AD951" s="38" t="n">
        <x:v>174.33</x:v>
      </x:c>
      <x:c r="AE951" s="38" t="n">
        <x:v>101.84</x:v>
      </x:c>
      <x:c r="AF951" s="38" t="n">
        <x:v>4.8148</x:v>
      </x:c>
      <x:c r="AG951" s="38" t="n">
        <x:v>5.52</x:v>
      </x:c>
      <x:c r="AH951" s="38" t="n">
        <x:f>IF(E951="Fason",L951*S951,0)</x:f>
        <x:v>19984.662740000003</x:v>
      </x:c>
      <x:c r="AI951" s="38" t="n">
        <x:f>IF(E951="Kurum içi",AC951*AD951+AE951*AF951+AB951*12%,0)</x:f>
        <x:v>0</x:v>
      </x:c>
      <x:c r="AJ951" s="38" t="n">
        <x:f>V951*AG951</x:f>
        <x:v>1127.4576837711263</x:v>
      </x:c>
      <x:c r="AK951" s="38" t="n">
        <x:f>AB951*2%</x:f>
        <x:v>3095.1267394500005</x:v>
      </x:c>
      <x:c r="AL951" s="38" t="n">
        <x:f>AB951+AH951+AI951+AJ951+AK951</x:f>
        <x:v>178963.58413572115</x:v>
      </x:c>
      <x:c r="AM951" s="38" t="n">
        <x:f>AL951/V951</x:f>
        <x:v>876.2004983858178</x:v>
      </x:c>
      <x:c r="AN951" s="40" t="n">
        <x:f>(W951+X951)/AL951*100</x:f>
        <x:v>75.58448202368136</x:v>
      </x:c>
      <x:c r="AO951" s="28" t="str">
        <x:v>R01-R20; ilgili satırdaki bölgesel fiyat ve maliyet varsayımları</x:v>
      </x:c>
      <x:c r="AP951" s="28" t="str">
        <x:v>Girdi miktarları, alım fiyatı değişimi, fason bedeli ve parti sonucu simüle edilmiştir; işletme kaydı değildir.</x:v>
      </x:c>
    </x:row>
    <x:row r="952" ht="22" customHeight="1">
      <x:c r="A952" t="str">
        <x:v>SUC-0951</x:v>
      </x:c>
      <x:c r="B952" s="36" t="n">
        <x:v>46280</x:v>
      </x:c>
      <x:c r="C952" t="str">
        <x:v>Ege</x:v>
      </x:c>
      <x:c r="D952" t="str">
        <x:v>MEB_STANDART</x:v>
      </x:c>
      <x:c r="E952" t="str">
        <x:v>Fason</x:v>
      </x:c>
      <x:c r="F952" s="42" t="str">
        <x:v>SENTETİK/SİMÜLE — gerçek parti kaydı değildir</x:v>
      </x:c>
      <x:c r="G952" s="38" t="n">
        <x:v>155.864</x:v>
      </x:c>
      <x:c r="H952" s="38" t="n">
        <x:v>48.889</x:v>
      </x:c>
      <x:c r="I952" s="38" t="n">
        <x:v>10.143</x:v>
      </x:c>
      <x:c r="J952" s="38" t="n">
        <x:v>5.643</x:v>
      </x:c>
      <x:c r="K952" s="38" t="n">
        <x:v>2.43</x:v>
      </x:c>
      <x:c r="L952" s="38" t="n">
        <x:f>SUM(G952:K952)</x:f>
        <x:v>222.96900000000002</x:v>
      </x:c>
      <x:c r="M952" s="38" t="n">
        <x:v>270.092</x:v>
      </x:c>
      <x:c r="N952" s="38" t="n">
        <x:v>613.82</x:v>
      </x:c>
      <x:c r="O952" s="38" t="n">
        <x:v>443.77</x:v>
      </x:c>
      <x:c r="P952" s="38" t="n">
        <x:v>669.9</x:v>
      </x:c>
      <x:c r="Q952" s="38" t="n">
        <x:v>19.88</x:v>
      </x:c>
      <x:c r="R952" s="38" t="n">
        <x:v>43.7475</x:v>
      </x:c>
      <x:c r="S952" s="38" t="n">
        <x:v>124.76</x:v>
      </x:c>
      <x:c r="T952" s="40" t="n">
        <x:v>22.37</x:v>
      </x:c>
      <x:c r="U952" s="40" t="n">
        <x:v>1.08</x:v>
      </x:c>
      <x:c r="V952" s="38" t="n">
        <x:f>L952*(1-T952/100)*(1-U952/100)</x:f>
        <x:v>171.22145368524002</x:v>
      </x:c>
      <x:c r="W952" s="38" t="n">
        <x:f>G952*N952</x:f>
        <x:v>95672.44048</x:v>
      </x:c>
      <x:c r="X952" s="38" t="n">
        <x:f>H952*O952</x:f>
        <x:v>21695.47153</x:v>
      </x:c>
      <x:c r="Y952" s="38" t="n">
        <x:f>I952*P952</x:f>
        <x:v>6794.795700000001</x:v>
      </x:c>
      <x:c r="Z952" s="38" t="n">
        <x:f>J952*Q952+K952*P952</x:f>
        <x:v>1740.03984</x:v>
      </x:c>
      <x:c r="AA952" s="38" t="n">
        <x:f>M952*R952</x:f>
        <x:v>11815.84977</x:v>
      </x:c>
      <x:c r="AB952" s="38" t="n">
        <x:f>SUM(W952:AA952)</x:f>
        <x:v>137718.59732</x:v>
      </x:c>
      <x:c r="AC952" s="38" t="n">
        <x:v>14.74</x:v>
      </x:c>
      <x:c r="AD952" s="38" t="n">
        <x:v>174.33</x:v>
      </x:c>
      <x:c r="AE952" s="38" t="n">
        <x:v>67.18</x:v>
      </x:c>
      <x:c r="AF952" s="38" t="n">
        <x:v>4.8148</x:v>
      </x:c>
      <x:c r="AG952" s="38" t="n">
        <x:v>5.7</x:v>
      </x:c>
      <x:c r="AH952" s="38" t="n">
        <x:f>IF(E952="Fason",L952*S952,0)</x:f>
        <x:v>27817.612440000004</x:v>
      </x:c>
      <x:c r="AI952" s="38" t="n">
        <x:f>IF(E952="Kurum içi",AC952*AD952+AE952*AF952+AB952*12%,0)</x:f>
        <x:v>0</x:v>
      </x:c>
      <x:c r="AJ952" s="38" t="n">
        <x:f>V952*AG952</x:f>
        <x:v>975.9622860058681</x:v>
      </x:c>
      <x:c r="AK952" s="38" t="n">
        <x:f>AB952*2%</x:f>
        <x:v>2754.3719464</x:v>
      </x:c>
      <x:c r="AL952" s="38" t="n">
        <x:f>AB952+AH952+AI952+AJ952+AK952</x:f>
        <x:v>169266.54399240587</x:v>
      </x:c>
      <x:c r="AM952" s="38" t="n">
        <x:f>AL952/V952</x:f>
        <x:v>988.5825657313487</x:v>
      </x:c>
      <x:c r="AN952" s="40" t="n">
        <x:f>(W952+X952)/AL952*100</x:f>
        <x:v>69.33910815551695</x:v>
      </x:c>
      <x:c r="AO952" s="28" t="str">
        <x:v>R01-R20; ilgili satırdaki bölgesel fiyat ve maliyet varsayımları</x:v>
      </x:c>
      <x:c r="AP952" s="28" t="str">
        <x:v>Girdi miktarları, alım fiyatı değişimi, fason bedeli ve parti sonucu simüle edilmiştir; işletme kaydı değildir.</x:v>
      </x:c>
    </x:row>
    <x:row r="953" ht="22" customHeight="1">
      <x:c r="A953" t="str">
        <x:v>SUC-0952</x:v>
      </x:c>
      <x:c r="B953" s="36" t="n">
        <x:v>46297</x:v>
      </x:c>
      <x:c r="C953" t="str">
        <x:v>Marmara</x:v>
      </x:c>
      <x:c r="D953" t="str">
        <x:v>MEB_STANDART</x:v>
      </x:c>
      <x:c r="E953" t="str">
        <x:v>Kurum içi</x:v>
      </x:c>
      <x:c r="F953" s="42" t="str">
        <x:v>SENTETİK/SİMÜLE — gerçek parti kaydı değildir</x:v>
      </x:c>
      <x:c r="G953" s="38" t="n">
        <x:v>210.917</x:v>
      </x:c>
      <x:c r="H953" s="38" t="n">
        <x:v>64.894</x:v>
      </x:c>
      <x:c r="I953" s="38" t="n">
        <x:v>12.925</x:v>
      </x:c>
      <x:c r="J953" s="38" t="n">
        <x:v>7.669</x:v>
      </x:c>
      <x:c r="K953" s="38" t="n">
        <x:v>3.256</x:v>
      </x:c>
      <x:c r="L953" s="38" t="n">
        <x:f>SUM(G953:K953)</x:f>
        <x:v>299.661</x:v>
      </x:c>
      <x:c r="M953" s="38" t="n">
        <x:v>361.883</x:v>
      </x:c>
      <x:c r="N953" s="38" t="n">
        <x:v>605.13</x:v>
      </x:c>
      <x:c r="O953" s="38" t="n">
        <x:v>446.93</x:v>
      </x:c>
      <x:c r="P953" s="38" t="n">
        <x:v>669.9</x:v>
      </x:c>
      <x:c r="Q953" s="38" t="n">
        <x:v>19.88</x:v>
      </x:c>
      <x:c r="R953" s="38" t="n">
        <x:v>43.7475</x:v>
      </x:c>
      <x:c r="S953" s="38" t="n">
        <x:v>76.38</x:v>
      </x:c>
      <x:c r="T953" s="40" t="n">
        <x:v>17.73</x:v>
      </x:c>
      <x:c r="U953" s="40" t="n">
        <x:v>0.77</x:v>
      </x:c>
      <x:c r="V953" s="38" t="n">
        <x:f>L953*(1-T953/100)*(1-U953/100)</x:f>
        <x:v>244.63281519381</x:v>
      </x:c>
      <x:c r="W953" s="38" t="n">
        <x:f>G953*N953</x:f>
        <x:v>127632.20421</x:v>
      </x:c>
      <x:c r="X953" s="38" t="n">
        <x:f>H953*O953</x:f>
        <x:v>29003.075420000005</x:v>
      </x:c>
      <x:c r="Y953" s="38" t="n">
        <x:f>I953*P953</x:f>
        <x:v>8658.4575</x:v>
      </x:c>
      <x:c r="Z953" s="38" t="n">
        <x:f>J953*Q953+K953*P953</x:f>
        <x:v>2333.6541199999997</x:v>
      </x:c>
      <x:c r="AA953" s="38" t="n">
        <x:f>M953*R953</x:f>
        <x:v>15831.4765425</x:v>
      </x:c>
      <x:c r="AB953" s="38" t="n">
        <x:f>SUM(W953:AA953)</x:f>
        <x:v>183458.86779249998</x:v>
      </x:c>
      <x:c r="AC953" s="38" t="n">
        <x:v>15.62</x:v>
      </x:c>
      <x:c r="AD953" s="38" t="n">
        <x:v>174.33</x:v>
      </x:c>
      <x:c r="AE953" s="38" t="n">
        <x:v>75.56</x:v>
      </x:c>
      <x:c r="AF953" s="38" t="n">
        <x:v>4.8148</x:v>
      </x:c>
      <x:c r="AG953" s="38" t="n">
        <x:v>5.85</x:v>
      </x:c>
      <x:c r="AH953" s="38" t="n">
        <x:f>IF(E953="Fason",L953*S953,0)</x:f>
        <x:v>0</x:v>
      </x:c>
      <x:c r="AI953" s="38" t="n">
        <x:f>IF(E953="Kurum içi",AC953*AD953+AE953*AF953+AB953*12%,0)</x:f>
        <x:v>25101.905023099996</x:v>
      </x:c>
      <x:c r="AJ953" s="38" t="n">
        <x:f>V953*AG953</x:f>
        <x:v>1431.1019688837885</x:v>
      </x:c>
      <x:c r="AK953" s="38" t="n">
        <x:f>AB953*2%</x:f>
        <x:v>3669.1773558499995</x:v>
      </x:c>
      <x:c r="AL953" s="38" t="n">
        <x:f>AB953+AH953+AI953+AJ953+AK953</x:f>
        <x:v>213661.05214033378</x:v>
      </x:c>
      <x:c r="AM953" s="38" t="n">
        <x:f>AL953/V953</x:f>
        <x:v>873.3948958199296</x:v>
      </x:c>
      <x:c r="AN953" s="40" t="n">
        <x:f>(W953+X953)/AL953*100</x:f>
        <x:v>73.31016957040963</x:v>
      </x:c>
      <x:c r="AO953" s="28" t="str">
        <x:v>R01-R20; ilgili satırdaki bölgesel fiyat ve maliyet varsayımları</x:v>
      </x:c>
      <x:c r="AP953" s="28" t="str">
        <x:v>Girdi miktarları, alım fiyatı değişimi, fason bedeli ve parti sonucu simüle edilmiştir; işletme kaydı değildir.</x:v>
      </x:c>
    </x:row>
    <x:row r="954" ht="22" customHeight="1">
      <x:c r="A954" t="str">
        <x:v>SUC-0953</x:v>
      </x:c>
      <x:c r="B954" s="36" t="n">
        <x:v>46313</x:v>
      </x:c>
      <x:c r="C954" t="str">
        <x:v>Doğu Anadolu</x:v>
      </x:c>
      <x:c r="D954" t="str">
        <x:v>MEB_STANDART</x:v>
      </x:c>
      <x:c r="E954" t="str">
        <x:v>Kurum içi</x:v>
      </x:c>
      <x:c r="F954" s="42" t="str">
        <x:v>SENTETİK/SİMÜLE — gerçek parti kaydı değildir</x:v>
      </x:c>
      <x:c r="G954" s="38" t="n">
        <x:v>168.481</x:v>
      </x:c>
      <x:c r="H954" s="38" t="n">
        <x:v>55.279</x:v>
      </x:c>
      <x:c r="I954" s="38" t="n">
        <x:v>10.72</x:v>
      </x:c>
      <x:c r="J954" s="38" t="n">
        <x:v>6.407</x:v>
      </x:c>
      <x:c r="K954" s="38" t="n">
        <x:v>2.452</x:v>
      </x:c>
      <x:c r="L954" s="38" t="n">
        <x:f>SUM(G954:K954)</x:f>
        <x:v>243.339</x:v>
      </x:c>
      <x:c r="M954" s="38" t="n">
        <x:v>291.838</x:v>
      </x:c>
      <x:c r="N954" s="38" t="n">
        <x:v>605.54</x:v>
      </x:c>
      <x:c r="O954" s="38" t="n">
        <x:v>473.76</x:v>
      </x:c>
      <x:c r="P954" s="38" t="n">
        <x:v>400</x:v>
      </x:c>
      <x:c r="Q954" s="38" t="n">
        <x:v>19.88</x:v>
      </x:c>
      <x:c r="R954" s="38" t="n">
        <x:v>43.7475</x:v>
      </x:c>
      <x:c r="S954" s="38" t="n">
        <x:v>105.22</x:v>
      </x:c>
      <x:c r="T954" s="40" t="n">
        <x:v>26.35</x:v>
      </x:c>
      <x:c r="U954" s="40" t="n">
        <x:v>1.33</x:v>
      </x:c>
      <x:c r="V954" s="38" t="n">
        <x:f>L954*(1-T954/100)*(1-U954/100)</x:f>
        <x:v>176.83555849245</x:v>
      </x:c>
      <x:c r="W954" s="38" t="n">
        <x:f>G954*N954</x:f>
        <x:v>102021.98473999999</x:v>
      </x:c>
      <x:c r="X954" s="38" t="n">
        <x:f>H954*O954</x:f>
        <x:v>26188.979040000002</x:v>
      </x:c>
      <x:c r="Y954" s="38" t="n">
        <x:f>I954*P954</x:f>
        <x:v>4288</x:v>
      </x:c>
      <x:c r="Z954" s="38" t="n">
        <x:f>J954*Q954+K954*P954</x:f>
        <x:v>1108.1711599999999</x:v>
      </x:c>
      <x:c r="AA954" s="38" t="n">
        <x:f>M954*R954</x:f>
        <x:v>12767.182905000001</x:v>
      </x:c>
      <x:c r="AB954" s="38" t="n">
        <x:f>SUM(W954:AA954)</x:f>
        <x:v>146374.31784499998</x:v>
      </x:c>
      <x:c r="AC954" s="38" t="n">
        <x:v>15.52</x:v>
      </x:c>
      <x:c r="AD954" s="38" t="n">
        <x:v>174.33</x:v>
      </x:c>
      <x:c r="AE954" s="38" t="n">
        <x:v>104.96</x:v>
      </x:c>
      <x:c r="AF954" s="38" t="n">
        <x:v>4.8148</x:v>
      </x:c>
      <x:c r="AG954" s="38" t="n">
        <x:v>5.5</x:v>
      </x:c>
      <x:c r="AH954" s="38" t="n">
        <x:f>IF(E954="Fason",L954*S954,0)</x:f>
        <x:v>0</x:v>
      </x:c>
      <x:c r="AI954" s="38" t="n">
        <x:f>IF(E954="Kurum içi",AC954*AD954+AE954*AF954+AB954*12%,0)</x:f>
        <x:v>20775.881149399997</x:v>
      </x:c>
      <x:c r="AJ954" s="38" t="n">
        <x:f>V954*AG954</x:f>
        <x:v>972.595571708475</x:v>
      </x:c>
      <x:c r="AK954" s="38" t="n">
        <x:f>AB954*2%</x:f>
        <x:v>2927.4863569</x:v>
      </x:c>
      <x:c r="AL954" s="38" t="n">
        <x:f>AB954+AH954+AI954+AJ954+AK954</x:f>
        <x:v>171050.28092300845</x:v>
      </x:c>
      <x:c r="AM954" s="38" t="n">
        <x:f>AL954/V954</x:f>
        <x:v>967.2844216470833</x:v>
      </x:c>
      <x:c r="AN954" s="40" t="n">
        <x:f>(W954+X954)/AL954*100</x:f>
        <x:v>74.95513195778328</x:v>
      </x:c>
      <x:c r="AO954" s="28" t="str">
        <x:v>R01-R20; ilgili satırdaki bölgesel fiyat ve maliyet varsayımları</x:v>
      </x:c>
      <x:c r="AP954" s="28" t="str">
        <x:v>Girdi miktarları, alım fiyatı değişimi, fason bedeli ve parti sonucu simüle edilmiştir; işletme kaydı değildir.</x:v>
      </x:c>
    </x:row>
    <x:row r="955" ht="22" customHeight="1">
      <x:c r="A955" t="str">
        <x:v>SUC-0954</x:v>
      </x:c>
      <x:c r="B955" s="36" t="n">
        <x:v>46310</x:v>
      </x:c>
      <x:c r="C955" t="str">
        <x:v>Akdeniz</x:v>
      </x:c>
      <x:c r="D955" t="str">
        <x:v>MEB_STANDART</x:v>
      </x:c>
      <x:c r="E955" t="str">
        <x:v>Kurum içi</x:v>
      </x:c>
      <x:c r="F955" s="42" t="str">
        <x:v>SENTETİK/SİMÜLE — gerçek parti kaydı değildir</x:v>
      </x:c>
      <x:c r="G955" s="38" t="n">
        <x:v>265.655</x:v>
      </x:c>
      <x:c r="H955" s="38" t="n">
        <x:v>87.387</x:v>
      </x:c>
      <x:c r="I955" s="38" t="n">
        <x:v>17.418</x:v>
      </x:c>
      <x:c r="J955" s="38" t="n">
        <x:v>9.528</x:v>
      </x:c>
      <x:c r="K955" s="38" t="n">
        <x:v>3.429</x:v>
      </x:c>
      <x:c r="L955" s="38" t="n">
        <x:f>SUM(G955:K955)</x:f>
        <x:v>383.417</x:v>
      </x:c>
      <x:c r="M955" s="38" t="n">
        <x:v>493.533</x:v>
      </x:c>
      <x:c r="N955" s="38" t="n">
        <x:v>587.64</x:v>
      </x:c>
      <x:c r="O955" s="38" t="n">
        <x:v>430.9</x:v>
      </x:c>
      <x:c r="P955" s="38" t="n">
        <x:v>550</x:v>
      </x:c>
      <x:c r="Q955" s="38" t="n">
        <x:v>19.88</x:v>
      </x:c>
      <x:c r="R955" s="38" t="n">
        <x:v>43.7475</x:v>
      </x:c>
      <x:c r="S955" s="38" t="n">
        <x:v>85.95</x:v>
      </x:c>
      <x:c r="T955" s="40" t="n">
        <x:v>18.62</x:v>
      </x:c>
      <x:c r="U955" s="40" t="n">
        <x:v>0.98</x:v>
      </x:c>
      <x:c r="V955" s="38" t="n">
        <x:f>L955*(1-T955/100)*(1-U955/100)</x:f>
        <x:v>308.96691200491995</x:v>
      </x:c>
      <x:c r="W955" s="38" t="n">
        <x:f>G955*N955</x:f>
        <x:v>156109.50419999997</x:v>
      </x:c>
      <x:c r="X955" s="38" t="n">
        <x:f>H955*O955</x:f>
        <x:v>37655.0583</x:v>
      </x:c>
      <x:c r="Y955" s="38" t="n">
        <x:f>I955*P955</x:f>
        <x:v>9579.9</x:v>
      </x:c>
      <x:c r="Z955" s="38" t="n">
        <x:f>J955*Q955+K955*P955</x:f>
        <x:v>2075.3666399999997</x:v>
      </x:c>
      <x:c r="AA955" s="38" t="n">
        <x:f>M955*R955</x:f>
        <x:v>21590.8349175</x:v>
      </x:c>
      <x:c r="AB955" s="38" t="n">
        <x:f>SUM(W955:AA955)</x:f>
        <x:v>227010.66405749996</x:v>
      </x:c>
      <x:c r="AC955" s="38" t="n">
        <x:v>18.25</x:v>
      </x:c>
      <x:c r="AD955" s="38" t="n">
        <x:v>174.33</x:v>
      </x:c>
      <x:c r="AE955" s="38" t="n">
        <x:v>86.97</x:v>
      </x:c>
      <x:c r="AF955" s="38" t="n">
        <x:v>4.8148</x:v>
      </x:c>
      <x:c r="AG955" s="38" t="n">
        <x:v>5.83</x:v>
      </x:c>
      <x:c r="AH955" s="38" t="n">
        <x:f>IF(E955="Fason",L955*S955,0)</x:f>
        <x:v>0</x:v>
      </x:c>
      <x:c r="AI955" s="38" t="n">
        <x:f>IF(E955="Kurum içi",AC955*AD955+AE955*AF955+AB955*12%,0)</x:f>
        <x:v>30841.545342899994</x:v>
      </x:c>
      <x:c r="AJ955" s="38" t="n">
        <x:f>V955*AG955</x:f>
        <x:v>1801.2770969886833</x:v>
      </x:c>
      <x:c r="AK955" s="38" t="n">
        <x:f>AB955*2%</x:f>
        <x:v>4540.21328115</x:v>
      </x:c>
      <x:c r="AL955" s="38" t="n">
        <x:f>AB955+AH955+AI955+AJ955+AK955</x:f>
        <x:v>264193.69977853866</x:v>
      </x:c>
      <x:c r="AM955" s="38" t="n">
        <x:f>AL955/V955</x:f>
        <x:v>855.0873556788232</x:v>
      </x:c>
      <x:c r="AN955" s="40" t="n">
        <x:f>(W955+X955)/AL955*100</x:f>
        <x:v>73.34185586651908</x:v>
      </x:c>
      <x:c r="AO955" s="28" t="str">
        <x:v>R01-R20; ilgili satırdaki bölgesel fiyat ve maliyet varsayımları</x:v>
      </x:c>
      <x:c r="AP955" s="28" t="str">
        <x:v>Girdi miktarları, alım fiyatı değişimi, fason bedeli ve parti sonucu simüle edilmiştir; işletme kaydı değildir.</x:v>
      </x:c>
    </x:row>
    <x:row r="956" ht="22" customHeight="1">
      <x:c r="A956" t="str">
        <x:v>SUC-0955</x:v>
      </x:c>
      <x:c r="B956" s="36" t="n">
        <x:v>46312</x:v>
      </x:c>
      <x:c r="C956" t="str">
        <x:v>Karadeniz</x:v>
      </x:c>
      <x:c r="D956" t="str">
        <x:v>ERZURUM_CI</x:v>
      </x:c>
      <x:c r="E956" t="str">
        <x:v>Kurum içi</x:v>
      </x:c>
      <x:c r="F956" s="42" t="str">
        <x:v>SENTETİK/SİMÜLE — gerçek parti kaydı değildir</x:v>
      </x:c>
      <x:c r="G956" s="38" t="n">
        <x:v>84.373</x:v>
      </x:c>
      <x:c r="H956" s="38" t="n">
        <x:v>14.031</x:v>
      </x:c>
      <x:c r="I956" s="38" t="n">
        <x:v>5.226</x:v>
      </x:c>
      <x:c r="J956" s="38" t="n">
        <x:v>1.703</x:v>
      </x:c>
      <x:c r="K956" s="38" t="n">
        <x:v>0.011</x:v>
      </x:c>
      <x:c r="L956" s="38" t="n">
        <x:f>SUM(G956:K956)</x:f>
        <x:v>105.34400000000001</x:v>
      </x:c>
      <x:c r="M956" s="38" t="n">
        <x:v>122.172</x:v>
      </x:c>
      <x:c r="N956" s="38" t="n">
        <x:v>597.92</x:v>
      </x:c>
      <x:c r="O956" s="38" t="n">
        <x:v>445.36</x:v>
      </x:c>
      <x:c r="P956" s="38" t="n">
        <x:v>669.9</x:v>
      </x:c>
      <x:c r="Q956" s="38" t="n">
        <x:v>19.88</x:v>
      </x:c>
      <x:c r="R956" s="38" t="n">
        <x:v>43.7475</x:v>
      </x:c>
      <x:c r="S956" s="38" t="n">
        <x:v>103.42</x:v>
      </x:c>
      <x:c r="T956" s="40" t="n">
        <x:v>19</x:v>
      </x:c>
      <x:c r="U956" s="40" t="n">
        <x:v>1.75</x:v>
      </x:c>
      <x:c r="V956" s="38" t="n">
        <x:f>L956*(1-T956/100)*(1-U956/100)</x:f>
        <x:v>83.8353888</x:v>
      </x:c>
      <x:c r="W956" s="38" t="n">
        <x:f>G956*N956</x:f>
        <x:v>50448.30416</x:v>
      </x:c>
      <x:c r="X956" s="38" t="n">
        <x:f>H956*O956</x:f>
        <x:v>6248.84616</x:v>
      </x:c>
      <x:c r="Y956" s="38" t="n">
        <x:f>I956*P956</x:f>
        <x:v>3500.8974</x:v>
      </x:c>
      <x:c r="Z956" s="38" t="n">
        <x:f>J956*Q956+K956*P956</x:f>
        <x:v>41.22454</x:v>
      </x:c>
      <x:c r="AA956" s="38" t="n">
        <x:f>M956*R956</x:f>
        <x:v>5344.71957</x:v>
      </x:c>
      <x:c r="AB956" s="38" t="n">
        <x:f>SUM(W956:AA956)</x:f>
        <x:v>65583.99183</x:v>
      </x:c>
      <x:c r="AC956" s="38" t="n">
        <x:v>4.48</x:v>
      </x:c>
      <x:c r="AD956" s="38" t="n">
        <x:v>174.33</x:v>
      </x:c>
      <x:c r="AE956" s="38" t="n">
        <x:v>32.72</x:v>
      </x:c>
      <x:c r="AF956" s="38" t="n">
        <x:v>4.8148</x:v>
      </x:c>
      <x:c r="AG956" s="38" t="n">
        <x:v>5.68</x:v>
      </x:c>
      <x:c r="AH956" s="38" t="n">
        <x:f>IF(E956="Fason",L956*S956,0)</x:f>
        <x:v>0</x:v>
      </x:c>
      <x:c r="AI956" s="38" t="n">
        <x:f>IF(E956="Kurum içi",AC956*AD956+AE956*AF956+AB956*12%,0)</x:f>
        <x:v>8808.6176756</x:v>
      </x:c>
      <x:c r="AJ956" s="38" t="n">
        <x:f>V956*AG956</x:f>
        <x:v>476.185008384</x:v>
      </x:c>
      <x:c r="AK956" s="38" t="n">
        <x:f>AB956*2%</x:f>
        <x:v>1311.6798366</x:v>
      </x:c>
      <x:c r="AL956" s="38" t="n">
        <x:f>AB956+AH956+AI956+AJ956+AK956</x:f>
        <x:v>76180.474350584</x:v>
      </x:c>
      <x:c r="AM956" s="38" t="n">
        <x:f>AL956/V956</x:f>
        <x:v>908.6911320030044</x:v>
      </x:c>
      <x:c r="AN956" s="40" t="n">
        <x:f>(W956+X956)/AL956*100</x:f>
        <x:v>74.42477984460773</x:v>
      </x:c>
      <x:c r="AO956" s="28" t="str">
        <x:v>R01-R20; ilgili satırdaki bölgesel fiyat ve maliyet varsayımları</x:v>
      </x:c>
      <x:c r="AP956" s="28" t="str">
        <x:v>Girdi miktarları, alım fiyatı değişimi, fason bedeli ve parti sonucu simüle edilmiştir; işletme kaydı değildir.</x:v>
      </x:c>
    </x:row>
    <x:row r="957" ht="22" customHeight="1">
      <x:c r="A957" t="str">
        <x:v>SUC-0956</x:v>
      </x:c>
      <x:c r="B957" s="36" t="n">
        <x:v>46311</x:v>
      </x:c>
      <x:c r="C957" t="str">
        <x:v>Güneydoğu Anadolu</x:v>
      </x:c>
      <x:c r="D957" t="str">
        <x:v>MEB_STANDART</x:v>
      </x:c>
      <x:c r="E957" t="str">
        <x:v>Kurum içi</x:v>
      </x:c>
      <x:c r="F957" s="42" t="str">
        <x:v>SENTETİK/SİMÜLE — gerçek parti kaydı değildir</x:v>
      </x:c>
      <x:c r="G957" s="38" t="n">
        <x:v>138.647</x:v>
      </x:c>
      <x:c r="H957" s="38" t="n">
        <x:v>42.789</x:v>
      </x:c>
      <x:c r="I957" s="38" t="n">
        <x:v>9.009</x:v>
      </x:c>
      <x:c r="J957" s="38" t="n">
        <x:v>5.017</x:v>
      </x:c>
      <x:c r="K957" s="38" t="n">
        <x:v>1.818</x:v>
      </x:c>
      <x:c r="L957" s="38" t="n">
        <x:f>SUM(G957:K957)</x:f>
        <x:v>197.28</x:v>
      </x:c>
      <x:c r="M957" s="38" t="n">
        <x:v>252.064</x:v>
      </x:c>
      <x:c r="N957" s="38" t="n">
        <x:v>593.56</x:v>
      </x:c>
      <x:c r="O957" s="38" t="n">
        <x:v>438.11</x:v>
      </x:c>
      <x:c r="P957" s="38" t="n">
        <x:v>400</x:v>
      </x:c>
      <x:c r="Q957" s="38" t="n">
        <x:v>19.88</x:v>
      </x:c>
      <x:c r="R957" s="38" t="n">
        <x:v>43.7475</x:v>
      </x:c>
      <x:c r="S957" s="38" t="n">
        <x:v>113.7</x:v>
      </x:c>
      <x:c r="T957" s="40" t="n">
        <x:v>32.82</x:v>
      </x:c>
      <x:c r="U957" s="40" t="n">
        <x:v>0.3</x:v>
      </x:c>
      <x:c r="V957" s="38" t="n">
        <x:f>L957*(1-T957/100)*(1-U957/100)</x:f>
        <x:v>132.135105888</x:v>
      </x:c>
      <x:c r="W957" s="38" t="n">
        <x:f>G957*N957</x:f>
        <x:v>82295.31331999999</x:v>
      </x:c>
      <x:c r="X957" s="38" t="n">
        <x:f>H957*O957</x:f>
        <x:v>18746.288790000002</x:v>
      </x:c>
      <x:c r="Y957" s="38" t="n">
        <x:f>I957*P957</x:f>
        <x:v>3603.6000000000004</x:v>
      </x:c>
      <x:c r="Z957" s="38" t="n">
        <x:f>J957*Q957+K957*P957</x:f>
        <x:v>826.9379600000001</x:v>
      </x:c>
      <x:c r="AA957" s="38" t="n">
        <x:f>M957*R957</x:f>
        <x:v>11027.16984</x:v>
      </x:c>
      <x:c r="AB957" s="38" t="n">
        <x:f>SUM(W957:AA957)</x:f>
        <x:v>116499.30991</x:v>
      </x:c>
      <x:c r="AC957" s="38" t="n">
        <x:v>11.7</x:v>
      </x:c>
      <x:c r="AD957" s="38" t="n">
        <x:v>174.33</x:v>
      </x:c>
      <x:c r="AE957" s="38" t="n">
        <x:v>87.15</x:v>
      </x:c>
      <x:c r="AF957" s="38" t="n">
        <x:v>4.8148</x:v>
      </x:c>
      <x:c r="AG957" s="38" t="n">
        <x:v>5.76</x:v>
      </x:c>
      <x:c r="AH957" s="38" t="n">
        <x:f>IF(E957="Fason",L957*S957,0)</x:f>
        <x:v>0</x:v>
      </x:c>
      <x:c r="AI957" s="38" t="n">
        <x:f>IF(E957="Kurum içi",AC957*AD957+AE957*AF957+AB957*12%,0)</x:f>
        <x:v>16439.1880092</x:v>
      </x:c>
      <x:c r="AJ957" s="38" t="n">
        <x:f>V957*AG957</x:f>
        <x:v>761.0982099148799</x:v>
      </x:c>
      <x:c r="AK957" s="38" t="n">
        <x:f>AB957*2%</x:f>
        <x:v>2329.9861981999998</x:v>
      </x:c>
      <x:c r="AL957" s="38" t="n">
        <x:f>AB957+AH957+AI957+AJ957+AK957</x:f>
        <x:v>136029.58232731486</x:v>
      </x:c>
      <x:c r="AM957" s="38" t="n">
        <x:f>AL957/V957</x:f>
        <x:v>1029.4734424522721</x:v>
      </x:c>
      <x:c r="AN957" s="40" t="n">
        <x:f>(W957+X957)/AL957*100</x:f>
        <x:v>74.27913868534371</x:v>
      </x:c>
      <x:c r="AO957" s="28" t="str">
        <x:v>R01-R20; ilgili satırdaki bölgesel fiyat ve maliyet varsayımları</x:v>
      </x:c>
      <x:c r="AP957" s="28" t="str">
        <x:v>Girdi miktarları, alım fiyatı değişimi, fason bedeli ve parti sonucu simüle edilmiştir; işletme kaydı değildir.</x:v>
      </x:c>
    </x:row>
    <x:row r="958" ht="22" customHeight="1">
      <x:c r="A958" t="str">
        <x:v>SUC-0957</x:v>
      </x:c>
      <x:c r="B958" s="36" t="n">
        <x:v>46270</x:v>
      </x:c>
      <x:c r="C958" t="str">
        <x:v>Güneydoğu Anadolu</x:v>
      </x:c>
      <x:c r="D958" t="str">
        <x:v>MEB_STANDART</x:v>
      </x:c>
      <x:c r="E958" t="str">
        <x:v>Fason</x:v>
      </x:c>
      <x:c r="F958" s="42" t="str">
        <x:v>SENTETİK/SİMÜLE — gerçek parti kaydı değildir</x:v>
      </x:c>
      <x:c r="G958" s="38" t="n">
        <x:v>353.195</x:v>
      </x:c>
      <x:c r="H958" s="38" t="n">
        <x:v>106.099</x:v>
      </x:c>
      <x:c r="I958" s="38" t="n">
        <x:v>22.885</x:v>
      </x:c>
      <x:c r="J958" s="38" t="n">
        <x:v>11.821</x:v>
      </x:c>
      <x:c r="K958" s="38" t="n">
        <x:v>4.894</x:v>
      </x:c>
      <x:c r="L958" s="38" t="n">
        <x:f>SUM(G958:K958)</x:f>
        <x:v>498.894</x:v>
      </x:c>
      <x:c r="M958" s="38" t="n">
        <x:v>612.269</x:v>
      </x:c>
      <x:c r="N958" s="38" t="n">
        <x:v>574.28</x:v>
      </x:c>
      <x:c r="O958" s="38" t="n">
        <x:v>479.12</x:v>
      </x:c>
      <x:c r="P958" s="38" t="n">
        <x:v>400</x:v>
      </x:c>
      <x:c r="Q958" s="38" t="n">
        <x:v>19.88</x:v>
      </x:c>
      <x:c r="R958" s="38" t="n">
        <x:v>43.7475</x:v>
      </x:c>
      <x:c r="S958" s="38" t="n">
        <x:v>65.91</x:v>
      </x:c>
      <x:c r="T958" s="40" t="n">
        <x:v>17.98</x:v>
      </x:c>
      <x:c r="U958" s="40" t="n">
        <x:v>0.78</x:v>
      </x:c>
      <x:c r="V958" s="38" t="n">
        <x:f>L958*(1-T958/100)*(1-U958/100)</x:f>
        <x:v>406.00115450136</x:v>
      </x:c>
      <x:c r="W958" s="38" t="n">
        <x:f>G958*N958</x:f>
        <x:v>202832.8246</x:v>
      </x:c>
      <x:c r="X958" s="38" t="n">
        <x:f>H958*O958</x:f>
        <x:v>50834.15288</x:v>
      </x:c>
      <x:c r="Y958" s="38" t="n">
        <x:f>I958*P958</x:f>
        <x:v>9154</x:v>
      </x:c>
      <x:c r="Z958" s="38" t="n">
        <x:f>J958*Q958+K958*P958</x:f>
        <x:v>2192.6014800000003</x:v>
      </x:c>
      <x:c r="AA958" s="38" t="n">
        <x:f>M958*R958</x:f>
        <x:v>26785.238077500002</x:v>
      </x:c>
      <x:c r="AB958" s="38" t="n">
        <x:f>SUM(W958:AA958)</x:f>
        <x:v>291798.81703750003</x:v>
      </x:c>
      <x:c r="AC958" s="38" t="n">
        <x:v>23.8</x:v>
      </x:c>
      <x:c r="AD958" s="38" t="n">
        <x:v>174.33</x:v>
      </x:c>
      <x:c r="AE958" s="38" t="n">
        <x:v>182.72</x:v>
      </x:c>
      <x:c r="AF958" s="38" t="n">
        <x:v>4.8148</x:v>
      </x:c>
      <x:c r="AG958" s="38" t="n">
        <x:v>5.39</x:v>
      </x:c>
      <x:c r="AH958" s="38" t="n">
        <x:f>IF(E958="Fason",L958*S958,0)</x:f>
        <x:v>32882.10354</x:v>
      </x:c>
      <x:c r="AI958" s="38" t="n">
        <x:f>IF(E958="Kurum içi",AC958*AD958+AE958*AF958+AB958*12%,0)</x:f>
        <x:v>0</x:v>
      </x:c>
      <x:c r="AJ958" s="38" t="n">
        <x:f>V958*AG958</x:f>
        <x:v>2188.3462227623304</x:v>
      </x:c>
      <x:c r="AK958" s="38" t="n">
        <x:f>AB958*2%</x:f>
        <x:v>5835.97634075</x:v>
      </x:c>
      <x:c r="AL958" s="38" t="n">
        <x:f>AB958+AH958+AI958+AJ958+AK958</x:f>
        <x:v>332705.2431410123</x:v>
      </x:c>
      <x:c r="AM958" s="38" t="n">
        <x:f>AL958/V958</x:f>
        <x:v>819.4687119784971</x:v>
      </x:c>
      <x:c r="AN958" s="40" t="n">
        <x:f>(W958+X958)/AL958*100</x:f>
        <x:v>76.24375711220364</x:v>
      </x:c>
      <x:c r="AO958" s="28" t="str">
        <x:v>R01-R20; ilgili satırdaki bölgesel fiyat ve maliyet varsayımları</x:v>
      </x:c>
      <x:c r="AP958" s="28" t="str">
        <x:v>Girdi miktarları, alım fiyatı değişimi, fason bedeli ve parti sonucu simüle edilmiştir; işletme kaydı değildir.</x:v>
      </x:c>
    </x:row>
    <x:row r="959" ht="22" customHeight="1">
      <x:c r="A959" t="str">
        <x:v>SUC-0958</x:v>
      </x:c>
      <x:c r="B959" s="36" t="n">
        <x:v>46299</x:v>
      </x:c>
      <x:c r="C959" t="str">
        <x:v>Ege</x:v>
      </x:c>
      <x:c r="D959" t="str">
        <x:v>ERZURUM_CI</x:v>
      </x:c>
      <x:c r="E959" t="str">
        <x:v>Kurum içi</x:v>
      </x:c>
      <x:c r="F959" s="42" t="str">
        <x:v>SENTETİK/SİMÜLE — gerçek parti kaydı değildir</x:v>
      </x:c>
      <x:c r="G959" s="38" t="n">
        <x:v>325.943</x:v>
      </x:c>
      <x:c r="H959" s="38" t="n">
        <x:v>56.153</x:v>
      </x:c>
      <x:c r="I959" s="38" t="n">
        <x:v>18.485</x:v>
      </x:c>
      <x:c r="J959" s="38" t="n">
        <x:v>6.964</x:v>
      </x:c>
      <x:c r="K959" s="38" t="n">
        <x:v>0.543</x:v>
      </x:c>
      <x:c r="L959" s="38" t="n">
        <x:f>SUM(G959:K959)</x:f>
        <x:v>408.088</x:v>
      </x:c>
      <x:c r="M959" s="38" t="n">
        <x:v>515.795</x:v>
      </x:c>
      <x:c r="N959" s="38" t="n">
        <x:v>612.31</x:v>
      </x:c>
      <x:c r="O959" s="38" t="n">
        <x:v>480.45</x:v>
      </x:c>
      <x:c r="P959" s="38" t="n">
        <x:v>669.9</x:v>
      </x:c>
      <x:c r="Q959" s="38" t="n">
        <x:v>19.88</x:v>
      </x:c>
      <x:c r="R959" s="38" t="n">
        <x:v>43.7475</x:v>
      </x:c>
      <x:c r="S959" s="38" t="n">
        <x:v>90.23</x:v>
      </x:c>
      <x:c r="T959" s="40" t="n">
        <x:v>30.53</x:v>
      </x:c>
      <x:c r="U959" s="40" t="n">
        <x:v>1.31</x:v>
      </x:c>
      <x:c r="V959" s="38" t="n">
        <x:f>L959*(1-T959/100)*(1-U959/100)</x:f>
        <x:v>279.78490018984</x:v>
      </x:c>
      <x:c r="W959" s="38" t="n">
        <x:f>G959*N959</x:f>
        <x:v>199578.15832999998</x:v>
      </x:c>
      <x:c r="X959" s="38" t="n">
        <x:f>H959*O959</x:f>
        <x:v>26978.70885</x:v>
      </x:c>
      <x:c r="Y959" s="38" t="n">
        <x:f>I959*P959</x:f>
        <x:v>12383.101499999999</x:v>
      </x:c>
      <x:c r="Z959" s="38" t="n">
        <x:f>J959*Q959+K959*P959</x:f>
        <x:v>502.20002</x:v>
      </x:c>
      <x:c r="AA959" s="38" t="n">
        <x:f>M959*R959</x:f>
        <x:v>22564.741762499998</x:v>
      </x:c>
      <x:c r="AB959" s="38" t="n">
        <x:f>SUM(W959:AA959)</x:f>
        <x:v>262006.91046249995</x:v>
      </x:c>
      <x:c r="AC959" s="38" t="n">
        <x:v>16.16</x:v>
      </x:c>
      <x:c r="AD959" s="38" t="n">
        <x:v>174.33</x:v>
      </x:c>
      <x:c r="AE959" s="38" t="n">
        <x:v>171.29</x:v>
      </x:c>
      <x:c r="AF959" s="38" t="n">
        <x:v>4.8148</x:v>
      </x:c>
      <x:c r="AG959" s="38" t="n">
        <x:v>5.32</x:v>
      </x:c>
      <x:c r="AH959" s="38" t="n">
        <x:f>IF(E959="Fason",L959*S959,0)</x:f>
        <x:v>0</x:v>
      </x:c>
      <x:c r="AI959" s="38" t="n">
        <x:f>IF(E959="Kurum içi",AC959*AD959+AE959*AF959+AB959*12%,0)</x:f>
        <x:v>35082.729147499995</x:v>
      </x:c>
      <x:c r="AJ959" s="38" t="n">
        <x:f>V959*AG959</x:f>
        <x:v>1488.455669009949</x:v>
      </x:c>
      <x:c r="AK959" s="38" t="n">
        <x:f>AB959*2%</x:f>
        <x:v>5240.138209249999</x:v>
      </x:c>
      <x:c r="AL959" s="38" t="n">
        <x:f>AB959+AH959+AI959+AJ959+AK959</x:f>
        <x:v>303818.2334882599</x:v>
      </x:c>
      <x:c r="AM959" s="38" t="n">
        <x:f>AL959/V959</x:f>
        <x:v>1085.8993222368783</x:v>
      </x:c>
      <x:c r="AN959" s="40" t="n">
        <x:f>(W959+X959)/AL959*100</x:f>
        <x:v>74.56987178774922</x:v>
      </x:c>
      <x:c r="AO959" s="28" t="str">
        <x:v>R01-R20; ilgili satırdaki bölgesel fiyat ve maliyet varsayımları</x:v>
      </x:c>
      <x:c r="AP959" s="28" t="str">
        <x:v>Girdi miktarları, alım fiyatı değişimi, fason bedeli ve parti sonucu simüle edilmiştir; işletme kaydı değildir.</x:v>
      </x:c>
    </x:row>
    <x:row r="960" ht="22" customHeight="1">
      <x:c r="A960" t="str">
        <x:v>SUC-0959</x:v>
      </x:c>
      <x:c r="B960" s="36" t="n">
        <x:v>46287</x:v>
      </x:c>
      <x:c r="C960" t="str">
        <x:v>Karadeniz</x:v>
      </x:c>
      <x:c r="D960" t="str">
        <x:v>MEB_STANDART</x:v>
      </x:c>
      <x:c r="E960" t="str">
        <x:v>Kurum içi</x:v>
      </x:c>
      <x:c r="F960" s="42" t="str">
        <x:v>SENTETİK/SİMÜLE — gerçek parti kaydı değildir</x:v>
      </x:c>
      <x:c r="G960" s="38" t="n">
        <x:v>188.132</x:v>
      </x:c>
      <x:c r="H960" s="38" t="n">
        <x:v>57.183</x:v>
      </x:c>
      <x:c r="I960" s="38" t="n">
        <x:v>12.459</x:v>
      </x:c>
      <x:c r="J960" s="38" t="n">
        <x:v>7.098</x:v>
      </x:c>
      <x:c r="K960" s="38" t="n">
        <x:v>2.664</x:v>
      </x:c>
      <x:c r="L960" s="38" t="n">
        <x:f>SUM(G960:K960)</x:f>
        <x:v>267.536</x:v>
      </x:c>
      <x:c r="M960" s="38" t="n">
        <x:v>311.583</x:v>
      </x:c>
      <x:c r="N960" s="38" t="n">
        <x:v>606.79</x:v>
      </x:c>
      <x:c r="O960" s="38" t="n">
        <x:v>430.33</x:v>
      </x:c>
      <x:c r="P960" s="38" t="n">
        <x:v>400</x:v>
      </x:c>
      <x:c r="Q960" s="38" t="n">
        <x:v>19.88</x:v>
      </x:c>
      <x:c r="R960" s="38" t="n">
        <x:v>43.7475</x:v>
      </x:c>
      <x:c r="S960" s="38" t="n">
        <x:v>86.16</x:v>
      </x:c>
      <x:c r="T960" s="40" t="n">
        <x:v>19.47</x:v>
      </x:c>
      <x:c r="U960" s="40" t="n">
        <x:v>0.9</x:v>
      </x:c>
      <x:c r="V960" s="38" t="n">
        <x:f>L960*(1-T960/100)*(1-U960/100)</x:f>
        <x:v>213.50772013280002</x:v>
      </x:c>
      <x:c r="W960" s="38" t="n">
        <x:f>G960*N960</x:f>
        <x:v>114156.61628</x:v>
      </x:c>
      <x:c r="X960" s="38" t="n">
        <x:f>H960*O960</x:f>
        <x:v>24607.56039</x:v>
      </x:c>
      <x:c r="Y960" s="38" t="n">
        <x:f>I960*P960</x:f>
        <x:v>4983.599999999999</x:v>
      </x:c>
      <x:c r="Z960" s="38" t="n">
        <x:f>J960*Q960+K960*P960</x:f>
        <x:v>1206.7082400000002</x:v>
      </x:c>
      <x:c r="AA960" s="38" t="n">
        <x:f>M960*R960</x:f>
        <x:v>13630.977292500002</x:v>
      </x:c>
      <x:c r="AB960" s="38" t="n">
        <x:f>SUM(W960:AA960)</x:f>
        <x:v>158585.46220250003</x:v>
      </x:c>
      <x:c r="AC960" s="38" t="n">
        <x:v>12.1</x:v>
      </x:c>
      <x:c r="AD960" s="38" t="n">
        <x:v>174.33</x:v>
      </x:c>
      <x:c r="AE960" s="38" t="n">
        <x:v>119.63</x:v>
      </x:c>
      <x:c r="AF960" s="38" t="n">
        <x:v>4.8148</x:v>
      </x:c>
      <x:c r="AG960" s="38" t="n">
        <x:v>5.9</x:v>
      </x:c>
      <x:c r="AH960" s="38" t="n">
        <x:f>IF(E960="Fason",L960*S960,0)</x:f>
        <x:v>0</x:v>
      </x:c>
      <x:c r="AI960" s="38" t="n">
        <x:f>IF(E960="Kurum içi",AC960*AD960+AE960*AF960+AB960*12%,0)</x:f>
        <x:v>21715.642988300002</x:v>
      </x:c>
      <x:c r="AJ960" s="38" t="n">
        <x:f>V960*AG960</x:f>
        <x:v>1259.6955487835203</x:v>
      </x:c>
      <x:c r="AK960" s="38" t="n">
        <x:f>AB960*2%</x:f>
        <x:v>3171.7092440500005</x:v>
      </x:c>
      <x:c r="AL960" s="38" t="n">
        <x:f>AB960+AH960+AI960+AJ960+AK960</x:f>
        <x:v>184732.50998363356</x:v>
      </x:c>
      <x:c r="AM960" s="38" t="n">
        <x:f>AL960/V960</x:f>
        <x:v>865.2263715276032</x:v>
      </x:c>
      <x:c r="AN960" s="40" t="n">
        <x:f>(W960+X960)/AL960*100</x:f>
        <x:v>75.11627308170819</x:v>
      </x:c>
      <x:c r="AO960" s="28" t="str">
        <x:v>R01-R20; ilgili satırdaki bölgesel fiyat ve maliyet varsayımları</x:v>
      </x:c>
      <x:c r="AP960" s="28" t="str">
        <x:v>Girdi miktarları, alım fiyatı değişimi, fason bedeli ve parti sonucu simüle edilmiştir; işletme kaydı değildir.</x:v>
      </x:c>
    </x:row>
    <x:row r="961" ht="22" customHeight="1">
      <x:c r="A961" t="str">
        <x:v>SUC-0960</x:v>
      </x:c>
      <x:c r="B961" s="36" t="n">
        <x:v>46303</x:v>
      </x:c>
      <x:c r="C961" t="str">
        <x:v>Ege</x:v>
      </x:c>
      <x:c r="D961" t="str">
        <x:v>ERZURUM_CI</x:v>
      </x:c>
      <x:c r="E961" t="str">
        <x:v>Kurum içi</x:v>
      </x:c>
      <x:c r="F961" s="42" t="str">
        <x:v>SENTETİK/SİMÜLE — gerçek parti kaydı değildir</x:v>
      </x:c>
      <x:c r="G961" s="38" t="n">
        <x:v>185.273</x:v>
      </x:c>
      <x:c r="H961" s="38" t="n">
        <x:v>30.788</x:v>
      </x:c>
      <x:c r="I961" s="38" t="n">
        <x:v>10.896</x:v>
      </x:c>
      <x:c r="J961" s="38" t="n">
        <x:v>4.1</x:v>
      </x:c>
      <x:c r="K961" s="38" t="n">
        <x:v>0.394</x:v>
      </x:c>
      <x:c r="L961" s="38" t="n">
        <x:f>SUM(G961:K961)</x:f>
        <x:v>231.451</x:v>
      </x:c>
      <x:c r="M961" s="38" t="n">
        <x:v>277.78</x:v>
      </x:c>
      <x:c r="N961" s="38" t="n">
        <x:v>610.15</x:v>
      </x:c>
      <x:c r="O961" s="38" t="n">
        <x:v>473.79</x:v>
      </x:c>
      <x:c r="P961" s="38" t="n">
        <x:v>550</x:v>
      </x:c>
      <x:c r="Q961" s="38" t="n">
        <x:v>19.88</x:v>
      </x:c>
      <x:c r="R961" s="38" t="n">
        <x:v>43.7475</x:v>
      </x:c>
      <x:c r="S961" s="38" t="n">
        <x:v>65.3</x:v>
      </x:c>
      <x:c r="T961" s="40" t="n">
        <x:v>16.5</x:v>
      </x:c>
      <x:c r="U961" s="40" t="n">
        <x:v>0.59</x:v>
      </x:c>
      <x:c r="V961" s="38" t="n">
        <x:f>L961*(1-T961/100)*(1-U961/100)</x:f>
        <x:v>192.1213416485</x:v>
      </x:c>
      <x:c r="W961" s="38" t="n">
        <x:f>G961*N961</x:f>
        <x:v>113044.32095</x:v>
      </x:c>
      <x:c r="X961" s="38" t="n">
        <x:f>H961*O961</x:f>
        <x:v>14587.04652</x:v>
      </x:c>
      <x:c r="Y961" s="38" t="n">
        <x:f>I961*P961</x:f>
        <x:v>5992.8</x:v>
      </x:c>
      <x:c r="Z961" s="38" t="n">
        <x:f>J961*Q961+K961*P961</x:f>
        <x:v>298.208</x:v>
      </x:c>
      <x:c r="AA961" s="38" t="n">
        <x:f>M961*R961</x:f>
        <x:v>12152.18055</x:v>
      </x:c>
      <x:c r="AB961" s="38" t="n">
        <x:f>SUM(W961:AA961)</x:f>
        <x:v>146074.55602</x:v>
      </x:c>
      <x:c r="AC961" s="38" t="n">
        <x:v>10.71</x:v>
      </x:c>
      <x:c r="AD961" s="38" t="n">
        <x:v>174.33</x:v>
      </x:c>
      <x:c r="AE961" s="38" t="n">
        <x:v>78.7</x:v>
      </x:c>
      <x:c r="AF961" s="38" t="n">
        <x:v>4.8148</x:v>
      </x:c>
      <x:c r="AG961" s="38" t="n">
        <x:v>5.8</x:v>
      </x:c>
      <x:c r="AH961" s="38" t="n">
        <x:f>IF(E961="Fason",L961*S961,0)</x:f>
        <x:v>0</x:v>
      </x:c>
      <x:c r="AI961" s="38" t="n">
        <x:f>IF(E961="Kurum içi",AC961*AD961+AE961*AF961+AB961*12%,0)</x:f>
        <x:v>19774.9457824</x:v>
      </x:c>
      <x:c r="AJ961" s="38" t="n">
        <x:f>V961*AG961</x:f>
        <x:v>1114.3037815613</x:v>
      </x:c>
      <x:c r="AK961" s="38" t="n">
        <x:f>AB961*2%</x:f>
        <x:v>2921.4911204</x:v>
      </x:c>
      <x:c r="AL961" s="38" t="n">
        <x:f>AB961+AH961+AI961+AJ961+AK961</x:f>
        <x:v>169885.29670436127</x:v>
      </x:c>
      <x:c r="AM961" s="38" t="n">
        <x:f>AL961/V961</x:f>
        <x:v>884.2604119181034</x:v>
      </x:c>
      <x:c r="AN961" s="40" t="n">
        <x:f>(W961+X961)/AL961*100</x:f>
        <x:v>75.1279657191919</x:v>
      </x:c>
      <x:c r="AO961" s="28" t="str">
        <x:v>R01-R20; ilgili satırdaki bölgesel fiyat ve maliyet varsayımları</x:v>
      </x:c>
      <x:c r="AP961" s="28" t="str">
        <x:v>Girdi miktarları, alım fiyatı değişimi, fason bedeli ve parti sonucu simüle edilmiştir; işletme kaydı değildir.</x:v>
      </x:c>
    </x:row>
    <x:row r="962" ht="22" customHeight="1">
      <x:c r="A962" t="str">
        <x:v>SUC-0961</x:v>
      </x:c>
      <x:c r="B962" s="36" t="n">
        <x:v>46296</x:v>
      </x:c>
      <x:c r="C962" t="str">
        <x:v>Doğu Anadolu</x:v>
      </x:c>
      <x:c r="D962" t="str">
        <x:v>MEB_STANDART</x:v>
      </x:c>
      <x:c r="E962" t="str">
        <x:v>Fason</x:v>
      </x:c>
      <x:c r="F962" s="42" t="str">
        <x:v>SENTETİK/SİMÜLE — gerçek parti kaydı değildir</x:v>
      </x:c>
      <x:c r="G962" s="38" t="n">
        <x:v>145.719</x:v>
      </x:c>
      <x:c r="H962" s="38" t="n">
        <x:v>46.137</x:v>
      </x:c>
      <x:c r="I962" s="38" t="n">
        <x:v>9.323</x:v>
      </x:c>
      <x:c r="J962" s="38" t="n">
        <x:v>5.503</x:v>
      </x:c>
      <x:c r="K962" s="38" t="n">
        <x:v>2.087</x:v>
      </x:c>
      <x:c r="L962" s="38" t="n">
        <x:f>SUM(G962:K962)</x:f>
        <x:v>208.769</x:v>
      </x:c>
      <x:c r="M962" s="38" t="n">
        <x:v>261.651</x:v>
      </x:c>
      <x:c r="N962" s="38" t="n">
        <x:v>592.88</x:v>
      </x:c>
      <x:c r="O962" s="38" t="n">
        <x:v>429.71</x:v>
      </x:c>
      <x:c r="P962" s="38" t="n">
        <x:v>400</x:v>
      </x:c>
      <x:c r="Q962" s="38" t="n">
        <x:v>19.88</x:v>
      </x:c>
      <x:c r="R962" s="38" t="n">
        <x:v>43.7475</x:v>
      </x:c>
      <x:c r="S962" s="38" t="n">
        <x:v>110.47</x:v>
      </x:c>
      <x:c r="T962" s="40" t="n">
        <x:v>18.82</x:v>
      </x:c>
      <x:c r="U962" s="40" t="n">
        <x:v>1.64</x:v>
      </x:c>
      <x:c r="V962" s="38" t="n">
        <x:f>L962*(1-T962/100)*(1-U962/100)</x:f>
        <x:v>166.69922394312002</x:v>
      </x:c>
      <x:c r="W962" s="38" t="n">
        <x:f>G962*N962</x:f>
        <x:v>86393.88072</x:v>
      </x:c>
      <x:c r="X962" s="38" t="n">
        <x:f>H962*O962</x:f>
        <x:v>19825.53027</x:v>
      </x:c>
      <x:c r="Y962" s="38" t="n">
        <x:f>I962*P962</x:f>
        <x:v>3729.2000000000003</x:v>
      </x:c>
      <x:c r="Z962" s="38" t="n">
        <x:f>J962*Q962+K962*P962</x:f>
        <x:v>944.19964</x:v>
      </x:c>
      <x:c r="AA962" s="38" t="n">
        <x:f>M962*R962</x:f>
        <x:v>11446.5771225</x:v>
      </x:c>
      <x:c r="AB962" s="38" t="n">
        <x:f>SUM(W962:AA962)</x:f>
        <x:v>122339.38775250001</x:v>
      </x:c>
      <x:c r="AC962" s="38" t="n">
        <x:v>9.19</x:v>
      </x:c>
      <x:c r="AD962" s="38" t="n">
        <x:v>174.33</x:v>
      </x:c>
      <x:c r="AE962" s="38" t="n">
        <x:v>93.91</x:v>
      </x:c>
      <x:c r="AF962" s="38" t="n">
        <x:v>4.8148</x:v>
      </x:c>
      <x:c r="AG962" s="38" t="n">
        <x:v>5.23</x:v>
      </x:c>
      <x:c r="AH962" s="38" t="n">
        <x:f>IF(E962="Fason",L962*S962,0)</x:f>
        <x:v>23062.71143</x:v>
      </x:c>
      <x:c r="AI962" s="38" t="n">
        <x:f>IF(E962="Kurum içi",AC962*AD962+AE962*AF962+AB962*12%,0)</x:f>
        <x:v>0</x:v>
      </x:c>
      <x:c r="AJ962" s="38" t="n">
        <x:f>V962*AG962</x:f>
        <x:v>871.8369412225178</x:v>
      </x:c>
      <x:c r="AK962" s="38" t="n">
        <x:f>AB962*2%</x:f>
        <x:v>2446.78775505</x:v>
      </x:c>
      <x:c r="AL962" s="38" t="n">
        <x:f>AB962+AH962+AI962+AJ962+AK962</x:f>
        <x:v>148720.72387877252</x:v>
      </x:c>
      <x:c r="AM962" s="38" t="n">
        <x:f>AL962/V962</x:f>
        <x:v>892.150067414339</x:v>
      </x:c>
      <x:c r="AN962" s="40" t="n">
        <x:f>(W962+X962)/AL962*100</x:f>
        <x:v>71.42206426898726</x:v>
      </x:c>
      <x:c r="AO962" s="28" t="str">
        <x:v>R01-R20; ilgili satırdaki bölgesel fiyat ve maliyet varsayımları</x:v>
      </x:c>
      <x:c r="AP962" s="28" t="str">
        <x:v>Girdi miktarları, alım fiyatı değişimi, fason bedeli ve parti sonucu simüle edilmiştir; işletme kaydı değildir.</x:v>
      </x:c>
    </x:row>
    <x:row r="963" ht="22" customHeight="1">
      <x:c r="A963" t="str">
        <x:v>SUC-0962</x:v>
      </x:c>
      <x:c r="B963" s="36" t="n">
        <x:v>46288</x:v>
      </x:c>
      <x:c r="C963" t="str">
        <x:v>İç Anadolu</x:v>
      </x:c>
      <x:c r="D963" t="str">
        <x:v>ERZURUM_CI</x:v>
      </x:c>
      <x:c r="E963" t="str">
        <x:v>Kurum içi</x:v>
      </x:c>
      <x:c r="F963" s="42" t="str">
        <x:v>SENTETİK/SİMÜLE — gerçek parti kaydı değildir</x:v>
      </x:c>
      <x:c r="G963" s="38" t="n">
        <x:v>387.869</x:v>
      </x:c>
      <x:c r="H963" s="38" t="n">
        <x:v>65.264</x:v>
      </x:c>
      <x:c r="I963" s="38" t="n">
        <x:v>23.179</x:v>
      </x:c>
      <x:c r="J963" s="38" t="n">
        <x:v>7.851</x:v>
      </x:c>
      <x:c r="K963" s="38" t="n">
        <x:v>0.075</x:v>
      </x:c>
      <x:c r="L963" s="38" t="n">
        <x:f>SUM(G963:K963)</x:f>
        <x:v>484.238</x:v>
      </x:c>
      <x:c r="M963" s="38" t="n">
        <x:v>577.498</x:v>
      </x:c>
      <x:c r="N963" s="38" t="n">
        <x:v>577.63</x:v>
      </x:c>
      <x:c r="O963" s="38" t="n">
        <x:v>471.51</x:v>
      </x:c>
      <x:c r="P963" s="38" t="n">
        <x:v>400</x:v>
      </x:c>
      <x:c r="Q963" s="38" t="n">
        <x:v>19.88</x:v>
      </x:c>
      <x:c r="R963" s="38" t="n">
        <x:v>43.7475</x:v>
      </x:c>
      <x:c r="S963" s="38" t="n">
        <x:v>76.93</x:v>
      </x:c>
      <x:c r="T963" s="40" t="n">
        <x:v>17.04</x:v>
      </x:c>
      <x:c r="U963" s="40" t="n">
        <x:v>1.35</x:v>
      </x:c>
      <x:c r="V963" s="38" t="n">
        <x:f>L963*(1-T963/100)*(1-U963/100)</x:f>
        <x:v>396.3005728952</x:v>
      </x:c>
      <x:c r="W963" s="38" t="n">
        <x:f>G963*N963</x:f>
        <x:v>224044.77047000002</x:v>
      </x:c>
      <x:c r="X963" s="38" t="n">
        <x:f>H963*O963</x:f>
        <x:v>30772.62864</x:v>
      </x:c>
      <x:c r="Y963" s="38" t="n">
        <x:f>I963*P963</x:f>
        <x:v>9271.599999999999</x:v>
      </x:c>
      <x:c r="Z963" s="38" t="n">
        <x:f>J963*Q963+K963*P963</x:f>
        <x:v>186.07788</x:v>
      </x:c>
      <x:c r="AA963" s="38" t="n">
        <x:f>M963*R963</x:f>
        <x:v>25264.093755</x:v>
      </x:c>
      <x:c r="AB963" s="38" t="n">
        <x:f>SUM(W963:AA963)</x:f>
        <x:v>289539.170745</x:v>
      </x:c>
      <x:c r="AC963" s="38" t="n">
        <x:v>30.42</x:v>
      </x:c>
      <x:c r="AD963" s="38" t="n">
        <x:v>174.33</x:v>
      </x:c>
      <x:c r="AE963" s="38" t="n">
        <x:v>118.05</x:v>
      </x:c>
      <x:c r="AF963" s="38" t="n">
        <x:v>4.8148</x:v>
      </x:c>
      <x:c r="AG963" s="38" t="n">
        <x:v>5.39</x:v>
      </x:c>
      <x:c r="AH963" s="38" t="n">
        <x:f>IF(E963="Fason",L963*S963,0)</x:f>
        <x:v>0</x:v>
      </x:c>
      <x:c r="AI963" s="38" t="n">
        <x:f>IF(E963="Kurum içi",AC963*AD963+AE963*AF963+AB963*12%,0)</x:f>
        <x:v>40616.2062294</x:v>
      </x:c>
      <x:c r="AJ963" s="38" t="n">
        <x:f>V963*AG963</x:f>
        <x:v>2136.0600879051276</x:v>
      </x:c>
      <x:c r="AK963" s="38" t="n">
        <x:f>AB963*2%</x:f>
        <x:v>5790.7834149</x:v>
      </x:c>
      <x:c r="AL963" s="38" t="n">
        <x:f>AB963+AH963+AI963+AJ963+AK963</x:f>
        <x:v>338082.2204772052</x:v>
      </x:c>
      <x:c r="AM963" s="38" t="n">
        <x:f>AL963/V963</x:f>
        <x:v>853.0954623843292</x:v>
      </x:c>
      <x:c r="AN963" s="40" t="n">
        <x:f>(W963+X963)/AL963*100</x:f>
        <x:v>75.37142850940924</x:v>
      </x:c>
      <x:c r="AO963" s="28" t="str">
        <x:v>R01-R20; ilgili satırdaki bölgesel fiyat ve maliyet varsayımları</x:v>
      </x:c>
      <x:c r="AP963" s="28" t="str">
        <x:v>Girdi miktarları, alım fiyatı değişimi, fason bedeli ve parti sonucu simüle edilmiştir; işletme kaydı değildir.</x:v>
      </x:c>
    </x:row>
    <x:row r="964" ht="22" customHeight="1">
      <x:c r="A964" t="str">
        <x:v>SUC-0963</x:v>
      </x:c>
      <x:c r="B964" s="36" t="n">
        <x:v>46304</x:v>
      </x:c>
      <x:c r="C964" t="str">
        <x:v>Marmara</x:v>
      </x:c>
      <x:c r="D964" t="str">
        <x:v>ERZURUM_CI</x:v>
      </x:c>
      <x:c r="E964" t="str">
        <x:v>Fason</x:v>
      </x:c>
      <x:c r="F964" s="42" t="str">
        <x:v>SENTETİK/SİMÜLE — gerçek parti kaydı değildir</x:v>
      </x:c>
      <x:c r="G964" s="38" t="n">
        <x:v>250.416</x:v>
      </x:c>
      <x:c r="H964" s="38" t="n">
        <x:v>47.917</x:v>
      </x:c>
      <x:c r="I964" s="38" t="n">
        <x:v>15.675</x:v>
      </x:c>
      <x:c r="J964" s="38" t="n">
        <x:v>5.532</x:v>
      </x:c>
      <x:c r="K964" s="38" t="n">
        <x:v>0.607</x:v>
      </x:c>
      <x:c r="L964" s="38" t="n">
        <x:f>SUM(G964:K964)</x:f>
        <x:v>320.147</x:v>
      </x:c>
      <x:c r="M964" s="38" t="n">
        <x:v>379.781</x:v>
      </x:c>
      <x:c r="N964" s="38" t="n">
        <x:v>612.96</x:v>
      </x:c>
      <x:c r="O964" s="38" t="n">
        <x:v>461.48</x:v>
      </x:c>
      <x:c r="P964" s="38" t="n">
        <x:v>550</x:v>
      </x:c>
      <x:c r="Q964" s="38" t="n">
        <x:v>19.88</x:v>
      </x:c>
      <x:c r="R964" s="38" t="n">
        <x:v>43.7475</x:v>
      </x:c>
      <x:c r="S964" s="38" t="n">
        <x:v>115</x:v>
      </x:c>
      <x:c r="T964" s="40" t="n">
        <x:v>20.74</x:v>
      </x:c>
      <x:c r="U964" s="40" t="n">
        <x:v>1.76</x:v>
      </x:c>
      <x:c r="V964" s="38" t="n">
        <x:f>L964*(1-T964/100)*(1-U964/100)</x:f>
        <x:v>249.28253838528002</x:v>
      </x:c>
      <x:c r="W964" s="38" t="n">
        <x:f>G964*N964</x:f>
        <x:v>153494.99136</x:v>
      </x:c>
      <x:c r="X964" s="38" t="n">
        <x:f>H964*O964</x:f>
        <x:v>22112.73716</x:v>
      </x:c>
      <x:c r="Y964" s="38" t="n">
        <x:f>I964*P964</x:f>
        <x:v>8621.25</x:v>
      </x:c>
      <x:c r="Z964" s="38" t="n">
        <x:f>J964*Q964+K964*P964</x:f>
        <x:v>443.82615999999996</x:v>
      </x:c>
      <x:c r="AA964" s="38" t="n">
        <x:f>M964*R964</x:f>
        <x:v>16614.4692975</x:v>
      </x:c>
      <x:c r="AB964" s="38" t="n">
        <x:f>SUM(W964:AA964)</x:f>
        <x:v>201287.2739775</x:v>
      </x:c>
      <x:c r="AC964" s="38" t="n">
        <x:v>18.22</x:v>
      </x:c>
      <x:c r="AD964" s="38" t="n">
        <x:v>174.33</x:v>
      </x:c>
      <x:c r="AE964" s="38" t="n">
        <x:v>111.45</x:v>
      </x:c>
      <x:c r="AF964" s="38" t="n">
        <x:v>4.8148</x:v>
      </x:c>
      <x:c r="AG964" s="38" t="n">
        <x:v>5.85</x:v>
      </x:c>
      <x:c r="AH964" s="38" t="n">
        <x:f>IF(E964="Fason",L964*S964,0)</x:f>
        <x:v>36816.905</x:v>
      </x:c>
      <x:c r="AI964" s="38" t="n">
        <x:f>IF(E964="Kurum içi",AC964*AD964+AE964*AF964+AB964*12%,0)</x:f>
        <x:v>0</x:v>
      </x:c>
      <x:c r="AJ964" s="38" t="n">
        <x:f>V964*AG964</x:f>
        <x:v>1458.302849553888</x:v>
      </x:c>
      <x:c r="AK964" s="38" t="n">
        <x:f>AB964*2%</x:f>
        <x:v>4025.7454795500003</x:v>
      </x:c>
      <x:c r="AL964" s="38" t="n">
        <x:f>AB964+AH964+AI964+AJ964+AK964</x:f>
        <x:v>243588.2273066039</x:v>
      </x:c>
      <x:c r="AM964" s="38" t="n">
        <x:f>AL964/V964</x:f>
        <x:v>977.1572003576309</x:v>
      </x:c>
      <x:c r="AN964" s="40" t="n">
        <x:f>(W964+X964)/AL964*100</x:f>
        <x:v>72.0920425677892</x:v>
      </x:c>
      <x:c r="AO964" s="28" t="str">
        <x:v>R01-R20; ilgili satırdaki bölgesel fiyat ve maliyet varsayımları</x:v>
      </x:c>
      <x:c r="AP964" s="28" t="str">
        <x:v>Girdi miktarları, alım fiyatı değişimi, fason bedeli ve parti sonucu simüle edilmiştir; işletme kaydı değildir.</x:v>
      </x:c>
    </x:row>
    <x:row r="965" ht="22" customHeight="1">
      <x:c r="A965" t="str">
        <x:v>SUC-0964</x:v>
      </x:c>
      <x:c r="B965" s="36" t="n">
        <x:v>46299</x:v>
      </x:c>
      <x:c r="C965" t="str">
        <x:v>Akdeniz</x:v>
      </x:c>
      <x:c r="D965" t="str">
        <x:v>MEB_STANDART</x:v>
      </x:c>
      <x:c r="E965" t="str">
        <x:v>Fason</x:v>
      </x:c>
      <x:c r="F965" s="42" t="str">
        <x:v>SENTETİK/SİMÜLE — gerçek parti kaydı değildir</x:v>
      </x:c>
      <x:c r="G965" s="38" t="n">
        <x:v>291.5</x:v>
      </x:c>
      <x:c r="H965" s="38" t="n">
        <x:v>93.038</x:v>
      </x:c>
      <x:c r="I965" s="38" t="n">
        <x:v>18.937</x:v>
      </x:c>
      <x:c r="J965" s="38" t="n">
        <x:v>10.51</x:v>
      </x:c>
      <x:c r="K965" s="38" t="n">
        <x:v>4.867</x:v>
      </x:c>
      <x:c r="L965" s="38" t="n">
        <x:f>SUM(G965:K965)</x:f>
        <x:v>418.85200000000003</x:v>
      </x:c>
      <x:c r="M965" s="38" t="n">
        <x:v>487.507</x:v>
      </x:c>
      <x:c r="N965" s="38" t="n">
        <x:v>574.95</x:v>
      </x:c>
      <x:c r="O965" s="38" t="n">
        <x:v>428.83</x:v>
      </x:c>
      <x:c r="P965" s="38" t="n">
        <x:v>400</x:v>
      </x:c>
      <x:c r="Q965" s="38" t="n">
        <x:v>19.88</x:v>
      </x:c>
      <x:c r="R965" s="38" t="n">
        <x:v>43.7475</x:v>
      </x:c>
      <x:c r="S965" s="38" t="n">
        <x:v>91.86</x:v>
      </x:c>
      <x:c r="T965" s="40" t="n">
        <x:v>17.12</x:v>
      </x:c>
      <x:c r="U965" s="40" t="n">
        <x:v>0.57</x:v>
      </x:c>
      <x:c r="V965" s="38" t="n">
        <x:f>L965*(1-T965/100)*(1-U965/100)</x:f>
        <x:v>345.16581373568005</x:v>
      </x:c>
      <x:c r="W965" s="38" t="n">
        <x:f>G965*N965</x:f>
        <x:v>167597.92500000002</x:v>
      </x:c>
      <x:c r="X965" s="38" t="n">
        <x:f>H965*O965</x:f>
        <x:v>39897.485539999994</x:v>
      </x:c>
      <x:c r="Y965" s="38" t="n">
        <x:f>I965*P965</x:f>
        <x:v>7574.8</x:v>
      </x:c>
      <x:c r="Z965" s="38" t="n">
        <x:f>J965*Q965+K965*P965</x:f>
        <x:v>2155.7388</x:v>
      </x:c>
      <x:c r="AA965" s="38" t="n">
        <x:f>M965*R965</x:f>
        <x:v>21327.212482500003</x:v>
      </x:c>
      <x:c r="AB965" s="38" t="n">
        <x:f>SUM(W965:AA965)</x:f>
        <x:v>238553.1618225</x:v>
      </x:c>
      <x:c r="AC965" s="38" t="n">
        <x:v>17.67</x:v>
      </x:c>
      <x:c r="AD965" s="38" t="n">
        <x:v>174.33</x:v>
      </x:c>
      <x:c r="AE965" s="38" t="n">
        <x:v>166.35</x:v>
      </x:c>
      <x:c r="AF965" s="38" t="n">
        <x:v>4.8148</x:v>
      </x:c>
      <x:c r="AG965" s="38" t="n">
        <x:v>5.3</x:v>
      </x:c>
      <x:c r="AH965" s="38" t="n">
        <x:f>IF(E965="Fason",L965*S965,0)</x:f>
        <x:v>38475.74472</x:v>
      </x:c>
      <x:c r="AI965" s="38" t="n">
        <x:f>IF(E965="Kurum içi",AC965*AD965+AE965*AF965+AB965*12%,0)</x:f>
        <x:v>0</x:v>
      </x:c>
      <x:c r="AJ965" s="38" t="n">
        <x:f>V965*AG965</x:f>
        <x:v>1829.3788127991043</x:v>
      </x:c>
      <x:c r="AK965" s="38" t="n">
        <x:f>AB965*2%</x:f>
        <x:v>4771.06323645</x:v>
      </x:c>
      <x:c r="AL965" s="38" t="n">
        <x:f>AB965+AH965+AI965+AJ965+AK965</x:f>
        <x:v>283629.34859174915</x:v>
      </x:c>
      <x:c r="AM965" s="38" t="n">
        <x:f>AL965/V965</x:f>
        <x:v>821.7191196372243</x:v>
      </x:c>
      <x:c r="AN965" s="40" t="n">
        <x:f>(W965+X965)/AL965*100</x:f>
        <x:v>73.15724256683502</x:v>
      </x:c>
      <x:c r="AO965" s="28" t="str">
        <x:v>R01-R20; ilgili satırdaki bölgesel fiyat ve maliyet varsayımları</x:v>
      </x:c>
      <x:c r="AP965" s="28" t="str">
        <x:v>Girdi miktarları, alım fiyatı değişimi, fason bedeli ve parti sonucu simüle edilmiştir; işletme kaydı değildir.</x:v>
      </x:c>
    </x:row>
    <x:row r="966" ht="22" customHeight="1">
      <x:c r="A966" t="str">
        <x:v>SUC-0965</x:v>
      </x:c>
      <x:c r="B966" s="36" t="n">
        <x:v>46286</x:v>
      </x:c>
      <x:c r="C966" t="str">
        <x:v>Akdeniz</x:v>
      </x:c>
      <x:c r="D966" t="str">
        <x:v>MEB_STANDART</x:v>
      </x:c>
      <x:c r="E966" t="str">
        <x:v>Kurum içi</x:v>
      </x:c>
      <x:c r="F966" s="42" t="str">
        <x:v>SENTETİK/SİMÜLE — gerçek parti kaydı değildir</x:v>
      </x:c>
      <x:c r="G966" s="38" t="n">
        <x:v>212.179</x:v>
      </x:c>
      <x:c r="H966" s="38" t="n">
        <x:v>67.295</x:v>
      </x:c>
      <x:c r="I966" s="38" t="n">
        <x:v>13.297</x:v>
      </x:c>
      <x:c r="J966" s="38" t="n">
        <x:v>7.034</x:v>
      </x:c>
      <x:c r="K966" s="38" t="n">
        <x:v>3.511</x:v>
      </x:c>
      <x:c r="L966" s="38" t="n">
        <x:f>SUM(G966:K966)</x:f>
        <x:v>303.31600000000003</x:v>
      </x:c>
      <x:c r="M966" s="38" t="n">
        <x:v>349.467</x:v>
      </x:c>
      <x:c r="N966" s="38" t="n">
        <x:v>593.21</x:v>
      </x:c>
      <x:c r="O966" s="38" t="n">
        <x:v>416.06</x:v>
      </x:c>
      <x:c r="P966" s="38" t="n">
        <x:v>550</x:v>
      </x:c>
      <x:c r="Q966" s="38" t="n">
        <x:v>19.88</x:v>
      </x:c>
      <x:c r="R966" s="38" t="n">
        <x:v>43.7475</x:v>
      </x:c>
      <x:c r="S966" s="38" t="n">
        <x:v>74.55</x:v>
      </x:c>
      <x:c r="T966" s="40" t="n">
        <x:v>18.1</x:v>
      </x:c>
      <x:c r="U966" s="40" t="n">
        <x:v>1.05</x:v>
      </x:c>
      <x:c r="V966" s="38" t="n">
        <x:f>L966*(1-T966/100)*(1-U966/100)</x:f>
        <x:v>245.80743805800003</x:v>
      </x:c>
      <x:c r="W966" s="38" t="n">
        <x:f>G966*N966</x:f>
        <x:v>125866.70459000001</x:v>
      </x:c>
      <x:c r="X966" s="38" t="n">
        <x:f>H966*O966</x:f>
        <x:v>27998.757700000002</x:v>
      </x:c>
      <x:c r="Y966" s="38" t="n">
        <x:f>I966*P966</x:f>
        <x:v>7313.35</x:v>
      </x:c>
      <x:c r="Z966" s="38" t="n">
        <x:f>J966*Q966+K966*P966</x:f>
        <x:v>2070.8859199999997</x:v>
      </x:c>
      <x:c r="AA966" s="38" t="n">
        <x:f>M966*R966</x:f>
        <x:v>15288.3075825</x:v>
      </x:c>
      <x:c r="AB966" s="38" t="n">
        <x:f>SUM(W966:AA966)</x:f>
        <x:v>178538.00579250001</x:v>
      </x:c>
      <x:c r="AC966" s="38" t="n">
        <x:v>12.1</x:v>
      </x:c>
      <x:c r="AD966" s="38" t="n">
        <x:v>174.33</x:v>
      </x:c>
      <x:c r="AE966" s="38" t="n">
        <x:v>102.93</x:v>
      </x:c>
      <x:c r="AF966" s="38" t="n">
        <x:v>4.8148</x:v>
      </x:c>
      <x:c r="AG966" s="38" t="n">
        <x:v>5.57</x:v>
      </x:c>
      <x:c r="AH966" s="38" t="n">
        <x:f>IF(E966="Fason",L966*S966,0)</x:f>
        <x:v>0</x:v>
      </x:c>
      <x:c r="AI966" s="38" t="n">
        <x:f>IF(E966="Kurum içi",AC966*AD966+AE966*AF966+AB966*12%,0)</x:f>
        <x:v>24029.5410591</x:v>
      </x:c>
      <x:c r="AJ966" s="38" t="n">
        <x:f>V966*AG966</x:f>
        <x:v>1369.1474299830602</x:v>
      </x:c>
      <x:c r="AK966" s="38" t="n">
        <x:f>AB966*2%</x:f>
        <x:v>3570.76011585</x:v>
      </x:c>
      <x:c r="AL966" s="38" t="n">
        <x:f>AB966+AH966+AI966+AJ966+AK966</x:f>
        <x:v>207507.4543974331</x:v>
      </x:c>
      <x:c r="AM966" s="38" t="n">
        <x:f>AL966/V966</x:f>
        <x:v>844.1870434712811</x:v>
      </x:c>
      <x:c r="AN966" s="40" t="n">
        <x:f>(W966+X966)/AL966*100</x:f>
        <x:v>74.1493662176135</x:v>
      </x:c>
      <x:c r="AO966" s="28" t="str">
        <x:v>R01-R20; ilgili satırdaki bölgesel fiyat ve maliyet varsayımları</x:v>
      </x:c>
      <x:c r="AP966" s="28" t="str">
        <x:v>Girdi miktarları, alım fiyatı değişimi, fason bedeli ve parti sonucu simüle edilmiştir; işletme kaydı değildir.</x:v>
      </x:c>
    </x:row>
    <x:row r="967" ht="22" customHeight="1">
      <x:c r="A967" t="str">
        <x:v>SUC-0966</x:v>
      </x:c>
      <x:c r="B967" s="36" t="n">
        <x:v>46291</x:v>
      </x:c>
      <x:c r="C967" t="str">
        <x:v>Doğu Anadolu</x:v>
      </x:c>
      <x:c r="D967" t="str">
        <x:v>ERZURUM_CI</x:v>
      </x:c>
      <x:c r="E967" t="str">
        <x:v>Kurum içi</x:v>
      </x:c>
      <x:c r="F967" s="42" t="str">
        <x:v>SENTETİK/SİMÜLE — gerçek parti kaydı değildir</x:v>
      </x:c>
      <x:c r="G967" s="38" t="n">
        <x:v>252.762</x:v>
      </x:c>
      <x:c r="H967" s="38" t="n">
        <x:v>44.676</x:v>
      </x:c>
      <x:c r="I967" s="38" t="n">
        <x:v>14.279</x:v>
      </x:c>
      <x:c r="J967" s="38" t="n">
        <x:v>5.583</x:v>
      </x:c>
      <x:c r="K967" s="38" t="n">
        <x:v>0.144</x:v>
      </x:c>
      <x:c r="L967" s="38" t="n">
        <x:f>SUM(G967:K967)</x:f>
        <x:v>317.444</x:v>
      </x:c>
      <x:c r="M967" s="38" t="n">
        <x:v>368.912</x:v>
      </x:c>
      <x:c r="N967" s="38" t="n">
        <x:v>605.49</x:v>
      </x:c>
      <x:c r="O967" s="38" t="n">
        <x:v>442.82</x:v>
      </x:c>
      <x:c r="P967" s="38" t="n">
        <x:v>550</x:v>
      </x:c>
      <x:c r="Q967" s="38" t="n">
        <x:v>19.88</x:v>
      </x:c>
      <x:c r="R967" s="38" t="n">
        <x:v>43.7475</x:v>
      </x:c>
      <x:c r="S967" s="38" t="n">
        <x:v>124.04</x:v>
      </x:c>
      <x:c r="T967" s="40" t="n">
        <x:v>22.5</x:v>
      </x:c>
      <x:c r="U967" s="40" t="n">
        <x:v>0.31</x:v>
      </x:c>
      <x:c r="V967" s="38" t="n">
        <x:f>L967*(1-T967/100)*(1-U967/100)</x:f>
        <x:v>245.25644079</x:v>
      </x:c>
      <x:c r="W967" s="38" t="n">
        <x:f>G967*N967</x:f>
        <x:v>153044.86338</x:v>
      </x:c>
      <x:c r="X967" s="38" t="n">
        <x:f>H967*O967</x:f>
        <x:v>19783.426320000002</x:v>
      </x:c>
      <x:c r="Y967" s="38" t="n">
        <x:f>I967*P967</x:f>
        <x:v>7853.45</x:v>
      </x:c>
      <x:c r="Z967" s="38" t="n">
        <x:f>J967*Q967+K967*P967</x:f>
        <x:v>190.19003999999998</x:v>
      </x:c>
      <x:c r="AA967" s="38" t="n">
        <x:f>M967*R967</x:f>
        <x:v>16138.97772</x:v>
      </x:c>
      <x:c r="AB967" s="38" t="n">
        <x:f>SUM(W967:AA967)</x:f>
        <x:v>197010.90746</x:v>
      </x:c>
      <x:c r="AC967" s="38" t="n">
        <x:v>20.92</x:v>
      </x:c>
      <x:c r="AD967" s="38" t="n">
        <x:v>174.33</x:v>
      </x:c>
      <x:c r="AE967" s="38" t="n">
        <x:v>83.6</x:v>
      </x:c>
      <x:c r="AF967" s="38" t="n">
        <x:v>4.8148</x:v>
      </x:c>
      <x:c r="AG967" s="38" t="n">
        <x:v>5.42</x:v>
      </x:c>
      <x:c r="AH967" s="38" t="n">
        <x:f>IF(E967="Fason",L967*S967,0)</x:f>
        <x:v>0</x:v>
      </x:c>
      <x:c r="AI967" s="38" t="n">
        <x:f>IF(E967="Kurum içi",AC967*AD967+AE967*AF967+AB967*12%,0)</x:f>
        <x:v>27690.809775199996</x:v>
      </x:c>
      <x:c r="AJ967" s="38" t="n">
        <x:f>V967*AG967</x:f>
        <x:v>1329.2899090818</x:v>
      </x:c>
      <x:c r="AK967" s="38" t="n">
        <x:f>AB967*2%</x:f>
        <x:v>3940.2181492</x:v>
      </x:c>
      <x:c r="AL967" s="38" t="n">
        <x:f>AB967+AH967+AI967+AJ967+AK967</x:f>
        <x:v>229971.22529348178</x:v>
      </x:c>
      <x:c r="AM967" s="38" t="n">
        <x:f>AL967/V967</x:f>
        <x:v>937.6765990435043</x:v>
      </x:c>
      <x:c r="AN967" s="40" t="n">
        <x:f>(W967+X967)/AL967*100</x:f>
        <x:v>75.15213674208248</x:v>
      </x:c>
      <x:c r="AO967" s="28" t="str">
        <x:v>R01-R20; ilgili satırdaki bölgesel fiyat ve maliyet varsayımları</x:v>
      </x:c>
      <x:c r="AP967" s="28" t="str">
        <x:v>Girdi miktarları, alım fiyatı değişimi, fason bedeli ve parti sonucu simüle edilmiştir; işletme kaydı değildir.</x:v>
      </x:c>
    </x:row>
    <x:row r="968" ht="22" customHeight="1">
      <x:c r="A968" t="str">
        <x:v>SUC-0967</x:v>
      </x:c>
      <x:c r="B968" s="36" t="n">
        <x:v>46287</x:v>
      </x:c>
      <x:c r="C968" t="str">
        <x:v>Marmara</x:v>
      </x:c>
      <x:c r="D968" t="str">
        <x:v>MEB_STANDART</x:v>
      </x:c>
      <x:c r="E968" t="str">
        <x:v>Kurum içi</x:v>
      </x:c>
      <x:c r="F968" s="42" t="str">
        <x:v>SENTETİK/SİMÜLE — gerçek parti kaydı değildir</x:v>
      </x:c>
      <x:c r="G968" s="38" t="n">
        <x:v>341.371</x:v>
      </x:c>
      <x:c r="H968" s="38" t="n">
        <x:v>112.951</x:v>
      </x:c>
      <x:c r="I968" s="38" t="n">
        <x:v>22.291</x:v>
      </x:c>
      <x:c r="J968" s="38" t="n">
        <x:v>11.675</x:v>
      </x:c>
      <x:c r="K968" s="38" t="n">
        <x:v>5.632</x:v>
      </x:c>
      <x:c r="L968" s="38" t="n">
        <x:f>SUM(G968:K968)</x:f>
        <x:v>493.92</x:v>
      </x:c>
      <x:c r="M968" s="38" t="n">
        <x:v>658.858</x:v>
      </x:c>
      <x:c r="N968" s="38" t="n">
        <x:v>620.96</x:v>
      </x:c>
      <x:c r="O968" s="38" t="n">
        <x:v>445.72</x:v>
      </x:c>
      <x:c r="P968" s="38" t="n">
        <x:v>550</x:v>
      </x:c>
      <x:c r="Q968" s="38" t="n">
        <x:v>19.88</x:v>
      </x:c>
      <x:c r="R968" s="38" t="n">
        <x:v>43.7475</x:v>
      </x:c>
      <x:c r="S968" s="38" t="n">
        <x:v>108.03</x:v>
      </x:c>
      <x:c r="T968" s="40" t="n">
        <x:v>23.37</x:v>
      </x:c>
      <x:c r="U968" s="40" t="n">
        <x:v>0.33</x:v>
      </x:c>
      <x:c r="V968" s="38" t="n">
        <x:f>L968*(1-T968/100)*(1-U968/100)</x:f>
        <x:v>377.2418760432</x:v>
      </x:c>
      <x:c r="W968" s="38" t="n">
        <x:f>G968*N968</x:f>
        <x:v>211977.73616</x:v>
      </x:c>
      <x:c r="X968" s="38" t="n">
        <x:f>H968*O968</x:f>
        <x:v>50344.51972</x:v>
      </x:c>
      <x:c r="Y968" s="38" t="n">
        <x:f>I968*P968</x:f>
        <x:v>12260.050000000001</x:v>
      </x:c>
      <x:c r="Z968" s="38" t="n">
        <x:f>J968*Q968+K968*P968</x:f>
        <x:v>3329.699</x:v>
      </x:c>
      <x:c r="AA968" s="38" t="n">
        <x:f>M968*R968</x:f>
        <x:v>28823.390355</x:v>
      </x:c>
      <x:c r="AB968" s="38" t="n">
        <x:f>SUM(W968:AA968)</x:f>
        <x:v>306735.395235</x:v>
      </x:c>
      <x:c r="AC968" s="38" t="n">
        <x:v>27.85</x:v>
      </x:c>
      <x:c r="AD968" s="38" t="n">
        <x:v>174.33</x:v>
      </x:c>
      <x:c r="AE968" s="38" t="n">
        <x:v>208.85</x:v>
      </x:c>
      <x:c r="AF968" s="38" t="n">
        <x:v>4.8148</x:v>
      </x:c>
      <x:c r="AG968" s="38" t="n">
        <x:v>5.54</x:v>
      </x:c>
      <x:c r="AH968" s="38" t="n">
        <x:f>IF(E968="Fason",L968*S968,0)</x:f>
        <x:v>0</x:v>
      </x:c>
      <x:c r="AI968" s="38" t="n">
        <x:f>IF(E968="Kurum içi",AC968*AD968+AE968*AF968+AB968*12%,0)</x:f>
        <x:v>42668.9089082</x:v>
      </x:c>
      <x:c r="AJ968" s="38" t="n">
        <x:f>V968*AG968</x:f>
        <x:v>2089.919993279328</x:v>
      </x:c>
      <x:c r="AK968" s="38" t="n">
        <x:f>AB968*2%</x:f>
        <x:v>6134.707904700001</x:v>
      </x:c>
      <x:c r="AL968" s="38" t="n">
        <x:f>AB968+AH968+AI968+AJ968+AK968</x:f>
        <x:v>357628.93204117933</x:v>
      </x:c>
      <x:c r="AM968" s="38" t="n">
        <x:f>AL968/V968</x:f>
        <x:v>948.0096318899265</x:v>
      </x:c>
      <x:c r="AN968" s="40" t="n">
        <x:f>(W968+X968)/AL968*100</x:f>
        <x:v>73.35040103796602</x:v>
      </x:c>
      <x:c r="AO968" s="28" t="str">
        <x:v>R01-R20; ilgili satırdaki bölgesel fiyat ve maliyet varsayımları</x:v>
      </x:c>
      <x:c r="AP968" s="28" t="str">
        <x:v>Girdi miktarları, alım fiyatı değişimi, fason bedeli ve parti sonucu simüle edilmiştir; işletme kaydı değildir.</x:v>
      </x:c>
    </x:row>
    <x:row r="969" ht="22" customHeight="1">
      <x:c r="A969" t="str">
        <x:v>SUC-0968</x:v>
      </x:c>
      <x:c r="B969" s="36" t="n">
        <x:v>46313</x:v>
      </x:c>
      <x:c r="C969" t="str">
        <x:v>Karadeniz</x:v>
      </x:c>
      <x:c r="D969" t="str">
        <x:v>ERZURUM_CI</x:v>
      </x:c>
      <x:c r="E969" t="str">
        <x:v>Kurum içi</x:v>
      </x:c>
      <x:c r="F969" s="42" t="str">
        <x:v>SENTETİK/SİMÜLE — gerçek parti kaydı değildir</x:v>
      </x:c>
      <x:c r="G969" s="38" t="n">
        <x:v>304.413</x:v>
      </x:c>
      <x:c r="H969" s="38" t="n">
        <x:v>55.602</x:v>
      </x:c>
      <x:c r="I969" s="38" t="n">
        <x:v>18.137</x:v>
      </x:c>
      <x:c r="J969" s="38" t="n">
        <x:v>6.4</x:v>
      </x:c>
      <x:c r="K969" s="38" t="n">
        <x:v>0.7</x:v>
      </x:c>
      <x:c r="L969" s="38" t="n">
        <x:f>SUM(G969:K969)</x:f>
        <x:v>385.25199999999995</x:v>
      </x:c>
      <x:c r="M969" s="38" t="n">
        <x:v>456.208</x:v>
      </x:c>
      <x:c r="N969" s="38" t="n">
        <x:v>594.12</x:v>
      </x:c>
      <x:c r="O969" s="38" t="n">
        <x:v>417.64</x:v>
      </x:c>
      <x:c r="P969" s="38" t="n">
        <x:v>400</x:v>
      </x:c>
      <x:c r="Q969" s="38" t="n">
        <x:v>19.88</x:v>
      </x:c>
      <x:c r="R969" s="38" t="n">
        <x:v>43.7475</x:v>
      </x:c>
      <x:c r="S969" s="38" t="n">
        <x:v>115.47</x:v>
      </x:c>
      <x:c r="T969" s="40" t="n">
        <x:v>21.81</x:v>
      </x:c>
      <x:c r="U969" s="40" t="n">
        <x:v>1.7</x:v>
      </x:c>
      <x:c r="V969" s="38" t="n">
        <x:f>L969*(1-T969/100)*(1-U969/100)</x:f>
        <x:v>296.1076536404</x:v>
      </x:c>
      <x:c r="W969" s="38" t="n">
        <x:f>G969*N969</x:f>
        <x:v>180857.85156</x:v>
      </x:c>
      <x:c r="X969" s="38" t="n">
        <x:f>H969*O969</x:f>
        <x:v>23221.61928</x:v>
      </x:c>
      <x:c r="Y969" s="38" t="n">
        <x:f>I969*P969</x:f>
        <x:v>7254.8</x:v>
      </x:c>
      <x:c r="Z969" s="38" t="n">
        <x:f>J969*Q969+K969*P969</x:f>
        <x:v>407.23199999999997</x:v>
      </x:c>
      <x:c r="AA969" s="38" t="n">
        <x:f>M969*R969</x:f>
        <x:v>19957.95948</x:v>
      </x:c>
      <x:c r="AB969" s="38" t="n">
        <x:f>SUM(W969:AA969)</x:f>
        <x:v>231699.46232</x:v>
      </x:c>
      <x:c r="AC969" s="38" t="n">
        <x:v>22.12</x:v>
      </x:c>
      <x:c r="AD969" s="38" t="n">
        <x:v>174.33</x:v>
      </x:c>
      <x:c r="AE969" s="38" t="n">
        <x:v>115.05</x:v>
      </x:c>
      <x:c r="AF969" s="38" t="n">
        <x:v>4.8148</x:v>
      </x:c>
      <x:c r="AG969" s="38" t="n">
        <x:v>5.18</x:v>
      </x:c>
      <x:c r="AH969" s="38" t="n">
        <x:f>IF(E969="Fason",L969*S969,0)</x:f>
        <x:v>0</x:v>
      </x:c>
      <x:c r="AI969" s="38" t="n">
        <x:f>IF(E969="Kurum içi",AC969*AD969+AE969*AF969+AB969*12%,0)</x:f>
        <x:v>32214.057818399997</x:v>
      </x:c>
      <x:c r="AJ969" s="38" t="n">
        <x:f>V969*AG969</x:f>
        <x:v>1533.8376458572718</x:v>
      </x:c>
      <x:c r="AK969" s="38" t="n">
        <x:f>AB969*2%</x:f>
        <x:v>4633.9892463999995</x:v>
      </x:c>
      <x:c r="AL969" s="38" t="n">
        <x:f>AB969+AH969+AI969+AJ969+AK969</x:f>
        <x:v>270081.3470306572</x:v>
      </x:c>
      <x:c r="AM969" s="38" t="n">
        <x:f>AL969/V969</x:f>
        <x:v>912.1052553361228</x:v>
      </x:c>
      <x:c r="AN969" s="40" t="n">
        <x:f>(W969+X969)/AL969*100</x:f>
        <x:v>75.56222341294631</x:v>
      </x:c>
      <x:c r="AO969" s="28" t="str">
        <x:v>R01-R20; ilgili satırdaki bölgesel fiyat ve maliyet varsayımları</x:v>
      </x:c>
      <x:c r="AP969" s="28" t="str">
        <x:v>Girdi miktarları, alım fiyatı değişimi, fason bedeli ve parti sonucu simüle edilmiştir; işletme kaydı değildir.</x:v>
      </x:c>
    </x:row>
    <x:row r="970" ht="22" customHeight="1">
      <x:c r="A970" t="str">
        <x:v>SUC-0969</x:v>
      </x:c>
      <x:c r="B970" s="36" t="n">
        <x:v>46275</x:v>
      </x:c>
      <x:c r="C970" t="str">
        <x:v>İç Anadolu</x:v>
      </x:c>
      <x:c r="D970" t="str">
        <x:v>MEB_STANDART</x:v>
      </x:c>
      <x:c r="E970" t="str">
        <x:v>Kurum içi</x:v>
      </x:c>
      <x:c r="F970" s="42" t="str">
        <x:v>SENTETİK/SİMÜLE — gerçek parti kaydı değildir</x:v>
      </x:c>
      <x:c r="G970" s="38" t="n">
        <x:v>330.353</x:v>
      </x:c>
      <x:c r="H970" s="38" t="n">
        <x:v>100.659</x:v>
      </x:c>
      <x:c r="I970" s="38" t="n">
        <x:v>19.711</x:v>
      </x:c>
      <x:c r="J970" s="38" t="n">
        <x:v>11.631</x:v>
      </x:c>
      <x:c r="K970" s="38" t="n">
        <x:v>5.056</x:v>
      </x:c>
      <x:c r="L970" s="38" t="n">
        <x:f>SUM(G970:K970)</x:f>
        <x:v>467.41</x:v>
      </x:c>
      <x:c r="M970" s="38" t="n">
        <x:v>608.415</x:v>
      </x:c>
      <x:c r="N970" s="38" t="n">
        <x:v>576.53</x:v>
      </x:c>
      <x:c r="O970" s="38" t="n">
        <x:v>468.33</x:v>
      </x:c>
      <x:c r="P970" s="38" t="n">
        <x:v>669.9</x:v>
      </x:c>
      <x:c r="Q970" s="38" t="n">
        <x:v>19.88</x:v>
      </x:c>
      <x:c r="R970" s="38" t="n">
        <x:v>43.7475</x:v>
      </x:c>
      <x:c r="S970" s="38" t="n">
        <x:v>107.48</x:v>
      </x:c>
      <x:c r="T970" s="40" t="n">
        <x:v>20.73</x:v>
      </x:c>
      <x:c r="U970" s="40" t="n">
        <x:v>1.26</x:v>
      </x:c>
      <x:c r="V970" s="38" t="n">
        <x:f>L970*(1-T970/100)*(1-U970/100)</x:f>
        <x:v>365.84740657180004</x:v>
      </x:c>
      <x:c r="W970" s="38" t="n">
        <x:f>G970*N970</x:f>
        <x:v>190458.41509</x:v>
      </x:c>
      <x:c r="X970" s="38" t="n">
        <x:f>H970*O970</x:f>
        <x:v>47141.62947</x:v>
      </x:c>
      <x:c r="Y970" s="38" t="n">
        <x:f>I970*P970</x:f>
        <x:v>13204.398899999998</x:v>
      </x:c>
      <x:c r="Z970" s="38" t="n">
        <x:f>J970*Q970+K970*P970</x:f>
        <x:v>3618.23868</x:v>
      </x:c>
      <x:c r="AA970" s="38" t="n">
        <x:f>M970*R970</x:f>
        <x:v>26616.6352125</x:v>
      </x:c>
      <x:c r="AB970" s="38" t="n">
        <x:f>SUM(W970:AA970)</x:f>
        <x:v>281039.31735250005</x:v>
      </x:c>
      <x:c r="AC970" s="38" t="n">
        <x:v>30.66</x:v>
      </x:c>
      <x:c r="AD970" s="38" t="n">
        <x:v>174.33</x:v>
      </x:c>
      <x:c r="AE970" s="38" t="n">
        <x:v>219.07</x:v>
      </x:c>
      <x:c r="AF970" s="38" t="n">
        <x:v>4.8148</x:v>
      </x:c>
      <x:c r="AG970" s="38" t="n">
        <x:v>5.5</x:v>
      </x:c>
      <x:c r="AH970" s="38" t="n">
        <x:f>IF(E970="Fason",L970*S970,0)</x:f>
        <x:v>0</x:v>
      </x:c>
      <x:c r="AI970" s="38" t="n">
        <x:f>IF(E970="Kurum içi",AC970*AD970+AE970*AF970+AB970*12%,0)</x:f>
        <x:v>40124.454118300004</x:v>
      </x:c>
      <x:c r="AJ970" s="38" t="n">
        <x:f>V970*AG970</x:f>
        <x:v>2012.1607361449003</x:v>
      </x:c>
      <x:c r="AK970" s="38" t="n">
        <x:f>AB970*2%</x:f>
        <x:v>5620.786347050001</x:v>
      </x:c>
      <x:c r="AL970" s="38" t="n">
        <x:f>AB970+AH970+AI970+AJ970+AK970</x:f>
        <x:v>328796.71855399496</x:v>
      </x:c>
      <x:c r="AM970" s="38" t="n">
        <x:f>AL970/V970</x:f>
        <x:v>898.7263887832601</x:v>
      </x:c>
      <x:c r="AN970" s="40" t="n">
        <x:f>(W970+X970)/AL970*100</x:f>
        <x:v>72.26350846958996</x:v>
      </x:c>
      <x:c r="AO970" s="28" t="str">
        <x:v>R01-R20; ilgili satırdaki bölgesel fiyat ve maliyet varsayımları</x:v>
      </x:c>
      <x:c r="AP970" s="28" t="str">
        <x:v>Girdi miktarları, alım fiyatı değişimi, fason bedeli ve parti sonucu simüle edilmiştir; işletme kaydı değildir.</x:v>
      </x:c>
    </x:row>
    <x:row r="971" ht="22" customHeight="1">
      <x:c r="A971" t="str">
        <x:v>SUC-0970</x:v>
      </x:c>
      <x:c r="B971" s="36" t="n">
        <x:v>46317</x:v>
      </x:c>
      <x:c r="C971" t="str">
        <x:v>Karadeniz</x:v>
      </x:c>
      <x:c r="D971" t="str">
        <x:v>MEB_STANDART</x:v>
      </x:c>
      <x:c r="E971" t="str">
        <x:v>Kurum içi</x:v>
      </x:c>
      <x:c r="F971" s="42" t="str">
        <x:v>SENTETİK/SİMÜLE — gerçek parti kaydı değildir</x:v>
      </x:c>
      <x:c r="G971" s="38" t="n">
        <x:v>126.07</x:v>
      </x:c>
      <x:c r="H971" s="38" t="n">
        <x:v>37.947</x:v>
      </x:c>
      <x:c r="I971" s="38" t="n">
        <x:v>7.487</x:v>
      </x:c>
      <x:c r="J971" s="38" t="n">
        <x:v>4.586</x:v>
      </x:c>
      <x:c r="K971" s="38" t="n">
        <x:v>1.668</x:v>
      </x:c>
      <x:c r="L971" s="38" t="n">
        <x:f>SUM(G971:K971)</x:f>
        <x:v>177.758</x:v>
      </x:c>
      <x:c r="M971" s="38" t="n">
        <x:v>219.146</x:v>
      </x:c>
      <x:c r="N971" s="38" t="n">
        <x:v>593.84</x:v>
      </x:c>
      <x:c r="O971" s="38" t="n">
        <x:v>437.34</x:v>
      </x:c>
      <x:c r="P971" s="38" t="n">
        <x:v>550</x:v>
      </x:c>
      <x:c r="Q971" s="38" t="n">
        <x:v>19.88</x:v>
      </x:c>
      <x:c r="R971" s="38" t="n">
        <x:v>43.7475</x:v>
      </x:c>
      <x:c r="S971" s="38" t="n">
        <x:v>113.47</x:v>
      </x:c>
      <x:c r="T971" s="40" t="n">
        <x:v>21.53</x:v>
      </x:c>
      <x:c r="U971" s="40" t="n">
        <x:v>1.41</x:v>
      </x:c>
      <x:c r="V971" s="38" t="n">
        <x:f>L971*(1-T971/100)*(1-U971/100)</x:f>
        <x:v>137.51994009334</x:v>
      </x:c>
      <x:c r="W971" s="38" t="n">
        <x:f>G971*N971</x:f>
        <x:v>74865.4088</x:v>
      </x:c>
      <x:c r="X971" s="38" t="n">
        <x:f>H971*O971</x:f>
        <x:v>16595.74098</x:v>
      </x:c>
      <x:c r="Y971" s="38" t="n">
        <x:f>I971*P971</x:f>
        <x:v>4117.85</x:v>
      </x:c>
      <x:c r="Z971" s="38" t="n">
        <x:f>J971*Q971+K971*P971</x:f>
        <x:v>1008.56968</x:v>
      </x:c>
      <x:c r="AA971" s="38" t="n">
        <x:f>M971*R971</x:f>
        <x:v>9587.089635</x:v>
      </x:c>
      <x:c r="AB971" s="38" t="n">
        <x:f>SUM(W971:AA971)</x:f>
        <x:v>106174.65909500001</x:v>
      </x:c>
      <x:c r="AC971" s="38" t="n">
        <x:v>12.43</x:v>
      </x:c>
      <x:c r="AD971" s="38" t="n">
        <x:v>174.33</x:v>
      </x:c>
      <x:c r="AE971" s="38" t="n">
        <x:v>58.44</x:v>
      </x:c>
      <x:c r="AF971" s="38" t="n">
        <x:v>4.8148</x:v>
      </x:c>
      <x:c r="AG971" s="38" t="n">
        <x:v>5.63</x:v>
      </x:c>
      <x:c r="AH971" s="38" t="n">
        <x:f>IF(E971="Fason",L971*S971,0)</x:f>
        <x:v>0</x:v>
      </x:c>
      <x:c r="AI971" s="38" t="n">
        <x:f>IF(E971="Kurum içi",AC971*AD971+AE971*AF971+AB971*12%,0)</x:f>
        <x:v>15189.257903400001</x:v>
      </x:c>
      <x:c r="AJ971" s="38" t="n">
        <x:f>V971*AG971</x:f>
        <x:v>774.2372627255043</x:v>
      </x:c>
      <x:c r="AK971" s="38" t="n">
        <x:f>AB971*2%</x:f>
        <x:v>2123.4931819000003</x:v>
      </x:c>
      <x:c r="AL971" s="38" t="n">
        <x:f>AB971+AH971+AI971+AJ971+AK971</x:f>
        <x:v>124261.64744302552</x:v>
      </x:c>
      <x:c r="AM971" s="38" t="n">
        <x:f>AL971/V971</x:f>
        <x:v>903.5900347155796</x:v>
      </x:c>
      <x:c r="AN971" s="40" t="n">
        <x:f>(W971+X971)/AL971*100</x:f>
        <x:v>73.60368356771974</x:v>
      </x:c>
      <x:c r="AO971" s="28" t="str">
        <x:v>R01-R20; ilgili satırdaki bölgesel fiyat ve maliyet varsayımları</x:v>
      </x:c>
      <x:c r="AP971" s="28" t="str">
        <x:v>Girdi miktarları, alım fiyatı değişimi, fason bedeli ve parti sonucu simüle edilmiştir; işletme kaydı değildir.</x:v>
      </x:c>
    </x:row>
    <x:row r="972" ht="22" customHeight="1">
      <x:c r="A972" t="str">
        <x:v>SUC-0971</x:v>
      </x:c>
      <x:c r="B972" s="36" t="n">
        <x:v>46292</x:v>
      </x:c>
      <x:c r="C972" t="str">
        <x:v>Ege</x:v>
      </x:c>
      <x:c r="D972" t="str">
        <x:v>MEB_STANDART</x:v>
      </x:c>
      <x:c r="E972" t="str">
        <x:v>Kurum içi</x:v>
      </x:c>
      <x:c r="F972" s="42" t="str">
        <x:v>SENTETİK/SİMÜLE — gerçek parti kaydı değildir</x:v>
      </x:c>
      <x:c r="G972" s="38" t="n">
        <x:v>63.329</x:v>
      </x:c>
      <x:c r="H972" s="38" t="n">
        <x:v>20.173</x:v>
      </x:c>
      <x:c r="I972" s="38" t="n">
        <x:v>3.999</x:v>
      </x:c>
      <x:c r="J972" s="38" t="n">
        <x:v>2.303</x:v>
      </x:c>
      <x:c r="K972" s="38" t="n">
        <x:v>0.879</x:v>
      </x:c>
      <x:c r="L972" s="38" t="n">
        <x:f>SUM(G972:K972)</x:f>
        <x:v>90.68299999999999</x:v>
      </x:c>
      <x:c r="M972" s="38" t="n">
        <x:v>116.332</x:v>
      </x:c>
      <x:c r="N972" s="38" t="n">
        <x:v>596.77</x:v>
      </x:c>
      <x:c r="O972" s="38" t="n">
        <x:v>479.96</x:v>
      </x:c>
      <x:c r="P972" s="38" t="n">
        <x:v>400</x:v>
      </x:c>
      <x:c r="Q972" s="38" t="n">
        <x:v>19.88</x:v>
      </x:c>
      <x:c r="R972" s="38" t="n">
        <x:v>43.7475</x:v>
      </x:c>
      <x:c r="S972" s="38" t="n">
        <x:v>109.41</x:v>
      </x:c>
      <x:c r="T972" s="40" t="n">
        <x:v>26.79</x:v>
      </x:c>
      <x:c r="U972" s="40" t="n">
        <x:v>0.81</x:v>
      </x:c>
      <x:c r="V972" s="38" t="n">
        <x:f>L972*(1-T972/100)*(1-U972/100)</x:f>
        <x:v>65.85127320317</x:v>
      </x:c>
      <x:c r="W972" s="38" t="n">
        <x:f>G972*N972</x:f>
        <x:v>37792.84733</x:v>
      </x:c>
      <x:c r="X972" s="38" t="n">
        <x:f>H972*O972</x:f>
        <x:v>9682.233079999998</x:v>
      </x:c>
      <x:c r="Y972" s="38" t="n">
        <x:f>I972*P972</x:f>
        <x:v>1599.6000000000001</x:v>
      </x:c>
      <x:c r="Z972" s="38" t="n">
        <x:f>J972*Q972+K972*P972</x:f>
        <x:v>397.38364</x:v>
      </x:c>
      <x:c r="AA972" s="38" t="n">
        <x:f>M972*R972</x:f>
        <x:v>5089.23417</x:v>
      </x:c>
      <x:c r="AB972" s="38" t="n">
        <x:f>SUM(W972:AA972)</x:f>
        <x:v>54561.29822</x:v>
      </x:c>
      <x:c r="AC972" s="38" t="n">
        <x:v>5.19</x:v>
      </x:c>
      <x:c r="AD972" s="38" t="n">
        <x:v>174.33</x:v>
      </x:c>
      <x:c r="AE972" s="38" t="n">
        <x:v>42.63</x:v>
      </x:c>
      <x:c r="AF972" s="38" t="n">
        <x:v>4.8148</x:v>
      </x:c>
      <x:c r="AG972" s="38" t="n">
        <x:v>5.2</x:v>
      </x:c>
      <x:c r="AH972" s="38" t="n">
        <x:f>IF(E972="Fason",L972*S972,0)</x:f>
        <x:v>0</x:v>
      </x:c>
      <x:c r="AI972" s="38" t="n">
        <x:f>IF(E972="Kurum içi",AC972*AD972+AE972*AF972+AB972*12%,0)</x:f>
        <x:v>7657.3834104</x:v>
      </x:c>
      <x:c r="AJ972" s="38" t="n">
        <x:f>V972*AG972</x:f>
        <x:v>342.426620656484</x:v>
      </x:c>
      <x:c r="AK972" s="38" t="n">
        <x:f>AB972*2%</x:f>
        <x:v>1091.2259644</x:v>
      </x:c>
      <x:c r="AL972" s="38" t="n">
        <x:f>AB972+AH972+AI972+AJ972+AK972</x:f>
        <x:v>63652.33421545648</x:v>
      </x:c>
      <x:c r="AM972" s="38" t="n">
        <x:f>AL972/V972</x:f>
        <x:v>966.6074947263486</x:v>
      </x:c>
      <x:c r="AN972" s="40" t="n">
        <x:f>(W972+X972)/AL972*100</x:f>
        <x:v>74.58497947506815</x:v>
      </x:c>
      <x:c r="AO972" s="28" t="str">
        <x:v>R01-R20; ilgili satırdaki bölgesel fiyat ve maliyet varsayımları</x:v>
      </x:c>
      <x:c r="AP972" s="28" t="str">
        <x:v>Girdi miktarları, alım fiyatı değişimi, fason bedeli ve parti sonucu simüle edilmiştir; işletme kaydı değildir.</x:v>
      </x:c>
    </x:row>
    <x:row r="973" ht="22" customHeight="1">
      <x:c r="A973" t="str">
        <x:v>SUC-0972</x:v>
      </x:c>
      <x:c r="B973" s="36" t="n">
        <x:v>46310</x:v>
      </x:c>
      <x:c r="C973" t="str">
        <x:v>İç Anadolu</x:v>
      </x:c>
      <x:c r="D973" t="str">
        <x:v>MEB_STANDART</x:v>
      </x:c>
      <x:c r="E973" t="str">
        <x:v>Kurum içi</x:v>
      </x:c>
      <x:c r="F973" s="42" t="str">
        <x:v>SENTETİK/SİMÜLE — gerçek parti kaydı değildir</x:v>
      </x:c>
      <x:c r="G973" s="38" t="n">
        <x:v>127.123</x:v>
      </x:c>
      <x:c r="H973" s="38" t="n">
        <x:v>39.184</x:v>
      </x:c>
      <x:c r="I973" s="38" t="n">
        <x:v>8.533</x:v>
      </x:c>
      <x:c r="J973" s="38" t="n">
        <x:v>4.242</x:v>
      </x:c>
      <x:c r="K973" s="38" t="n">
        <x:v>1.735</x:v>
      </x:c>
      <x:c r="L973" s="38" t="n">
        <x:f>SUM(G973:K973)</x:f>
        <x:v>180.817</x:v>
      </x:c>
      <x:c r="M973" s="38" t="n">
        <x:v>233.4</x:v>
      </x:c>
      <x:c r="N973" s="38" t="n">
        <x:v>589.62</x:v>
      </x:c>
      <x:c r="O973" s="38" t="n">
        <x:v>457.77</x:v>
      </x:c>
      <x:c r="P973" s="38" t="n">
        <x:v>669.9</x:v>
      </x:c>
      <x:c r="Q973" s="38" t="n">
        <x:v>19.88</x:v>
      </x:c>
      <x:c r="R973" s="38" t="n">
        <x:v>43.7475</x:v>
      </x:c>
      <x:c r="S973" s="38" t="n">
        <x:v>104.66</x:v>
      </x:c>
      <x:c r="T973" s="40" t="n">
        <x:v>20.63</x:v>
      </x:c>
      <x:c r="U973" s="40" t="n">
        <x:v>1.63</x:v>
      </x:c>
      <x:c r="V973" s="38" t="n">
        <x:f>L973*(1-T973/100)*(1-U973/100)</x:f>
        <x:v>141.17516731773</x:v>
      </x:c>
      <x:c r="W973" s="38" t="n">
        <x:f>G973*N973</x:f>
        <x:v>74954.26326</x:v>
      </x:c>
      <x:c r="X973" s="38" t="n">
        <x:f>H973*O973</x:f>
        <x:v>17937.25968</x:v>
      </x:c>
      <x:c r="Y973" s="38" t="n">
        <x:f>I973*P973</x:f>
        <x:v>5716.256699999999</x:v>
      </x:c>
      <x:c r="Z973" s="38" t="n">
        <x:f>J973*Q973+K973*P973</x:f>
        <x:v>1246.60746</x:v>
      </x:c>
      <x:c r="AA973" s="38" t="n">
        <x:f>M973*R973</x:f>
        <x:v>10210.666500000001</x:v>
      </x:c>
      <x:c r="AB973" s="38" t="n">
        <x:f>SUM(W973:AA973)</x:f>
        <x:v>110065.05360000001</x:v>
      </x:c>
      <x:c r="AC973" s="38" t="n">
        <x:v>12.18</x:v>
      </x:c>
      <x:c r="AD973" s="38" t="n">
        <x:v>174.33</x:v>
      </x:c>
      <x:c r="AE973" s="38" t="n">
        <x:v>85.54</x:v>
      </x:c>
      <x:c r="AF973" s="38" t="n">
        <x:v>4.8148</x:v>
      </x:c>
      <x:c r="AG973" s="38" t="n">
        <x:v>5.24</x:v>
      </x:c>
      <x:c r="AH973" s="38" t="n">
        <x:f>IF(E973="Fason",L973*S973,0)</x:f>
        <x:v>0</x:v>
      </x:c>
      <x:c r="AI973" s="38" t="n">
        <x:f>IF(E973="Kurum içi",AC973*AD973+AE973*AF973+AB973*12%,0)</x:f>
        <x:v>15743.003824000001</x:v>
      </x:c>
      <x:c r="AJ973" s="38" t="n">
        <x:f>V973*AG973</x:f>
        <x:v>739.7578767449053</x:v>
      </x:c>
      <x:c r="AK973" s="38" t="n">
        <x:f>AB973*2%</x:f>
        <x:v>2201.301072</x:v>
      </x:c>
      <x:c r="AL973" s="38" t="n">
        <x:f>AB973+AH973+AI973+AJ973+AK973</x:f>
        <x:v>128749.11637274492</x:v>
      </x:c>
      <x:c r="AM973" s="38" t="n">
        <x:f>AL973/V973</x:f>
        <x:v>911.9813265953571</x:v>
      </x:c>
      <x:c r="AN973" s="40" t="n">
        <x:f>(W973+X973)/AL973*100</x:f>
        <x:v>72.14925085083095</x:v>
      </x:c>
      <x:c r="AO973" s="28" t="str">
        <x:v>R01-R20; ilgili satırdaki bölgesel fiyat ve maliyet varsayımları</x:v>
      </x:c>
      <x:c r="AP973" s="28" t="str">
        <x:v>Girdi miktarları, alım fiyatı değişimi, fason bedeli ve parti sonucu simüle edilmiştir; işletme kaydı değildir.</x:v>
      </x:c>
    </x:row>
    <x:row r="974" ht="22" customHeight="1">
      <x:c r="A974" t="str">
        <x:v>SUC-0973</x:v>
      </x:c>
      <x:c r="B974" s="36" t="n">
        <x:v>46288</x:v>
      </x:c>
      <x:c r="C974" t="str">
        <x:v>Marmara</x:v>
      </x:c>
      <x:c r="D974" t="str">
        <x:v>ERZURUM_CI</x:v>
      </x:c>
      <x:c r="E974" t="str">
        <x:v>Fason</x:v>
      </x:c>
      <x:c r="F974" s="42" t="str">
        <x:v>SENTETİK/SİMÜLE — gerçek parti kaydı değildir</x:v>
      </x:c>
      <x:c r="G974" s="38" t="n">
        <x:v>192.593</x:v>
      </x:c>
      <x:c r="H974" s="38" t="n">
        <x:v>34.2</x:v>
      </x:c>
      <x:c r="I974" s="38" t="n">
        <x:v>11.374</x:v>
      </x:c>
      <x:c r="J974" s="38" t="n">
        <x:v>3.735</x:v>
      </x:c>
      <x:c r="K974" s="38" t="n">
        <x:v>0.574</x:v>
      </x:c>
      <x:c r="L974" s="38" t="n">
        <x:f>SUM(G974:K974)</x:f>
        <x:v>242.47600000000003</x:v>
      </x:c>
      <x:c r="M974" s="38" t="n">
        <x:v>292.01</x:v>
      </x:c>
      <x:c r="N974" s="38" t="n">
        <x:v>599.19</x:v>
      </x:c>
      <x:c r="O974" s="38" t="n">
        <x:v>438.54</x:v>
      </x:c>
      <x:c r="P974" s="38" t="n">
        <x:v>550</x:v>
      </x:c>
      <x:c r="Q974" s="38" t="n">
        <x:v>19.88</x:v>
      </x:c>
      <x:c r="R974" s="38" t="n">
        <x:v>43.7475</x:v>
      </x:c>
      <x:c r="S974" s="38" t="n">
        <x:v>115.61</x:v>
      </x:c>
      <x:c r="T974" s="40" t="n">
        <x:v>19.27</x:v>
      </x:c>
      <x:c r="U974" s="40" t="n">
        <x:v>1.36</x:v>
      </x:c>
      <x:c r="V974" s="38" t="n">
        <x:f>L974*(1-T974/100)*(1-U974/100)</x:f>
        <x:v>193.08866290272002</x:v>
      </x:c>
      <x:c r="W974" s="38" t="n">
        <x:f>G974*N974</x:f>
        <x:v>115399.79967000001</x:v>
      </x:c>
      <x:c r="X974" s="38" t="n">
        <x:f>H974*O974</x:f>
        <x:v>14998.068000000001</x:v>
      </x:c>
      <x:c r="Y974" s="38" t="n">
        <x:f>I974*P974</x:f>
        <x:v>6255.700000000001</x:v>
      </x:c>
      <x:c r="Z974" s="38" t="n">
        <x:f>J974*Q974+K974*P974</x:f>
        <x:v>389.9518</x:v>
      </x:c>
      <x:c r="AA974" s="38" t="n">
        <x:f>M974*R974</x:f>
        <x:v>12774.707475000001</x:v>
      </x:c>
      <x:c r="AB974" s="38" t="n">
        <x:f>SUM(W974:AA974)</x:f>
        <x:v>149818.22694500003</x:v>
      </x:c>
      <x:c r="AC974" s="38" t="n">
        <x:v>8.62</x:v>
      </x:c>
      <x:c r="AD974" s="38" t="n">
        <x:v>174.33</x:v>
      </x:c>
      <x:c r="AE974" s="38" t="n">
        <x:v>80.18</x:v>
      </x:c>
      <x:c r="AF974" s="38" t="n">
        <x:v>4.8148</x:v>
      </x:c>
      <x:c r="AG974" s="38" t="n">
        <x:v>5.71</x:v>
      </x:c>
      <x:c r="AH974" s="38" t="n">
        <x:f>IF(E974="Fason",L974*S974,0)</x:f>
        <x:v>28032.650360000003</x:v>
      </x:c>
      <x:c r="AI974" s="38" t="n">
        <x:f>IF(E974="Kurum içi",AC974*AD974+AE974*AF974+AB974*12%,0)</x:f>
        <x:v>0</x:v>
      </x:c>
      <x:c r="AJ974" s="38" t="n">
        <x:f>V974*AG974</x:f>
        <x:v>1102.5362651745313</x:v>
      </x:c>
      <x:c r="AK974" s="38" t="n">
        <x:f>AB974*2%</x:f>
        <x:v>2996.3645389000008</x:v>
      </x:c>
      <x:c r="AL974" s="38" t="n">
        <x:f>AB974+AH974+AI974+AJ974+AK974</x:f>
        <x:v>181949.77810907457</x:v>
      </x:c>
      <x:c r="AM974" s="38" t="n">
        <x:f>AL974/V974</x:f>
        <x:v>942.3120724635328</x:v>
      </x:c>
      <x:c r="AN974" s="40" t="n">
        <x:f>(W974+X974)/AL974*100</x:f>
        <x:v>71.66695613765991</x:v>
      </x:c>
      <x:c r="AO974" s="28" t="str">
        <x:v>R01-R20; ilgili satırdaki bölgesel fiyat ve maliyet varsayımları</x:v>
      </x:c>
      <x:c r="AP974" s="28" t="str">
        <x:v>Girdi miktarları, alım fiyatı değişimi, fason bedeli ve parti sonucu simüle edilmiştir; işletme kaydı değildir.</x:v>
      </x:c>
    </x:row>
    <x:row r="975" ht="22" customHeight="1">
      <x:c r="A975" t="str">
        <x:v>SUC-0974</x:v>
      </x:c>
      <x:c r="B975" s="36" t="n">
        <x:v>46267</x:v>
      </x:c>
      <x:c r="C975" t="str">
        <x:v>Marmara</x:v>
      </x:c>
      <x:c r="D975" t="str">
        <x:v>ERZURUM_CI</x:v>
      </x:c>
      <x:c r="E975" t="str">
        <x:v>Fason</x:v>
      </x:c>
      <x:c r="F975" s="42" t="str">
        <x:v>SENTETİK/SİMÜLE — gerçek parti kaydı değildir</x:v>
      </x:c>
      <x:c r="G975" s="38" t="n">
        <x:v>196.379</x:v>
      </x:c>
      <x:c r="H975" s="38" t="n">
        <x:v>35.797</x:v>
      </x:c>
      <x:c r="I975" s="38" t="n">
        <x:v>11.272</x:v>
      </x:c>
      <x:c r="J975" s="38" t="n">
        <x:v>3.884</x:v>
      </x:c>
      <x:c r="K975" s="38" t="n">
        <x:v>0.3</x:v>
      </x:c>
      <x:c r="L975" s="38" t="n">
        <x:f>SUM(G975:K975)</x:f>
        <x:v>247.63199999999998</x:v>
      </x:c>
      <x:c r="M975" s="38" t="n">
        <x:v>288.565</x:v>
      </x:c>
      <x:c r="N975" s="38" t="n">
        <x:v>601.76</x:v>
      </x:c>
      <x:c r="O975" s="38" t="n">
        <x:v>462.85</x:v>
      </x:c>
      <x:c r="P975" s="38" t="n">
        <x:v>669.9</x:v>
      </x:c>
      <x:c r="Q975" s="38" t="n">
        <x:v>19.88</x:v>
      </x:c>
      <x:c r="R975" s="38" t="n">
        <x:v>43.7475</x:v>
      </x:c>
      <x:c r="S975" s="38" t="n">
        <x:v>84.04</x:v>
      </x:c>
      <x:c r="T975" s="40" t="n">
        <x:v>26.56</x:v>
      </x:c>
      <x:c r="U975" s="40" t="n">
        <x:v>1.33</x:v>
      </x:c>
      <x:c r="V975" s="38" t="n">
        <x:f>L975*(1-T975/100)*(1-U975/100)</x:f>
        <x:v>179.44219028735998</x:v>
      </x:c>
      <x:c r="W975" s="38" t="n">
        <x:f>G975*N975</x:f>
        <x:v>118173.02703999999</x:v>
      </x:c>
      <x:c r="X975" s="38" t="n">
        <x:f>H975*O975</x:f>
        <x:v>16568.64145</x:v>
      </x:c>
      <x:c r="Y975" s="38" t="n">
        <x:f>I975*P975</x:f>
        <x:v>7551.1128</x:v>
      </x:c>
      <x:c r="Z975" s="38" t="n">
        <x:f>J975*Q975+K975*P975</x:f>
        <x:v>278.18392</x:v>
      </x:c>
      <x:c r="AA975" s="38" t="n">
        <x:f>M975*R975</x:f>
        <x:v>12623.9973375</x:v>
      </x:c>
      <x:c r="AB975" s="38" t="n">
        <x:f>SUM(W975:AA975)</x:f>
        <x:v>155194.9625475</x:v>
      </x:c>
      <x:c r="AC975" s="38" t="n">
        <x:v>9.81</x:v>
      </x:c>
      <x:c r="AD975" s="38" t="n">
        <x:v>174.33</x:v>
      </x:c>
      <x:c r="AE975" s="38" t="n">
        <x:v>90.65</x:v>
      </x:c>
      <x:c r="AF975" s="38" t="n">
        <x:v>4.8148</x:v>
      </x:c>
      <x:c r="AG975" s="38" t="n">
        <x:v>5.28</x:v>
      </x:c>
      <x:c r="AH975" s="38" t="n">
        <x:f>IF(E975="Fason",L975*S975,0)</x:f>
        <x:v>20810.99328</x:v>
      </x:c>
      <x:c r="AI975" s="38" t="n">
        <x:f>IF(E975="Kurum içi",AC975*AD975+AE975*AF975+AB975*12%,0)</x:f>
        <x:v>0</x:v>
      </x:c>
      <x:c r="AJ975" s="38" t="n">
        <x:f>V975*AG975</x:f>
        <x:v>947.4547647172607</x:v>
      </x:c>
      <x:c r="AK975" s="38" t="n">
        <x:f>AB975*2%</x:f>
        <x:v>3103.8992509500004</x:v>
      </x:c>
      <x:c r="AL975" s="38" t="n">
        <x:f>AB975+AH975+AI975+AJ975+AK975</x:f>
        <x:v>180057.30984316726</x:v>
      </x:c>
      <x:c r="AM975" s="38" t="n">
        <x:f>AL975/V975</x:f>
        <x:v>1003.4279538988139</x:v>
      </x:c>
      <x:c r="AN975" s="40" t="n">
        <x:f>(W975+X975)/AL975*100</x:f>
        <x:v>74.83265667323481</x:v>
      </x:c>
      <x:c r="AO975" s="28" t="str">
        <x:v>R01-R20; ilgili satırdaki bölgesel fiyat ve maliyet varsayımları</x:v>
      </x:c>
      <x:c r="AP975" s="28" t="str">
        <x:v>Girdi miktarları, alım fiyatı değişimi, fason bedeli ve parti sonucu simüle edilmiştir; işletme kaydı değildir.</x:v>
      </x:c>
    </x:row>
    <x:row r="976" ht="22" customHeight="1">
      <x:c r="A976" t="str">
        <x:v>SUC-0975</x:v>
      </x:c>
      <x:c r="B976" s="36" t="n">
        <x:v>46308</x:v>
      </x:c>
      <x:c r="C976" t="str">
        <x:v>Karadeniz</x:v>
      </x:c>
      <x:c r="D976" t="str">
        <x:v>MEB_STANDART</x:v>
      </x:c>
      <x:c r="E976" t="str">
        <x:v>Kurum içi</x:v>
      </x:c>
      <x:c r="F976" s="42" t="str">
        <x:v>SENTETİK/SİMÜLE — gerçek parti kaydı değildir</x:v>
      </x:c>
      <x:c r="G976" s="38" t="n">
        <x:v>101.518</x:v>
      </x:c>
      <x:c r="H976" s="38" t="n">
        <x:v>31.795</x:v>
      </x:c>
      <x:c r="I976" s="38" t="n">
        <x:v>6.715</x:v>
      </x:c>
      <x:c r="J976" s="38" t="n">
        <x:v>3.451</x:v>
      </x:c>
      <x:c r="K976" s="38" t="n">
        <x:v>1.48</x:v>
      </x:c>
      <x:c r="L976" s="38" t="n">
        <x:f>SUM(G976:K976)</x:f>
        <x:v>144.95899999999997</x:v>
      </x:c>
      <x:c r="M976" s="38" t="n">
        <x:v>178.338</x:v>
      </x:c>
      <x:c r="N976" s="38" t="n">
        <x:v>604.31</x:v>
      </x:c>
      <x:c r="O976" s="38" t="n">
        <x:v>415.03</x:v>
      </x:c>
      <x:c r="P976" s="38" t="n">
        <x:v>669.9</x:v>
      </x:c>
      <x:c r="Q976" s="38" t="n">
        <x:v>19.88</x:v>
      </x:c>
      <x:c r="R976" s="38" t="n">
        <x:v>43.7475</x:v>
      </x:c>
      <x:c r="S976" s="38" t="n">
        <x:v>117.09</x:v>
      </x:c>
      <x:c r="T976" s="40" t="n">
        <x:v>32.4</x:v>
      </x:c>
      <x:c r="U976" s="40" t="n">
        <x:v>0.7</x:v>
      </x:c>
      <x:c r="V976" s="38" t="n">
        <x:f>L976*(1-T976/100)*(1-U976/100)</x:f>
        <x:v>97.30633801199997</x:v>
      </x:c>
      <x:c r="W976" s="38" t="n">
        <x:f>G976*N976</x:f>
        <x:v>61348.34258</x:v>
      </x:c>
      <x:c r="X976" s="38" t="n">
        <x:f>H976*O976</x:f>
        <x:v>13195.87885</x:v>
      </x:c>
      <x:c r="Y976" s="38" t="n">
        <x:f>I976*P976</x:f>
        <x:v>4498.3785</x:v>
      </x:c>
      <x:c r="Z976" s="38" t="n">
        <x:f>J976*Q976+K976*P976</x:f>
        <x:v>1060.05788</x:v>
      </x:c>
      <x:c r="AA976" s="38" t="n">
        <x:f>M976*R976</x:f>
        <x:v>7801.841655</x:v>
      </x:c>
      <x:c r="AB976" s="38" t="n">
        <x:f>SUM(W976:AA976)</x:f>
        <x:v>87904.49946499999</x:v>
      </x:c>
      <x:c r="AC976" s="38" t="n">
        <x:v>8.82</x:v>
      </x:c>
      <x:c r="AD976" s="38" t="n">
        <x:v>174.33</x:v>
      </x:c>
      <x:c r="AE976" s="38" t="n">
        <x:v>51.5</x:v>
      </x:c>
      <x:c r="AF976" s="38" t="n">
        <x:v>4.8148</x:v>
      </x:c>
      <x:c r="AG976" s="38" t="n">
        <x:v>5.25</x:v>
      </x:c>
      <x:c r="AH976" s="38" t="n">
        <x:f>IF(E976="Fason",L976*S976,0)</x:f>
        <x:v>0</x:v>
      </x:c>
      <x:c r="AI976" s="38" t="n">
        <x:f>IF(E976="Kurum içi",AC976*AD976+AE976*AF976+AB976*12%,0)</x:f>
        <x:v>12334.092735799997</x:v>
      </x:c>
      <x:c r="AJ976" s="38" t="n">
        <x:f>V976*AG976</x:f>
        <x:v>510.85827456299984</x:v>
      </x:c>
      <x:c r="AK976" s="38" t="n">
        <x:f>AB976*2%</x:f>
        <x:v>1758.0899892999998</x:v>
      </x:c>
      <x:c r="AL976" s="38" t="n">
        <x:f>AB976+AH976+AI976+AJ976+AK976</x:f>
        <x:v>102507.54046466299</x:v>
      </x:c>
      <x:c r="AM976" s="38" t="n">
        <x:f>AL976/V976</x:f>
        <x:v>1053.451836323566</x:v>
      </x:c>
      <x:c r="AN976" s="40" t="n">
        <x:f>(W976+X976)/AL976*100</x:f>
        <x:v>72.72071995103357</x:v>
      </x:c>
      <x:c r="AO976" s="28" t="str">
        <x:v>R01-R20; ilgili satırdaki bölgesel fiyat ve maliyet varsayımları</x:v>
      </x:c>
      <x:c r="AP976" s="28" t="str">
        <x:v>Girdi miktarları, alım fiyatı değişimi, fason bedeli ve parti sonucu simüle edilmiştir; işletme kaydı değildir.</x:v>
      </x:c>
    </x:row>
    <x:row r="977" ht="22" customHeight="1">
      <x:c r="A977" t="str">
        <x:v>SUC-0976</x:v>
      </x:c>
      <x:c r="B977" s="36" t="n">
        <x:v>46300</x:v>
      </x:c>
      <x:c r="C977" t="str">
        <x:v>Güneydoğu Anadolu</x:v>
      </x:c>
      <x:c r="D977" t="str">
        <x:v>MEB_STANDART</x:v>
      </x:c>
      <x:c r="E977" t="str">
        <x:v>Kurum içi</x:v>
      </x:c>
      <x:c r="F977" s="42" t="str">
        <x:v>SENTETİK/SİMÜLE — gerçek parti kaydı değildir</x:v>
      </x:c>
      <x:c r="G977" s="38" t="n">
        <x:v>270.095</x:v>
      </x:c>
      <x:c r="H977" s="38" t="n">
        <x:v>85.301</x:v>
      </x:c>
      <x:c r="I977" s="38" t="n">
        <x:v>18.29</x:v>
      </x:c>
      <x:c r="J977" s="38" t="n">
        <x:v>9.645</x:v>
      </x:c>
      <x:c r="K977" s="38" t="n">
        <x:v>3.812</x:v>
      </x:c>
      <x:c r="L977" s="38" t="n">
        <x:f>SUM(G977:K977)</x:f>
        <x:v>387.14300000000003</x:v>
      </x:c>
      <x:c r="M977" s="38" t="n">
        <x:v>497.553</x:v>
      </x:c>
      <x:c r="N977" s="38" t="n">
        <x:v>572.41</x:v>
      </x:c>
      <x:c r="O977" s="38" t="n">
        <x:v>436</x:v>
      </x:c>
      <x:c r="P977" s="38" t="n">
        <x:v>400</x:v>
      </x:c>
      <x:c r="Q977" s="38" t="n">
        <x:v>19.88</x:v>
      </x:c>
      <x:c r="R977" s="38" t="n">
        <x:v>43.7475</x:v>
      </x:c>
      <x:c r="S977" s="38" t="n">
        <x:v>79.08</x:v>
      </x:c>
      <x:c r="T977" s="40" t="n">
        <x:v>15.99</x:v>
      </x:c>
      <x:c r="U977" s="40" t="n">
        <x:v>0.64</x:v>
      </x:c>
      <x:c r="V977" s="38" t="n">
        <x:f>L977*(1-T977/100)*(1-U977/100)</x:f>
        <x:v>323.15730576048</x:v>
      </x:c>
      <x:c r="W977" s="38" t="n">
        <x:f>G977*N977</x:f>
        <x:v>154605.07895</x:v>
      </x:c>
      <x:c r="X977" s="38" t="n">
        <x:f>H977*O977</x:f>
        <x:v>37191.236000000004</x:v>
      </x:c>
      <x:c r="Y977" s="38" t="n">
        <x:f>I977*P977</x:f>
        <x:v>7316</x:v>
      </x:c>
      <x:c r="Z977" s="38" t="n">
        <x:f>J977*Q977+K977*P977</x:f>
        <x:v>1716.5426</x:v>
      </x:c>
      <x:c r="AA977" s="38" t="n">
        <x:f>M977*R977</x:f>
        <x:v>21766.6998675</x:v>
      </x:c>
      <x:c r="AB977" s="38" t="n">
        <x:f>SUM(W977:AA977)</x:f>
        <x:v>222595.55741749998</x:v>
      </x:c>
      <x:c r="AC977" s="38" t="n">
        <x:v>21.27</x:v>
      </x:c>
      <x:c r="AD977" s="38" t="n">
        <x:v>174.33</x:v>
      </x:c>
      <x:c r="AE977" s="38" t="n">
        <x:v>132.26</x:v>
      </x:c>
      <x:c r="AF977" s="38" t="n">
        <x:v>4.8148</x:v>
      </x:c>
      <x:c r="AG977" s="38" t="n">
        <x:v>5.76</x:v>
      </x:c>
      <x:c r="AH977" s="38" t="n">
        <x:f>IF(E977="Fason",L977*S977,0)</x:f>
        <x:v>0</x:v>
      </x:c>
      <x:c r="AI977" s="38" t="n">
        <x:f>IF(E977="Kurum içi",AC977*AD977+AE977*AF977+AB977*12%,0)</x:f>
        <x:v>31056.271438099997</x:v>
      </x:c>
      <x:c r="AJ977" s="38" t="n">
        <x:f>V977*AG977</x:f>
        <x:v>1861.386081180365</x:v>
      </x:c>
      <x:c r="AK977" s="38" t="n">
        <x:f>AB977*2%</x:f>
        <x:v>4451.91114835</x:v>
      </x:c>
      <x:c r="AL977" s="38" t="n">
        <x:f>AB977+AH977+AI977+AJ977+AK977</x:f>
        <x:v>259965.12608513032</x:v>
      </x:c>
      <x:c r="AM977" s="38" t="n">
        <x:f>AL977/V977</x:f>
        <x:v>804.4538107326996</x:v>
      </x:c>
      <x:c r="AN977" s="40" t="n">
        <x:f>(W977+X977)/AL977*100</x:f>
        <x:v>73.77770927904876</x:v>
      </x:c>
      <x:c r="AO977" s="28" t="str">
        <x:v>R01-R20; ilgili satırdaki bölgesel fiyat ve maliyet varsayımları</x:v>
      </x:c>
      <x:c r="AP977" s="28" t="str">
        <x:v>Girdi miktarları, alım fiyatı değişimi, fason bedeli ve parti sonucu simüle edilmiştir; işletme kaydı değildir.</x:v>
      </x:c>
    </x:row>
    <x:row r="978" ht="22" customHeight="1">
      <x:c r="A978" t="str">
        <x:v>SUC-0977</x:v>
      </x:c>
      <x:c r="B978" s="36" t="n">
        <x:v>46304</x:v>
      </x:c>
      <x:c r="C978" t="str">
        <x:v>Karadeniz</x:v>
      </x:c>
      <x:c r="D978" t="str">
        <x:v>MEB_STANDART</x:v>
      </x:c>
      <x:c r="E978" t="str">
        <x:v>Kurum içi</x:v>
      </x:c>
      <x:c r="F978" s="42" t="str">
        <x:v>SENTETİK/SİMÜLE — gerçek parti kaydı değildir</x:v>
      </x:c>
      <x:c r="G978" s="38" t="n">
        <x:v>344.064</x:v>
      </x:c>
      <x:c r="H978" s="38" t="n">
        <x:v>109.571</x:v>
      </x:c>
      <x:c r="I978" s="38" t="n">
        <x:v>20.832</x:v>
      </x:c>
      <x:c r="J978" s="38" t="n">
        <x:v>11.302</x:v>
      </x:c>
      <x:c r="K978" s="38" t="n">
        <x:v>5.596</x:v>
      </x:c>
      <x:c r="L978" s="38" t="n">
        <x:f>SUM(G978:K978)</x:f>
        <x:v>491.365</x:v>
      </x:c>
      <x:c r="M978" s="38" t="n">
        <x:v>614.992</x:v>
      </x:c>
      <x:c r="N978" s="38" t="n">
        <x:v>617.41</x:v>
      </x:c>
      <x:c r="O978" s="38" t="n">
        <x:v>448.22</x:v>
      </x:c>
      <x:c r="P978" s="38" t="n">
        <x:v>550</x:v>
      </x:c>
      <x:c r="Q978" s="38" t="n">
        <x:v>19.88</x:v>
      </x:c>
      <x:c r="R978" s="38" t="n">
        <x:v>43.7475</x:v>
      </x:c>
      <x:c r="S978" s="38" t="n">
        <x:v>97.14</x:v>
      </x:c>
      <x:c r="T978" s="40" t="n">
        <x:v>18.93</x:v>
      </x:c>
      <x:c r="U978" s="40" t="n">
        <x:v>1.3</x:v>
      </x:c>
      <x:c r="V978" s="38" t="n">
        <x:f>L978*(1-T978/100)*(1-U978/100)</x:f>
        <x:v>393.1710606285</x:v>
      </x:c>
      <x:c r="W978" s="38" t="n">
        <x:f>G978*N978</x:f>
        <x:v>212428.55424</x:v>
      </x:c>
      <x:c r="X978" s="38" t="n">
        <x:f>H978*O978</x:f>
        <x:v>49111.91362</x:v>
      </x:c>
      <x:c r="Y978" s="38" t="n">
        <x:f>I978*P978</x:f>
        <x:v>11457.6</x:v>
      </x:c>
      <x:c r="Z978" s="38" t="n">
        <x:f>J978*Q978+K978*P978</x:f>
        <x:v>3302.48376</x:v>
      </x:c>
      <x:c r="AA978" s="38" t="n">
        <x:f>M978*R978</x:f>
        <x:v>26904.36252</x:v>
      </x:c>
      <x:c r="AB978" s="38" t="n">
        <x:f>SUM(W978:AA978)</x:f>
        <x:v>303204.91414</x:v>
      </x:c>
      <x:c r="AC978" s="38" t="n">
        <x:v>34.31</x:v>
      </x:c>
      <x:c r="AD978" s="38" t="n">
        <x:v>174.33</x:v>
      </x:c>
      <x:c r="AE978" s="38" t="n">
        <x:v>128.96</x:v>
      </x:c>
      <x:c r="AF978" s="38" t="n">
        <x:v>4.8148</x:v>
      </x:c>
      <x:c r="AG978" s="38" t="n">
        <x:v>5.62</x:v>
      </x:c>
      <x:c r="AH978" s="38" t="n">
        <x:f>IF(E978="Fason",L978*S978,0)</x:f>
        <x:v>0</x:v>
      </x:c>
      <x:c r="AI978" s="38" t="n">
        <x:f>IF(E978="Kurum içi",AC978*AD978+AE978*AF978+AB978*12%,0)</x:f>
        <x:v>42986.7686048</x:v>
      </x:c>
      <x:c r="AJ978" s="38" t="n">
        <x:f>V978*AG978</x:f>
        <x:v>2209.62136073217</x:v>
      </x:c>
      <x:c r="AK978" s="38" t="n">
        <x:f>AB978*2%</x:f>
        <x:v>6064.098282800001</x:v>
      </x:c>
      <x:c r="AL978" s="38" t="n">
        <x:f>AB978+AH978+AI978+AJ978+AK978</x:f>
        <x:v>354465.4023883322</x:v>
      </x:c>
      <x:c r="AM978" s="38" t="n">
        <x:f>AL978/V978</x:f>
        <x:v>901.5551699601307</x:v>
      </x:c>
      <x:c r="AN978" s="40" t="n">
        <x:f>(W978+X978)/AL978*100</x:f>
        <x:v>73.78448392925839</x:v>
      </x:c>
      <x:c r="AO978" s="28" t="str">
        <x:v>R01-R20; ilgili satırdaki bölgesel fiyat ve maliyet varsayımları</x:v>
      </x:c>
      <x:c r="AP978" s="28" t="str">
        <x:v>Girdi miktarları, alım fiyatı değişimi, fason bedeli ve parti sonucu simüle edilmiştir; işletme kaydı değildir.</x:v>
      </x:c>
    </x:row>
    <x:row r="979" ht="22" customHeight="1">
      <x:c r="A979" t="str">
        <x:v>SUC-0978</x:v>
      </x:c>
      <x:c r="B979" s="36" t="n">
        <x:v>46267</x:v>
      </x:c>
      <x:c r="C979" t="str">
        <x:v>Güneydoğu Anadolu</x:v>
      </x:c>
      <x:c r="D979" t="str">
        <x:v>MEB_STANDART</x:v>
      </x:c>
      <x:c r="E979" t="str">
        <x:v>Kurum içi</x:v>
      </x:c>
      <x:c r="F979" s="42" t="str">
        <x:v>SENTETİK/SİMÜLE — gerçek parti kaydı değildir</x:v>
      </x:c>
      <x:c r="G979" s="38" t="n">
        <x:v>202.319</x:v>
      </x:c>
      <x:c r="H979" s="38" t="n">
        <x:v>65.127</x:v>
      </x:c>
      <x:c r="I979" s="38" t="n">
        <x:v>13.28</x:v>
      </x:c>
      <x:c r="J979" s="38" t="n">
        <x:v>7.033</x:v>
      </x:c>
      <x:c r="K979" s="38" t="n">
        <x:v>3.183</x:v>
      </x:c>
      <x:c r="L979" s="38" t="n">
        <x:f>SUM(G979:K979)</x:f>
        <x:v>290.94199999999995</x:v>
      </x:c>
      <x:c r="M979" s="38" t="n">
        <x:v>341.204</x:v>
      </x:c>
      <x:c r="N979" s="38" t="n">
        <x:v>587.6</x:v>
      </x:c>
      <x:c r="O979" s="38" t="n">
        <x:v>467.85</x:v>
      </x:c>
      <x:c r="P979" s="38" t="n">
        <x:v>550</x:v>
      </x:c>
      <x:c r="Q979" s="38" t="n">
        <x:v>19.88</x:v>
      </x:c>
      <x:c r="R979" s="38" t="n">
        <x:v>43.7475</x:v>
      </x:c>
      <x:c r="S979" s="38" t="n">
        <x:v>77.45</x:v>
      </x:c>
      <x:c r="T979" s="40" t="n">
        <x:v>17.28</x:v>
      </x:c>
      <x:c r="U979" s="40" t="n">
        <x:v>1.19</x:v>
      </x:c>
      <x:c r="V979" s="38" t="n">
        <x:f>L979*(1-T979/100)*(1-U979/100)</x:f>
        <x:v>237.80328245343992</x:v>
      </x:c>
      <x:c r="W979" s="38" t="n">
        <x:f>G979*N979</x:f>
        <x:v>118882.6444</x:v>
      </x:c>
      <x:c r="X979" s="38" t="n">
        <x:f>H979*O979</x:f>
        <x:v>30469.66695</x:v>
      </x:c>
      <x:c r="Y979" s="38" t="n">
        <x:f>I979*P979</x:f>
        <x:v>7304</x:v>
      </x:c>
      <x:c r="Z979" s="38" t="n">
        <x:f>J979*Q979+K979*P979</x:f>
        <x:v>1890.4660399999998</x:v>
      </x:c>
      <x:c r="AA979" s="38" t="n">
        <x:f>M979*R979</x:f>
        <x:v>14926.82199</x:v>
      </x:c>
      <x:c r="AB979" s="38" t="n">
        <x:f>SUM(W979:AA979)</x:f>
        <x:v>173473.59938</x:v>
      </x:c>
      <x:c r="AC979" s="38" t="n">
        <x:v>16.33</x:v>
      </x:c>
      <x:c r="AD979" s="38" t="n">
        <x:v>174.33</x:v>
      </x:c>
      <x:c r="AE979" s="38" t="n">
        <x:v>107.38</x:v>
      </x:c>
      <x:c r="AF979" s="38" t="n">
        <x:v>4.8148</x:v>
      </x:c>
      <x:c r="AG979" s="38" t="n">
        <x:v>5.35</x:v>
      </x:c>
      <x:c r="AH979" s="38" t="n">
        <x:f>IF(E979="Fason",L979*S979,0)</x:f>
        <x:v>0</x:v>
      </x:c>
      <x:c r="AI979" s="38" t="n">
        <x:f>IF(E979="Kurum içi",AC979*AD979+AE979*AF979+AB979*12%,0)</x:f>
        <x:v>24180.654049599998</x:v>
      </x:c>
      <x:c r="AJ979" s="38" t="n">
        <x:f>V979*AG979</x:f>
        <x:v>1272.2475611259035</x:v>
      </x:c>
      <x:c r="AK979" s="38" t="n">
        <x:f>AB979*2%</x:f>
        <x:v>3469.4719876</x:v>
      </x:c>
      <x:c r="AL979" s="38" t="n">
        <x:f>AB979+AH979+AI979+AJ979+AK979</x:f>
        <x:v>202395.9729783259</x:v>
      </x:c>
      <x:c r="AM979" s="38" t="n">
        <x:f>AL979/V979</x:f>
        <x:v>851.1067252318248</x:v>
      </x:c>
      <x:c r="AN979" s="40" t="n">
        <x:f>(W979+X979)/AL979*100</x:f>
        <x:v>73.792135857364</x:v>
      </x:c>
      <x:c r="AO979" s="28" t="str">
        <x:v>R01-R20; ilgili satırdaki bölgesel fiyat ve maliyet varsayımları</x:v>
      </x:c>
      <x:c r="AP979" s="28" t="str">
        <x:v>Girdi miktarları, alım fiyatı değişimi, fason bedeli ve parti sonucu simüle edilmiştir; işletme kaydı değildir.</x:v>
      </x:c>
    </x:row>
    <x:row r="980" ht="22" customHeight="1">
      <x:c r="A980" t="str">
        <x:v>SUC-0979</x:v>
      </x:c>
      <x:c r="B980" s="36" t="n">
        <x:v>46299</x:v>
      </x:c>
      <x:c r="C980" t="str">
        <x:v>Karadeniz</x:v>
      </x:c>
      <x:c r="D980" t="str">
        <x:v>MEB_STANDART</x:v>
      </x:c>
      <x:c r="E980" t="str">
        <x:v>Fason</x:v>
      </x:c>
      <x:c r="F980" s="42" t="str">
        <x:v>SENTETİK/SİMÜLE — gerçek parti kaydı değildir</x:v>
      </x:c>
      <x:c r="G980" s="38" t="n">
        <x:v>139.506</x:v>
      </x:c>
      <x:c r="H980" s="38" t="n">
        <x:v>43.48</x:v>
      </x:c>
      <x:c r="I980" s="38" t="n">
        <x:v>8.594</x:v>
      </x:c>
      <x:c r="J980" s="38" t="n">
        <x:v>4.74</x:v>
      </x:c>
      <x:c r="K980" s="38" t="n">
        <x:v>1.868</x:v>
      </x:c>
      <x:c r="L980" s="38" t="n">
        <x:f>SUM(G980:K980)</x:f>
        <x:v>198.188</x:v>
      </x:c>
      <x:c r="M980" s="38" t="n">
        <x:v>230.615</x:v>
      </x:c>
      <x:c r="N980" s="38" t="n">
        <x:v>602.08</x:v>
      </x:c>
      <x:c r="O980" s="38" t="n">
        <x:v>459.64</x:v>
      </x:c>
      <x:c r="P980" s="38" t="n">
        <x:v>550</x:v>
      </x:c>
      <x:c r="Q980" s="38" t="n">
        <x:v>19.88</x:v>
      </x:c>
      <x:c r="R980" s="38" t="n">
        <x:v>43.7475</x:v>
      </x:c>
      <x:c r="S980" s="38" t="n">
        <x:v>80.63</x:v>
      </x:c>
      <x:c r="T980" s="40" t="n">
        <x:v>29.31</x:v>
      </x:c>
      <x:c r="U980" s="40" t="n">
        <x:v>1.77</x:v>
      </x:c>
      <x:c r="V980" s="38" t="n">
        <x:f>L980*(1-T980/100)*(1-U980/100)</x:f>
        <x:v>137.61934317956002</x:v>
      </x:c>
      <x:c r="W980" s="38" t="n">
        <x:f>G980*N980</x:f>
        <x:v>83993.77248</x:v>
      </x:c>
      <x:c r="X980" s="38" t="n">
        <x:f>H980*O980</x:f>
        <x:v>19985.1472</x:v>
      </x:c>
      <x:c r="Y980" s="38" t="n">
        <x:f>I980*P980</x:f>
        <x:v>4726.7</x:v>
      </x:c>
      <x:c r="Z980" s="38" t="n">
        <x:f>J980*Q980+K980*P980</x:f>
        <x:v>1121.6312</x:v>
      </x:c>
      <x:c r="AA980" s="38" t="n">
        <x:f>M980*R980</x:f>
        <x:v>10088.8297125</x:v>
      </x:c>
      <x:c r="AB980" s="38" t="n">
        <x:f>SUM(W980:AA980)</x:f>
        <x:v>119916.08059249999</x:v>
      </x:c>
      <x:c r="AC980" s="38" t="n">
        <x:v>8.31</x:v>
      </x:c>
      <x:c r="AD980" s="38" t="n">
        <x:v>174.33</x:v>
      </x:c>
      <x:c r="AE980" s="38" t="n">
        <x:v>81.84</x:v>
      </x:c>
      <x:c r="AF980" s="38" t="n">
        <x:v>4.8148</x:v>
      </x:c>
      <x:c r="AG980" s="38" t="n">
        <x:v>5.89</x:v>
      </x:c>
      <x:c r="AH980" s="38" t="n">
        <x:f>IF(E980="Fason",L980*S980,0)</x:f>
        <x:v>15979.898439999999</x:v>
      </x:c>
      <x:c r="AI980" s="38" t="n">
        <x:f>IF(E980="Kurum içi",AC980*AD980+AE980*AF980+AB980*12%,0)</x:f>
        <x:v>0</x:v>
      </x:c>
      <x:c r="AJ980" s="38" t="n">
        <x:f>V980*AG980</x:f>
        <x:v>810.5779313276084</x:v>
      </x:c>
      <x:c r="AK980" s="38" t="n">
        <x:f>AB980*2%</x:f>
        <x:v>2398.32161185</x:v>
      </x:c>
      <x:c r="AL980" s="38" t="n">
        <x:f>AB980+AH980+AI980+AJ980+AK980</x:f>
        <x:v>139104.87857567758</x:v>
      </x:c>
      <x:c r="AM980" s="38" t="n">
        <x:f>AL980/V980</x:f>
        <x:v>1010.7945246779684</x:v>
      </x:c>
      <x:c r="AN980" s="40" t="n">
        <x:f>(W980+X980)/AL980*100</x:f>
        <x:v>74.74857873042323</x:v>
      </x:c>
      <x:c r="AO980" s="28" t="str">
        <x:v>R01-R20; ilgili satırdaki bölgesel fiyat ve maliyet varsayımları</x:v>
      </x:c>
      <x:c r="AP980" s="28" t="str">
        <x:v>Girdi miktarları, alım fiyatı değişimi, fason bedeli ve parti sonucu simüle edilmiştir; işletme kaydı değildir.</x:v>
      </x:c>
    </x:row>
    <x:row r="981" ht="22" customHeight="1">
      <x:c r="A981" t="str">
        <x:v>SUC-0980</x:v>
      </x:c>
      <x:c r="B981" s="36" t="n">
        <x:v>46314</x:v>
      </x:c>
      <x:c r="C981" t="str">
        <x:v>Akdeniz</x:v>
      </x:c>
      <x:c r="D981" t="str">
        <x:v>ERZURUM_CI</x:v>
      </x:c>
      <x:c r="E981" t="str">
        <x:v>Kurum içi</x:v>
      </x:c>
      <x:c r="F981" s="42" t="str">
        <x:v>SENTETİK/SİMÜLE — gerçek parti kaydı değildir</x:v>
      </x:c>
      <x:c r="G981" s="38" t="n">
        <x:v>324.901</x:v>
      </x:c>
      <x:c r="H981" s="38" t="n">
        <x:v>60.665</x:v>
      </x:c>
      <x:c r="I981" s="38" t="n">
        <x:v>19.712</x:v>
      </x:c>
      <x:c r="J981" s="38" t="n">
        <x:v>5.699</x:v>
      </x:c>
      <x:c r="K981" s="38" t="n">
        <x:v>0.261</x:v>
      </x:c>
      <x:c r="L981" s="38" t="n">
        <x:f>SUM(G981:K981)</x:f>
        <x:v>411.23800000000006</x:v>
      </x:c>
      <x:c r="M981" s="38" t="n">
        <x:v>519.387</x:v>
      </x:c>
      <x:c r="N981" s="38" t="n">
        <x:v>588.2</x:v>
      </x:c>
      <x:c r="O981" s="38" t="n">
        <x:v>431.39</x:v>
      </x:c>
      <x:c r="P981" s="38" t="n">
        <x:v>669.9</x:v>
      </x:c>
      <x:c r="Q981" s="38" t="n">
        <x:v>19.88</x:v>
      </x:c>
      <x:c r="R981" s="38" t="n">
        <x:v>43.7475</x:v>
      </x:c>
      <x:c r="S981" s="38" t="n">
        <x:v>81.79</x:v>
      </x:c>
      <x:c r="T981" s="40" t="n">
        <x:v>28.81</x:v>
      </x:c>
      <x:c r="U981" s="40" t="n">
        <x:v>1.27</x:v>
      </x:c>
      <x:c r="V981" s="38" t="n">
        <x:f>L981*(1-T981/100)*(1-U981/100)</x:f>
        <x:v>289.04227598106</x:v>
      </x:c>
      <x:c r="W981" s="38" t="n">
        <x:f>G981*N981</x:f>
        <x:v>191106.76820000002</x:v>
      </x:c>
      <x:c r="X981" s="38" t="n">
        <x:f>H981*O981</x:f>
        <x:v>26170.27435</x:v>
      </x:c>
      <x:c r="Y981" s="38" t="n">
        <x:f>I981*P981</x:f>
        <x:v>13205.0688</x:v>
      </x:c>
      <x:c r="Z981" s="38" t="n">
        <x:f>J981*Q981+K981*P981</x:f>
        <x:v>288.14002</x:v>
      </x:c>
      <x:c r="AA981" s="38" t="n">
        <x:f>M981*R981</x:f>
        <x:v>22721.882782499997</x:v>
      </x:c>
      <x:c r="AB981" s="38" t="n">
        <x:f>SUM(W981:AA981)</x:f>
        <x:v>253492.13415250002</x:v>
      </x:c>
      <x:c r="AC981" s="38" t="n">
        <x:v>20.32</x:v>
      </x:c>
      <x:c r="AD981" s="38" t="n">
        <x:v>174.33</x:v>
      </x:c>
      <x:c r="AE981" s="38" t="n">
        <x:v>97.61</x:v>
      </x:c>
      <x:c r="AF981" s="38" t="n">
        <x:v>4.8148</x:v>
      </x:c>
      <x:c r="AG981" s="38" t="n">
        <x:v>5.3</x:v>
      </x:c>
      <x:c r="AH981" s="38" t="n">
        <x:f>IF(E981="Fason",L981*S981,0)</x:f>
        <x:v>0</x:v>
      </x:c>
      <x:c r="AI981" s="38" t="n">
        <x:f>IF(E981="Kurum içi",AC981*AD981+AE981*AF981+AB981*12%,0)</x:f>
        <x:v>34431.4143263</x:v>
      </x:c>
      <x:c r="AJ981" s="38" t="n">
        <x:f>V981*AG981</x:f>
        <x:v>1531.924062699618</x:v>
      </x:c>
      <x:c r="AK981" s="38" t="n">
        <x:f>AB981*2%</x:f>
        <x:v>5069.84268305</x:v>
      </x:c>
      <x:c r="AL981" s="38" t="n">
        <x:f>AB981+AH981+AI981+AJ981+AK981</x:f>
        <x:v>294525.3152245496</x:v>
      </x:c>
      <x:c r="AM981" s="38" t="n">
        <x:f>AL981/V981</x:f>
        <x:v>1018.9696791754051</x:v>
      </x:c>
      <x:c r="AN981" s="40" t="n">
        <x:f>(W981+X981)/AL981*100</x:f>
        <x:v>73.77194126228008</x:v>
      </x:c>
      <x:c r="AO981" s="28" t="str">
        <x:v>R01-R20; ilgili satırdaki bölgesel fiyat ve maliyet varsayımları</x:v>
      </x:c>
      <x:c r="AP981" s="28" t="str">
        <x:v>Girdi miktarları, alım fiyatı değişimi, fason bedeli ve parti sonucu simüle edilmiştir; işletme kaydı değildir.</x:v>
      </x:c>
    </x:row>
    <x:row r="982" ht="22" customHeight="1">
      <x:c r="A982" t="str">
        <x:v>SUC-0981</x:v>
      </x:c>
      <x:c r="B982" s="36" t="n">
        <x:v>46270</x:v>
      </x:c>
      <x:c r="C982" t="str">
        <x:v>İç Anadolu</x:v>
      </x:c>
      <x:c r="D982" t="str">
        <x:v>ERZURUM_CI</x:v>
      </x:c>
      <x:c r="E982" t="str">
        <x:v>Fason</x:v>
      </x:c>
      <x:c r="F982" s="42" t="str">
        <x:v>SENTETİK/SİMÜLE — gerçek parti kaydı değildir</x:v>
      </x:c>
      <x:c r="G982" s="38" t="n">
        <x:v>57.504</x:v>
      </x:c>
      <x:c r="H982" s="38" t="n">
        <x:v>10.391</x:v>
      </x:c>
      <x:c r="I982" s="38" t="n">
        <x:v>3.325</x:v>
      </x:c>
      <x:c r="J982" s="38" t="n">
        <x:v>1.12</x:v>
      </x:c>
      <x:c r="K982" s="38" t="n">
        <x:v>0.11</x:v>
      </x:c>
      <x:c r="L982" s="38" t="n">
        <x:f>SUM(G982:K982)</x:f>
        <x:v>72.45</x:v>
      </x:c>
      <x:c r="M982" s="38" t="n">
        <x:v>87.457</x:v>
      </x:c>
      <x:c r="N982" s="38" t="n">
        <x:v>606.33</x:v>
      </x:c>
      <x:c r="O982" s="38" t="n">
        <x:v>469.6</x:v>
      </x:c>
      <x:c r="P982" s="38" t="n">
        <x:v>669.9</x:v>
      </x:c>
      <x:c r="Q982" s="38" t="n">
        <x:v>19.88</x:v>
      </x:c>
      <x:c r="R982" s="38" t="n">
        <x:v>43.7475</x:v>
      </x:c>
      <x:c r="S982" s="38" t="n">
        <x:v>66.61</x:v>
      </x:c>
      <x:c r="T982" s="40" t="n">
        <x:v>19.23</x:v>
      </x:c>
      <x:c r="U982" s="40" t="n">
        <x:v>1.72</x:v>
      </x:c>
      <x:c r="V982" s="38" t="n">
        <x:f>L982*(1-T982/100)*(1-U982/100)</x:f>
        <x:v>57.511357722</x:v>
      </x:c>
      <x:c r="W982" s="38" t="n">
        <x:f>G982*N982</x:f>
        <x:v>34866.40032</x:v>
      </x:c>
      <x:c r="X982" s="38" t="n">
        <x:f>H982*O982</x:f>
        <x:v>4879.613600000001</x:v>
      </x:c>
      <x:c r="Y982" s="38" t="n">
        <x:f>I982*P982</x:f>
        <x:v>2227.4175</x:v>
      </x:c>
      <x:c r="Z982" s="38" t="n">
        <x:f>J982*Q982+K982*P982</x:f>
        <x:v>95.9546</x:v>
      </x:c>
      <x:c r="AA982" s="38" t="n">
        <x:f>M982*R982</x:f>
        <x:v>3826.0251075</x:v>
      </x:c>
      <x:c r="AB982" s="38" t="n">
        <x:f>SUM(W982:AA982)</x:f>
        <x:v>45895.411127499996</x:v>
      </x:c>
      <x:c r="AC982" s="38" t="n">
        <x:v>3.74</x:v>
      </x:c>
      <x:c r="AD982" s="38" t="n">
        <x:v>174.33</x:v>
      </x:c>
      <x:c r="AE982" s="38" t="n">
        <x:v>33.56</x:v>
      </x:c>
      <x:c r="AF982" s="38" t="n">
        <x:v>4.8148</x:v>
      </x:c>
      <x:c r="AG982" s="38" t="n">
        <x:v>5.23</x:v>
      </x:c>
      <x:c r="AH982" s="38" t="n">
        <x:f>IF(E982="Fason",L982*S982,0)</x:f>
        <x:v>4825.8945</x:v>
      </x:c>
      <x:c r="AI982" s="38" t="n">
        <x:f>IF(E982="Kurum içi",AC982*AD982+AE982*AF982+AB982*12%,0)</x:f>
        <x:v>0</x:v>
      </x:c>
      <x:c r="AJ982" s="38" t="n">
        <x:f>V982*AG982</x:f>
        <x:v>300.78440088606004</x:v>
      </x:c>
      <x:c r="AK982" s="38" t="n">
        <x:f>AB982*2%</x:f>
        <x:v>917.9082225499999</x:v>
      </x:c>
      <x:c r="AL982" s="38" t="n">
        <x:f>AB982+AH982+AI982+AJ982+AK982</x:f>
        <x:v>51939.99825093606</x:v>
      </x:c>
      <x:c r="AM982" s="38" t="n">
        <x:f>AL982/V982</x:f>
        <x:v>903.1259269169939</x:v>
      </x:c>
      <x:c r="AN982" s="40" t="n">
        <x:f>(W982+X982)/AL982*100</x:f>
        <x:v>76.52294042825405</x:v>
      </x:c>
      <x:c r="AO982" s="28" t="str">
        <x:v>R01-R20; ilgili satırdaki bölgesel fiyat ve maliyet varsayımları</x:v>
      </x:c>
      <x:c r="AP982" s="28" t="str">
        <x:v>Girdi miktarları, alım fiyatı değişimi, fason bedeli ve parti sonucu simüle edilmiştir; işletme kaydı değildir.</x:v>
      </x:c>
    </x:row>
    <x:row r="983" ht="22" customHeight="1">
      <x:c r="A983" t="str">
        <x:v>SUC-0982</x:v>
      </x:c>
      <x:c r="B983" s="36" t="n">
        <x:v>46313</x:v>
      </x:c>
      <x:c r="C983" t="str">
        <x:v>Doğu Anadolu</x:v>
      </x:c>
      <x:c r="D983" t="str">
        <x:v>MEB_STANDART</x:v>
      </x:c>
      <x:c r="E983" t="str">
        <x:v>Fason</x:v>
      </x:c>
      <x:c r="F983" s="42" t="str">
        <x:v>SENTETİK/SİMÜLE — gerçek parti kaydı değildir</x:v>
      </x:c>
      <x:c r="G983" s="38" t="n">
        <x:v>313.904</x:v>
      </x:c>
      <x:c r="H983" s="38" t="n">
        <x:v>99.348</x:v>
      </x:c>
      <x:c r="I983" s="38" t="n">
        <x:v>18.758</x:v>
      </x:c>
      <x:c r="J983" s="38" t="n">
        <x:v>11.36</x:v>
      </x:c>
      <x:c r="K983" s="38" t="n">
        <x:v>4.173</x:v>
      </x:c>
      <x:c r="L983" s="38" t="n">
        <x:f>SUM(G983:K983)</x:f>
        <x:v>447.543</x:v>
      </x:c>
      <x:c r="M983" s="38" t="n">
        <x:v>577.614</x:v>
      </x:c>
      <x:c r="N983" s="38" t="n">
        <x:v>577.26</x:v>
      </x:c>
      <x:c r="O983" s="38" t="n">
        <x:v>449.51</x:v>
      </x:c>
      <x:c r="P983" s="38" t="n">
        <x:v>400</x:v>
      </x:c>
      <x:c r="Q983" s="38" t="n">
        <x:v>19.88</x:v>
      </x:c>
      <x:c r="R983" s="38" t="n">
        <x:v>43.7475</x:v>
      </x:c>
      <x:c r="S983" s="38" t="n">
        <x:v>85.97</x:v>
      </x:c>
      <x:c r="T983" s="40" t="n">
        <x:v>16.71</x:v>
      </x:c>
      <x:c r="U983" s="40" t="n">
        <x:v>1.44</x:v>
      </x:c>
      <x:c r="V983" s="38" t="n">
        <x:f>L983*(1-T983/100)*(1-U983/100)</x:f>
        <x:v>367.39084136831997</x:v>
      </x:c>
      <x:c r="W983" s="38" t="n">
        <x:f>G983*N983</x:f>
        <x:v>181204.22303999998</x:v>
      </x:c>
      <x:c r="X983" s="38" t="n">
        <x:f>H983*O983</x:f>
        <x:v>44657.91948</x:v>
      </x:c>
      <x:c r="Y983" s="38" t="n">
        <x:f>I983*P983</x:f>
        <x:v>7503.2</x:v>
      </x:c>
      <x:c r="Z983" s="38" t="n">
        <x:f>J983*Q983+K983*P983</x:f>
        <x:v>1895.0368</x:v>
      </x:c>
      <x:c r="AA983" s="38" t="n">
        <x:f>M983*R983</x:f>
        <x:v>25269.168465000002</x:v>
      </x:c>
      <x:c r="AB983" s="38" t="n">
        <x:f>SUM(W983:AA983)</x:f>
        <x:v>260529.547785</x:v>
      </x:c>
      <x:c r="AC983" s="38" t="n">
        <x:v>25.88</x:v>
      </x:c>
      <x:c r="AD983" s="38" t="n">
        <x:v>174.33</x:v>
      </x:c>
      <x:c r="AE983" s="38" t="n">
        <x:v>129.93</x:v>
      </x:c>
      <x:c r="AF983" s="38" t="n">
        <x:v>4.8148</x:v>
      </x:c>
      <x:c r="AG983" s="38" t="n">
        <x:v>5.61</x:v>
      </x:c>
      <x:c r="AH983" s="38" t="n">
        <x:f>IF(E983="Fason",L983*S983,0)</x:f>
        <x:v>38475.27171</x:v>
      </x:c>
      <x:c r="AI983" s="38" t="n">
        <x:f>IF(E983="Kurum içi",AC983*AD983+AE983*AF983+AB983*12%,0)</x:f>
        <x:v>0</x:v>
      </x:c>
      <x:c r="AJ983" s="38" t="n">
        <x:f>V983*AG983</x:f>
        <x:v>2061.062620076275</x:v>
      </x:c>
      <x:c r="AK983" s="38" t="n">
        <x:f>AB983*2%</x:f>
        <x:v>5210.5909557</x:v>
      </x:c>
      <x:c r="AL983" s="38" t="n">
        <x:f>AB983+AH983+AI983+AJ983+AK983</x:f>
        <x:v>306276.4730707763</x:v>
      </x:c>
      <x:c r="AM983" s="38" t="n">
        <x:f>AL983/V983</x:f>
        <x:v>833.6529890894185</x:v>
      </x:c>
      <x:c r="AN983" s="40" t="n">
        <x:f>(W983+X983)/AL983*100</x:f>
        <x:v>73.7445290052711</x:v>
      </x:c>
      <x:c r="AO983" s="28" t="str">
        <x:v>R01-R20; ilgili satırdaki bölgesel fiyat ve maliyet varsayımları</x:v>
      </x:c>
      <x:c r="AP983" s="28" t="str">
        <x:v>Girdi miktarları, alım fiyatı değişimi, fason bedeli ve parti sonucu simüle edilmiştir; işletme kaydı değildir.</x:v>
      </x:c>
    </x:row>
    <x:row r="984" ht="22" customHeight="1">
      <x:c r="A984" t="str">
        <x:v>SUC-0983</x:v>
      </x:c>
      <x:c r="B984" s="36" t="n">
        <x:v>46293</x:v>
      </x:c>
      <x:c r="C984" t="str">
        <x:v>İç Anadolu</x:v>
      </x:c>
      <x:c r="D984" t="str">
        <x:v>MEB_STANDART</x:v>
      </x:c>
      <x:c r="E984" t="str">
        <x:v>Fason</x:v>
      </x:c>
      <x:c r="F984" s="42" t="str">
        <x:v>SENTETİK/SİMÜLE — gerçek parti kaydı değildir</x:v>
      </x:c>
      <x:c r="G984" s="38" t="n">
        <x:v>173.96</x:v>
      </x:c>
      <x:c r="H984" s="38" t="n">
        <x:v>53.311</x:v>
      </x:c>
      <x:c r="I984" s="38" t="n">
        <x:v>10.806</x:v>
      </x:c>
      <x:c r="J984" s="38" t="n">
        <x:v>5.925</x:v>
      </x:c>
      <x:c r="K984" s="38" t="n">
        <x:v>2.705</x:v>
      </x:c>
      <x:c r="L984" s="38" t="n">
        <x:f>SUM(G984:K984)</x:f>
        <x:v>246.70700000000005</x:v>
      </x:c>
      <x:c r="M984" s="38" t="n">
        <x:v>299.834</x:v>
      </x:c>
      <x:c r="N984" s="38" t="n">
        <x:v>603.11</x:v>
      </x:c>
      <x:c r="O984" s="38" t="n">
        <x:v>482.47</x:v>
      </x:c>
      <x:c r="P984" s="38" t="n">
        <x:v>669.9</x:v>
      </x:c>
      <x:c r="Q984" s="38" t="n">
        <x:v>19.88</x:v>
      </x:c>
      <x:c r="R984" s="38" t="n">
        <x:v>43.7475</x:v>
      </x:c>
      <x:c r="S984" s="38" t="n">
        <x:v>83.04</x:v>
      </x:c>
      <x:c r="T984" s="40" t="n">
        <x:v>15.77</x:v>
      </x:c>
      <x:c r="U984" s="40" t="n">
        <x:v>1.07</x:v>
      </x:c>
      <x:c r="V984" s="38" t="n">
        <x:f>L984*(1-T984/100)*(1-U984/100)</x:f>
        <x:v>205.57783212473007</x:v>
      </x:c>
      <x:c r="W984" s="38" t="n">
        <x:f>G984*N984</x:f>
        <x:v>104917.01560000001</x:v>
      </x:c>
      <x:c r="X984" s="38" t="n">
        <x:f>H984*O984</x:f>
        <x:v>25720.95817</x:v>
      </x:c>
      <x:c r="Y984" s="38" t="n">
        <x:f>I984*P984</x:f>
        <x:v>7238.939399999999</x:v>
      </x:c>
      <x:c r="Z984" s="38" t="n">
        <x:f>J984*Q984+K984*P984</x:f>
        <x:v>1929.8685</x:v>
      </x:c>
      <x:c r="AA984" s="38" t="n">
        <x:f>M984*R984</x:f>
        <x:v>13116.987915000002</x:v>
      </x:c>
      <x:c r="AB984" s="38" t="n">
        <x:f>SUM(W984:AA984)</x:f>
        <x:v>152923.76958500003</x:v>
      </x:c>
      <x:c r="AC984" s="38" t="n">
        <x:v>9.55</x:v>
      </x:c>
      <x:c r="AD984" s="38" t="n">
        <x:v>174.33</x:v>
      </x:c>
      <x:c r="AE984" s="38" t="n">
        <x:v>75.34</x:v>
      </x:c>
      <x:c r="AF984" s="38" t="n">
        <x:v>4.8148</x:v>
      </x:c>
      <x:c r="AG984" s="38" t="n">
        <x:v>5.9</x:v>
      </x:c>
      <x:c r="AH984" s="38" t="n">
        <x:f>IF(E984="Fason",L984*S984,0)</x:f>
        <x:v>20486.549280000007</x:v>
      </x:c>
      <x:c r="AI984" s="38" t="n">
        <x:f>IF(E984="Kurum içi",AC984*AD984+AE984*AF984+AB984*12%,0)</x:f>
        <x:v>0</x:v>
      </x:c>
      <x:c r="AJ984" s="38" t="n">
        <x:f>V984*AG984</x:f>
        <x:v>1212.9092095359074</x:v>
      </x:c>
      <x:c r="AK984" s="38" t="n">
        <x:f>AB984*2%</x:f>
        <x:v>3058.4753917000007</x:v>
      </x:c>
      <x:c r="AL984" s="38" t="n">
        <x:f>AB984+AH984+AI984+AJ984+AK984</x:f>
        <x:v>177681.70346623592</x:v>
      </x:c>
      <x:c r="AM984" s="38" t="n">
        <x:f>AL984/V984</x:f>
        <x:v>864.3038095587624</x:v>
      </x:c>
      <x:c r="AN984" s="40" t="n">
        <x:f>(W984+X984)/AL984*100</x:f>
        <x:v>73.52359371927373</x:v>
      </x:c>
      <x:c r="AO984" s="28" t="str">
        <x:v>R01-R20; ilgili satırdaki bölgesel fiyat ve maliyet varsayımları</x:v>
      </x:c>
      <x:c r="AP984" s="28" t="str">
        <x:v>Girdi miktarları, alım fiyatı değişimi, fason bedeli ve parti sonucu simüle edilmiştir; işletme kaydı değildir.</x:v>
      </x:c>
    </x:row>
    <x:row r="985" ht="22" customHeight="1">
      <x:c r="A985" t="str">
        <x:v>SUC-0984</x:v>
      </x:c>
      <x:c r="B985" s="36" t="n">
        <x:v>46284</x:v>
      </x:c>
      <x:c r="C985" t="str">
        <x:v>Güneydoğu Anadolu</x:v>
      </x:c>
      <x:c r="D985" t="str">
        <x:v>MEB_STANDART</x:v>
      </x:c>
      <x:c r="E985" t="str">
        <x:v>Kurum içi</x:v>
      </x:c>
      <x:c r="F985" s="42" t="str">
        <x:v>SENTETİK/SİMÜLE — gerçek parti kaydı değildir</x:v>
      </x:c>
      <x:c r="G985" s="38" t="n">
        <x:v>142.802</x:v>
      </x:c>
      <x:c r="H985" s="38" t="n">
        <x:v>45.268</x:v>
      </x:c>
      <x:c r="I985" s="38" t="n">
        <x:v>9.528</x:v>
      </x:c>
      <x:c r="J985" s="38" t="n">
        <x:v>4.986</x:v>
      </x:c>
      <x:c r="K985" s="38" t="n">
        <x:v>2.345</x:v>
      </x:c>
      <x:c r="L985" s="38" t="n">
        <x:f>SUM(G985:K985)</x:f>
        <x:v>204.92899999999997</x:v>
      </x:c>
      <x:c r="M985" s="38" t="n">
        <x:v>262.839</x:v>
      </x:c>
      <x:c r="N985" s="38" t="n">
        <x:v>598.23</x:v>
      </x:c>
      <x:c r="O985" s="38" t="n">
        <x:v>446.87</x:v>
      </x:c>
      <x:c r="P985" s="38" t="n">
        <x:v>669.9</x:v>
      </x:c>
      <x:c r="Q985" s="38" t="n">
        <x:v>19.88</x:v>
      </x:c>
      <x:c r="R985" s="38" t="n">
        <x:v>43.7475</x:v>
      </x:c>
      <x:c r="S985" s="38" t="n">
        <x:v>77.48</x:v>
      </x:c>
      <x:c r="T985" s="40" t="n">
        <x:v>16.13</x:v>
      </x:c>
      <x:c r="U985" s="40" t="n">
        <x:v>1.41</x:v>
      </x:c>
      <x:c r="V985" s="38" t="n">
        <x:f>L985*(1-T985/100)*(1-U985/100)</x:f>
        <x:v>169.45052957257</x:v>
      </x:c>
      <x:c r="W985" s="38" t="n">
        <x:f>G985*N985</x:f>
        <x:v>85428.44046</x:v>
      </x:c>
      <x:c r="X985" s="38" t="n">
        <x:f>H985*O985</x:f>
        <x:v>20228.91116</x:v>
      </x:c>
      <x:c r="Y985" s="38" t="n">
        <x:f>I985*P985</x:f>
        <x:v>6382.8072</x:v>
      </x:c>
      <x:c r="Z985" s="38" t="n">
        <x:f>J985*Q985+K985*P985</x:f>
        <x:v>1670.03718</x:v>
      </x:c>
      <x:c r="AA985" s="38" t="n">
        <x:f>M985*R985</x:f>
        <x:v>11498.5491525</x:v>
      </x:c>
      <x:c r="AB985" s="38" t="n">
        <x:f>SUM(W985:AA985)</x:f>
        <x:v>125208.74515249999</x:v>
      </x:c>
      <x:c r="AC985" s="38" t="n">
        <x:v>14.17</x:v>
      </x:c>
      <x:c r="AD985" s="38" t="n">
        <x:v>174.33</x:v>
      </x:c>
      <x:c r="AE985" s="38" t="n">
        <x:v>87.31</x:v>
      </x:c>
      <x:c r="AF985" s="38" t="n">
        <x:v>4.8148</x:v>
      </x:c>
      <x:c r="AG985" s="38" t="n">
        <x:v>5.23</x:v>
      </x:c>
      <x:c r="AH985" s="38" t="n">
        <x:f>IF(E985="Fason",L985*S985,0)</x:f>
        <x:v>0</x:v>
      </x:c>
      <x:c r="AI985" s="38" t="n">
        <x:f>IF(E985="Kurum içi",AC985*AD985+AE985*AF985+AB985*12%,0)</x:f>
        <x:v>17915.6857063</x:v>
      </x:c>
      <x:c r="AJ985" s="38" t="n">
        <x:f>V985*AG985</x:f>
        <x:v>886.2262696645412</x:v>
      </x:c>
      <x:c r="AK985" s="38" t="n">
        <x:f>AB985*2%</x:f>
        <x:v>2504.17490305</x:v>
      </x:c>
      <x:c r="AL985" s="38" t="n">
        <x:f>AB985+AH985+AI985+AJ985+AK985</x:f>
        <x:v>146514.83203151452</x:v>
      </x:c>
      <x:c r="AM985" s="38" t="n">
        <x:f>AL985/V985</x:f>
        <x:v>864.646645844604</x:v>
      </x:c>
      <x:c r="AN985" s="40" t="n">
        <x:f>(W985+X985)/AL985*100</x:f>
        <x:v>72.11375814652928</x:v>
      </x:c>
      <x:c r="AO985" s="28" t="str">
        <x:v>R01-R20; ilgili satırdaki bölgesel fiyat ve maliyet varsayımları</x:v>
      </x:c>
      <x:c r="AP985" s="28" t="str">
        <x:v>Girdi miktarları, alım fiyatı değişimi, fason bedeli ve parti sonucu simüle edilmiştir; işletme kaydı değildir.</x:v>
      </x:c>
    </x:row>
    <x:row r="986" ht="22" customHeight="1">
      <x:c r="A986" t="str">
        <x:v>SUC-0985</x:v>
      </x:c>
      <x:c r="B986" s="36" t="n">
        <x:v>46299</x:v>
      </x:c>
      <x:c r="C986" t="str">
        <x:v>Karadeniz</x:v>
      </x:c>
      <x:c r="D986" t="str">
        <x:v>ERZURUM_CI</x:v>
      </x:c>
      <x:c r="E986" t="str">
        <x:v>Kurum içi</x:v>
      </x:c>
      <x:c r="F986" s="42" t="str">
        <x:v>SENTETİK/SİMÜLE — gerçek parti kaydı değildir</x:v>
      </x:c>
      <x:c r="G986" s="38" t="n">
        <x:v>175.183</x:v>
      </x:c>
      <x:c r="H986" s="38" t="n">
        <x:v>32.729</x:v>
      </x:c>
      <x:c r="I986" s="38" t="n">
        <x:v>10.207</x:v>
      </x:c>
      <x:c r="J986" s="38" t="n">
        <x:v>3.878</x:v>
      </x:c>
      <x:c r="K986" s="38" t="n">
        <x:v>0.226</x:v>
      </x:c>
      <x:c r="L986" s="38" t="n">
        <x:f>SUM(G986:K986)</x:f>
        <x:v>222.22299999999996</x:v>
      </x:c>
      <x:c r="M986" s="38" t="n">
        <x:v>267.455</x:v>
      </x:c>
      <x:c r="N986" s="38" t="n">
        <x:v>587.85</x:v>
      </x:c>
      <x:c r="O986" s="38" t="n">
        <x:v>444.88</x:v>
      </x:c>
      <x:c r="P986" s="38" t="n">
        <x:v>400</x:v>
      </x:c>
      <x:c r="Q986" s="38" t="n">
        <x:v>19.88</x:v>
      </x:c>
      <x:c r="R986" s="38" t="n">
        <x:v>43.7475</x:v>
      </x:c>
      <x:c r="S986" s="38" t="n">
        <x:v>91.91</x:v>
      </x:c>
      <x:c r="T986" s="40" t="n">
        <x:v>24.37</x:v>
      </x:c>
      <x:c r="U986" s="40" t="n">
        <x:v>0.69</x:v>
      </x:c>
      <x:c r="V986" s="38" t="n">
        <x:f>L986*(1-T986/100)*(1-U986/100)</x:f>
        <x:v>166.90759084118997</x:v>
      </x:c>
      <x:c r="W986" s="38" t="n">
        <x:f>G986*N986</x:f>
        <x:v>102981.32655</x:v>
      </x:c>
      <x:c r="X986" s="38" t="n">
        <x:f>H986*O986</x:f>
        <x:v>14560.47752</x:v>
      </x:c>
      <x:c r="Y986" s="38" t="n">
        <x:f>I986*P986</x:f>
        <x:v>4082.8</x:v>
      </x:c>
      <x:c r="Z986" s="38" t="n">
        <x:f>J986*Q986+K986*P986</x:f>
        <x:v>167.49464</x:v>
      </x:c>
      <x:c r="AA986" s="38" t="n">
        <x:f>M986*R986</x:f>
        <x:v>11700.4876125</x:v>
      </x:c>
      <x:c r="AB986" s="38" t="n">
        <x:f>SUM(W986:AA986)</x:f>
        <x:v>133492.5863225</x:v>
      </x:c>
      <x:c r="AC986" s="38" t="n">
        <x:v>8.5</x:v>
      </x:c>
      <x:c r="AD986" s="38" t="n">
        <x:v>174.33</x:v>
      </x:c>
      <x:c r="AE986" s="38" t="n">
        <x:v>54.63</x:v>
      </x:c>
      <x:c r="AF986" s="38" t="n">
        <x:v>4.8148</x:v>
      </x:c>
      <x:c r="AG986" s="38" t="n">
        <x:v>5.87</x:v>
      </x:c>
      <x:c r="AH986" s="38" t="n">
        <x:f>IF(E986="Fason",L986*S986,0)</x:f>
        <x:v>0</x:v>
      </x:c>
      <x:c r="AI986" s="38" t="n">
        <x:f>IF(E986="Kurum içi",AC986*AD986+AE986*AF986+AB986*12%,0)</x:f>
        <x:v>17763.9478827</x:v>
      </x:c>
      <x:c r="AJ986" s="38" t="n">
        <x:f>V986*AG986</x:f>
        <x:v>979.7475582377851</x:v>
      </x:c>
      <x:c r="AK986" s="38" t="n">
        <x:f>AB986*2%</x:f>
        <x:v>2669.85172645</x:v>
      </x:c>
      <x:c r="AL986" s="38" t="n">
        <x:f>AB986+AH986+AI986+AJ986+AK986</x:f>
        <x:v>154906.13348988775</x:v>
      </x:c>
      <x:c r="AM986" s="38" t="n">
        <x:f>AL986/V986</x:f>
        <x:v>928.0951975232725</x:v>
      </x:c>
      <x:c r="AN986" s="40" t="n">
        <x:f>(W986+X986)/AL986*100</x:f>
        <x:v>75.87937380005233</x:v>
      </x:c>
      <x:c r="AO986" s="28" t="str">
        <x:v>R01-R20; ilgili satırdaki bölgesel fiyat ve maliyet varsayımları</x:v>
      </x:c>
      <x:c r="AP986" s="28" t="str">
        <x:v>Girdi miktarları, alım fiyatı değişimi, fason bedeli ve parti sonucu simüle edilmiştir; işletme kaydı değildir.</x:v>
      </x:c>
    </x:row>
    <x:row r="987" ht="22" customHeight="1">
      <x:c r="A987" t="str">
        <x:v>SUC-0986</x:v>
      </x:c>
      <x:c r="B987" s="36" t="n">
        <x:v>46279</x:v>
      </x:c>
      <x:c r="C987" t="str">
        <x:v>Karadeniz</x:v>
      </x:c>
      <x:c r="D987" t="str">
        <x:v>ERZURUM_CI</x:v>
      </x:c>
      <x:c r="E987" t="str">
        <x:v>Fason</x:v>
      </x:c>
      <x:c r="F987" s="42" t="str">
        <x:v>SENTETİK/SİMÜLE — gerçek parti kaydı değildir</x:v>
      </x:c>
      <x:c r="G987" s="38" t="n">
        <x:v>233.861</x:v>
      </x:c>
      <x:c r="H987" s="38" t="n">
        <x:v>44.726</x:v>
      </x:c>
      <x:c r="I987" s="38" t="n">
        <x:v>13.489</x:v>
      </x:c>
      <x:c r="J987" s="38" t="n">
        <x:v>5.297</x:v>
      </x:c>
      <x:c r="K987" s="38" t="n">
        <x:v>0.03</x:v>
      </x:c>
      <x:c r="L987" s="38" t="n">
        <x:f>SUM(G987:K987)</x:f>
        <x:v>297.40299999999996</x:v>
      </x:c>
      <x:c r="M987" s="38" t="n">
        <x:v>383.999</x:v>
      </x:c>
      <x:c r="N987" s="38" t="n">
        <x:v>615.23</x:v>
      </x:c>
      <x:c r="O987" s="38" t="n">
        <x:v>480.27</x:v>
      </x:c>
      <x:c r="P987" s="38" t="n">
        <x:v>400</x:v>
      </x:c>
      <x:c r="Q987" s="38" t="n">
        <x:v>19.88</x:v>
      </x:c>
      <x:c r="R987" s="38" t="n">
        <x:v>43.7475</x:v>
      </x:c>
      <x:c r="S987" s="38" t="n">
        <x:v>95.57</x:v>
      </x:c>
      <x:c r="T987" s="40" t="n">
        <x:v>16.09</x:v>
      </x:c>
      <x:c r="U987" s="40" t="n">
        <x:v>0.38</x:v>
      </x:c>
      <x:c r="V987" s="38" t="n">
        <x:f>L987*(1-T987/100)*(1-U987/100)</x:f>
        <x:v>248.60256404225996</x:v>
      </x:c>
      <x:c r="W987" s="38" t="n">
        <x:f>G987*N987</x:f>
        <x:v>143878.30303</x:v>
      </x:c>
      <x:c r="X987" s="38" t="n">
        <x:f>H987*O987</x:f>
        <x:v>21480.55602</x:v>
      </x:c>
      <x:c r="Y987" s="38" t="n">
        <x:f>I987*P987</x:f>
        <x:v>5395.6</x:v>
      </x:c>
      <x:c r="Z987" s="38" t="n">
        <x:f>J987*Q987+K987*P987</x:f>
        <x:v>117.30435999999999</x:v>
      </x:c>
      <x:c r="AA987" s="38" t="n">
        <x:f>M987*R987</x:f>
        <x:v>16798.9962525</x:v>
      </x:c>
      <x:c r="AB987" s="38" t="n">
        <x:f>SUM(W987:AA987)</x:f>
        <x:v>187670.7596625</x:v>
      </x:c>
      <x:c r="AC987" s="38" t="n">
        <x:v>19.4</x:v>
      </x:c>
      <x:c r="AD987" s="38" t="n">
        <x:v>174.33</x:v>
      </x:c>
      <x:c r="AE987" s="38" t="n">
        <x:v>111.6</x:v>
      </x:c>
      <x:c r="AF987" s="38" t="n">
        <x:v>4.8148</x:v>
      </x:c>
      <x:c r="AG987" s="38" t="n">
        <x:v>5.8</x:v>
      </x:c>
      <x:c r="AH987" s="38" t="n">
        <x:f>IF(E987="Fason",L987*S987,0)</x:f>
        <x:v>28422.804709999993</x:v>
      </x:c>
      <x:c r="AI987" s="38" t="n">
        <x:f>IF(E987="Kurum içi",AC987*AD987+AE987*AF987+AB987*12%,0)</x:f>
        <x:v>0</x:v>
      </x:c>
      <x:c r="AJ987" s="38" t="n">
        <x:f>V987*AG987</x:f>
        <x:v>1441.8948714451078</x:v>
      </x:c>
      <x:c r="AK987" s="38" t="n">
        <x:f>AB987*2%</x:f>
        <x:v>3753.41519325</x:v>
      </x:c>
      <x:c r="AL987" s="38" t="n">
        <x:f>AB987+AH987+AI987+AJ987+AK987</x:f>
        <x:v>221288.8744371951</x:v>
      </x:c>
      <x:c r="AM987" s="38" t="n">
        <x:f>AL987/V987</x:f>
        <x:v>890.1311025882187</x:v>
      </x:c>
      <x:c r="AN987" s="40" t="n">
        <x:f>(W987+X987)/AL987*100</x:f>
        <x:v>74.72533785105911</x:v>
      </x:c>
      <x:c r="AO987" s="28" t="str">
        <x:v>R01-R20; ilgili satırdaki bölgesel fiyat ve maliyet varsayımları</x:v>
      </x:c>
      <x:c r="AP987" s="28" t="str">
        <x:v>Girdi miktarları, alım fiyatı değişimi, fason bedeli ve parti sonucu simüle edilmiştir; işletme kaydı değildir.</x:v>
      </x:c>
    </x:row>
    <x:row r="988" ht="22" customHeight="1">
      <x:c r="A988" t="str">
        <x:v>SUC-0987</x:v>
      </x:c>
      <x:c r="B988" s="36" t="n">
        <x:v>46300</x:v>
      </x:c>
      <x:c r="C988" t="str">
        <x:v>Akdeniz</x:v>
      </x:c>
      <x:c r="D988" t="str">
        <x:v>ERZURUM_CI</x:v>
      </x:c>
      <x:c r="E988" t="str">
        <x:v>Kurum içi</x:v>
      </x:c>
      <x:c r="F988" s="42" t="str">
        <x:v>SENTETİK/SİMÜLE — gerçek parti kaydı değildir</x:v>
      </x:c>
      <x:c r="G988" s="38" t="n">
        <x:v>341.636</x:v>
      </x:c>
      <x:c r="H988" s="38" t="n">
        <x:v>63.113</x:v>
      </x:c>
      <x:c r="I988" s="38" t="n">
        <x:v>19.62</x:v>
      </x:c>
      <x:c r="J988" s="38" t="n">
        <x:v>6.415</x:v>
      </x:c>
      <x:c r="K988" s="38" t="n">
        <x:v>0.044</x:v>
      </x:c>
      <x:c r="L988" s="38" t="n">
        <x:f>SUM(G988:K988)</x:f>
        <x:v>430.82800000000003</x:v>
      </x:c>
      <x:c r="M988" s="38" t="n">
        <x:v>524.979</x:v>
      </x:c>
      <x:c r="N988" s="38" t="n">
        <x:v>580.88</x:v>
      </x:c>
      <x:c r="O988" s="38" t="n">
        <x:v>441.92</x:v>
      </x:c>
      <x:c r="P988" s="38" t="n">
        <x:v>400</x:v>
      </x:c>
      <x:c r="Q988" s="38" t="n">
        <x:v>19.88</x:v>
      </x:c>
      <x:c r="R988" s="38" t="n">
        <x:v>43.7475</x:v>
      </x:c>
      <x:c r="S988" s="38" t="n">
        <x:v>110.65</x:v>
      </x:c>
      <x:c r="T988" s="40" t="n">
        <x:v>28.21</x:v>
      </x:c>
      <x:c r="U988" s="40" t="n">
        <x:v>0.84</x:v>
      </x:c>
      <x:c r="V988" s="38" t="n">
        <x:f>L988*(1-T988/100)*(1-U988/100)</x:f>
        <x:v>306.69337326192</x:v>
      </x:c>
      <x:c r="W988" s="38" t="n">
        <x:f>G988*N988</x:f>
        <x:v>198449.51968000003</x:v>
      </x:c>
      <x:c r="X988" s="38" t="n">
        <x:f>H988*O988</x:f>
        <x:v>27890.896960000002</x:v>
      </x:c>
      <x:c r="Y988" s="38" t="n">
        <x:f>I988*P988</x:f>
        <x:v>7848</x:v>
      </x:c>
      <x:c r="Z988" s="38" t="n">
        <x:f>J988*Q988+K988*P988</x:f>
        <x:v>145.1302</x:v>
      </x:c>
      <x:c r="AA988" s="38" t="n">
        <x:f>M988*R988</x:f>
        <x:v>22966.518802500002</x:v>
      </x:c>
      <x:c r="AB988" s="38" t="n">
        <x:f>SUM(W988:AA988)</x:f>
        <x:v>257300.06564250006</x:v>
      </x:c>
      <x:c r="AC988" s="38" t="n">
        <x:v>22.23</x:v>
      </x:c>
      <x:c r="AD988" s="38" t="n">
        <x:v>174.33</x:v>
      </x:c>
      <x:c r="AE988" s="38" t="n">
        <x:v>159.76</x:v>
      </x:c>
      <x:c r="AF988" s="38" t="n">
        <x:v>4.8148</x:v>
      </x:c>
      <x:c r="AG988" s="38" t="n">
        <x:v>5.61</x:v>
      </x:c>
      <x:c r="AH988" s="38" t="n">
        <x:f>IF(E988="Fason",L988*S988,0)</x:f>
        <x:v>0</x:v>
      </x:c>
      <x:c r="AI988" s="38" t="n">
        <x:f>IF(E988="Kurum içi",AC988*AD988+AE988*AF988+AB988*12%,0)</x:f>
        <x:v>35520.57622510001</x:v>
      </x:c>
      <x:c r="AJ988" s="38" t="n">
        <x:f>V988*AG988</x:f>
        <x:v>1720.5498239993713</x:v>
      </x:c>
      <x:c r="AK988" s="38" t="n">
        <x:f>AB988*2%</x:f>
        <x:v>5146.001312850001</x:v>
      </x:c>
      <x:c r="AL988" s="38" t="n">
        <x:f>AB988+AH988+AI988+AJ988+AK988</x:f>
        <x:v>299687.1930044494</x:v>
      </x:c>
      <x:c r="AM988" s="38" t="n">
        <x:f>AL988/V988</x:f>
        <x:v>977.155749460921</x:v>
      </x:c>
      <x:c r="AN988" s="40" t="n">
        <x:f>(W988+X988)/AL988*100</x:f>
        <x:v>75.52555528678852</x:v>
      </x:c>
      <x:c r="AO988" s="28" t="str">
        <x:v>R01-R20; ilgili satırdaki bölgesel fiyat ve maliyet varsayımları</x:v>
      </x:c>
      <x:c r="AP988" s="28" t="str">
        <x:v>Girdi miktarları, alım fiyatı değişimi, fason bedeli ve parti sonucu simüle edilmiştir; işletme kaydı değildir.</x:v>
      </x:c>
    </x:row>
    <x:row r="989" ht="22" customHeight="1">
      <x:c r="A989" t="str">
        <x:v>SUC-0988</x:v>
      </x:c>
      <x:c r="B989" s="36" t="n">
        <x:v>46266</x:v>
      </x:c>
      <x:c r="C989" t="str">
        <x:v>Karadeniz</x:v>
      </x:c>
      <x:c r="D989" t="str">
        <x:v>ERZURUM_CI</x:v>
      </x:c>
      <x:c r="E989" t="str">
        <x:v>Kurum içi</x:v>
      </x:c>
      <x:c r="F989" s="42" t="str">
        <x:v>SENTETİK/SİMÜLE — gerçek parti kaydı değildir</x:v>
      </x:c>
      <x:c r="G989" s="38" t="n">
        <x:v>105.191</x:v>
      </x:c>
      <x:c r="H989" s="38" t="n">
        <x:v>17.214</x:v>
      </x:c>
      <x:c r="I989" s="38" t="n">
        <x:v>6.094</x:v>
      </x:c>
      <x:c r="J989" s="38" t="n">
        <x:v>1.993</x:v>
      </x:c>
      <x:c r="K989" s="38" t="n">
        <x:v>0.139</x:v>
      </x:c>
      <x:c r="L989" s="38" t="n">
        <x:f>SUM(G989:K989)</x:f>
        <x:v>130.631</x:v>
      </x:c>
      <x:c r="M989" s="38" t="n">
        <x:v>158.823</x:v>
      </x:c>
      <x:c r="N989" s="38" t="n">
        <x:v>597.95</x:v>
      </x:c>
      <x:c r="O989" s="38" t="n">
        <x:v>443.02</x:v>
      </x:c>
      <x:c r="P989" s="38" t="n">
        <x:v>400</x:v>
      </x:c>
      <x:c r="Q989" s="38" t="n">
        <x:v>19.88</x:v>
      </x:c>
      <x:c r="R989" s="38" t="n">
        <x:v>43.7475</x:v>
      </x:c>
      <x:c r="S989" s="38" t="n">
        <x:v>100.38</x:v>
      </x:c>
      <x:c r="T989" s="40" t="n">
        <x:v>31.03</x:v>
      </x:c>
      <x:c r="U989" s="40" t="n">
        <x:v>1.45</x:v>
      </x:c>
      <x:c r="V989" s="38" t="n">
        <x:f>L989*(1-T989/100)*(1-U989/100)</x:f>
        <x:v>88.78980578985</x:v>
      </x:c>
      <x:c r="W989" s="38" t="n">
        <x:f>G989*N989</x:f>
        <x:v>62898.958450000006</x:v>
      </x:c>
      <x:c r="X989" s="38" t="n">
        <x:f>H989*O989</x:f>
        <x:v>7626.146279999999</x:v>
      </x:c>
      <x:c r="Y989" s="38" t="n">
        <x:f>I989*P989</x:f>
        <x:v>2437.6</x:v>
      </x:c>
      <x:c r="Z989" s="38" t="n">
        <x:f>J989*Q989+K989*P989</x:f>
        <x:v>95.22084000000001</x:v>
      </x:c>
      <x:c r="AA989" s="38" t="n">
        <x:f>M989*R989</x:f>
        <x:v>6948.109192500001</x:v>
      </x:c>
      <x:c r="AB989" s="38" t="n">
        <x:f>SUM(W989:AA989)</x:f>
        <x:v>80006.03476250001</x:v>
      </x:c>
      <x:c r="AC989" s="38" t="n">
        <x:v>7.74</x:v>
      </x:c>
      <x:c r="AD989" s="38" t="n">
        <x:v>174.33</x:v>
      </x:c>
      <x:c r="AE989" s="38" t="n">
        <x:v>55.44</x:v>
      </x:c>
      <x:c r="AF989" s="38" t="n">
        <x:v>4.8148</x:v>
      </x:c>
      <x:c r="AG989" s="38" t="n">
        <x:v>5.15</x:v>
      </x:c>
      <x:c r="AH989" s="38" t="n">
        <x:f>IF(E989="Fason",L989*S989,0)</x:f>
        <x:v>0</x:v>
      </x:c>
      <x:c r="AI989" s="38" t="n">
        <x:f>IF(E989="Kurum içi",AC989*AD989+AE989*AF989+AB989*12%,0)</x:f>
        <x:v>11216.970883500002</x:v>
      </x:c>
      <x:c r="AJ989" s="38" t="n">
        <x:f>V989*AG989</x:f>
        <x:v>457.2674998177276</x:v>
      </x:c>
      <x:c r="AK989" s="38" t="n">
        <x:f>AB989*2%</x:f>
        <x:v>1600.1206952500004</x:v>
      </x:c>
      <x:c r="AL989" s="38" t="n">
        <x:f>AB989+AH989+AI989+AJ989+AK989</x:f>
        <x:v>93280.39384106775</x:v>
      </x:c>
      <x:c r="AM989" s="38" t="n">
        <x:f>AL989/V989</x:f>
        <x:v>1050.5754913108626</x:v>
      </x:c>
      <x:c r="AN989" s="40" t="n">
        <x:f>(W989+X989)/AL989*100</x:f>
        <x:v>75.60549631700904</x:v>
      </x:c>
      <x:c r="AO989" s="28" t="str">
        <x:v>R01-R20; ilgili satırdaki bölgesel fiyat ve maliyet varsayımları</x:v>
      </x:c>
      <x:c r="AP989" s="28" t="str">
        <x:v>Girdi miktarları, alım fiyatı değişimi, fason bedeli ve parti sonucu simüle edilmiştir; işletme kaydı değildir.</x:v>
      </x:c>
    </x:row>
    <x:row r="990" ht="22" customHeight="1">
      <x:c r="A990" t="str">
        <x:v>SUC-0989</x:v>
      </x:c>
      <x:c r="B990" s="36" t="n">
        <x:v>46284</x:v>
      </x:c>
      <x:c r="C990" t="str">
        <x:v>Ege</x:v>
      </x:c>
      <x:c r="D990" t="str">
        <x:v>MEB_STANDART</x:v>
      </x:c>
      <x:c r="E990" t="str">
        <x:v>Kurum içi</x:v>
      </x:c>
      <x:c r="F990" s="42" t="str">
        <x:v>SENTETİK/SİMÜLE — gerçek parti kaydı değildir</x:v>
      </x:c>
      <x:c r="G990" s="38" t="n">
        <x:v>172.287</x:v>
      </x:c>
      <x:c r="H990" s="38" t="n">
        <x:v>55.468</x:v>
      </x:c>
      <x:c r="I990" s="38" t="n">
        <x:v>10.239</x:v>
      </x:c>
      <x:c r="J990" s="38" t="n">
        <x:v>5.971</x:v>
      </x:c>
      <x:c r="K990" s="38" t="n">
        <x:v>2.165</x:v>
      </x:c>
      <x:c r="L990" s="38" t="n">
        <x:f>SUM(G990:K990)</x:f>
        <x:v>246.13</x:v>
      </x:c>
      <x:c r="M990" s="38" t="n">
        <x:v>325.068</x:v>
      </x:c>
      <x:c r="N990" s="38" t="n">
        <x:v>605.17</x:v>
      </x:c>
      <x:c r="O990" s="38" t="n">
        <x:v>445.16</x:v>
      </x:c>
      <x:c r="P990" s="38" t="n">
        <x:v>550</x:v>
      </x:c>
      <x:c r="Q990" s="38" t="n">
        <x:v>19.88</x:v>
      </x:c>
      <x:c r="R990" s="38" t="n">
        <x:v>43.7475</x:v>
      </x:c>
      <x:c r="S990" s="38" t="n">
        <x:v>100.44</x:v>
      </x:c>
      <x:c r="T990" s="40" t="n">
        <x:v>18.96</x:v>
      </x:c>
      <x:c r="U990" s="40" t="n">
        <x:v>1.12</x:v>
      </x:c>
      <x:c r="V990" s="38" t="n">
        <x:f>L990*(1-T990/100)*(1-U990/100)</x:f>
        <x:v>197.2297579776</x:v>
      </x:c>
      <x:c r="W990" s="38" t="n">
        <x:f>G990*N990</x:f>
        <x:v>104262.92379</x:v>
      </x:c>
      <x:c r="X990" s="38" t="n">
        <x:f>H990*O990</x:f>
        <x:v>24692.13488</x:v>
      </x:c>
      <x:c r="Y990" s="38" t="n">
        <x:f>I990*P990</x:f>
        <x:v>5631.450000000001</x:v>
      </x:c>
      <x:c r="Z990" s="38" t="n">
        <x:f>J990*Q990+K990*P990</x:f>
        <x:v>1309.45348</x:v>
      </x:c>
      <x:c r="AA990" s="38" t="n">
        <x:f>M990*R990</x:f>
        <x:v>14220.91233</x:v>
      </x:c>
      <x:c r="AB990" s="38" t="n">
        <x:f>SUM(W990:AA990)</x:f>
        <x:v>150116.87448</x:v>
      </x:c>
      <x:c r="AC990" s="38" t="n">
        <x:v>12.9</x:v>
      </x:c>
      <x:c r="AD990" s="38" t="n">
        <x:v>174.33</x:v>
      </x:c>
      <x:c r="AE990" s="38" t="n">
        <x:v>82.27</x:v>
      </x:c>
      <x:c r="AF990" s="38" t="n">
        <x:v>4.8148</x:v>
      </x:c>
      <x:c r="AG990" s="38" t="n">
        <x:v>5.6</x:v>
      </x:c>
      <x:c r="AH990" s="38" t="n">
        <x:f>IF(E990="Fason",L990*S990,0)</x:f>
        <x:v>0</x:v>
      </x:c>
      <x:c r="AI990" s="38" t="n">
        <x:f>IF(E990="Kurum içi",AC990*AD990+AE990*AF990+AB990*12%,0)</x:f>
        <x:v>20658.9955336</x:v>
      </x:c>
      <x:c r="AJ990" s="38" t="n">
        <x:f>V990*AG990</x:f>
        <x:v>1104.48664467456</x:v>
      </x:c>
      <x:c r="AK990" s="38" t="n">
        <x:f>AB990*2%</x:f>
        <x:v>3002.3374896</x:v>
      </x:c>
      <x:c r="AL990" s="38" t="n">
        <x:f>AB990+AH990+AI990+AJ990+AK990</x:f>
        <x:v>174882.69414787454</x:v>
      </x:c>
      <x:c r="AM990" s="38" t="n">
        <x:f>AL990/V990</x:f>
        <x:v>886.6952732748194</x:v>
      </x:c>
      <x:c r="AN990" s="40" t="n">
        <x:f>(W990+X990)/AL990*100</x:f>
        <x:v>73.73803297023788</x:v>
      </x:c>
      <x:c r="AO990" s="28" t="str">
        <x:v>R01-R20; ilgili satırdaki bölgesel fiyat ve maliyet varsayımları</x:v>
      </x:c>
      <x:c r="AP990" s="28" t="str">
        <x:v>Girdi miktarları, alım fiyatı değişimi, fason bedeli ve parti sonucu simüle edilmiştir; işletme kaydı değildir.</x:v>
      </x:c>
    </x:row>
    <x:row r="991" ht="22" customHeight="1">
      <x:c r="A991" t="str">
        <x:v>SUC-0990</x:v>
      </x:c>
      <x:c r="B991" s="36" t="n">
        <x:v>46282</x:v>
      </x:c>
      <x:c r="C991" t="str">
        <x:v>Karadeniz</x:v>
      </x:c>
      <x:c r="D991" t="str">
        <x:v>MEB_STANDART</x:v>
      </x:c>
      <x:c r="E991" t="str">
        <x:v>Kurum içi</x:v>
      </x:c>
      <x:c r="F991" s="42" t="str">
        <x:v>SENTETİK/SİMÜLE — gerçek parti kaydı değildir</x:v>
      </x:c>
      <x:c r="G991" s="38" t="n">
        <x:v>179.085</x:v>
      </x:c>
      <x:c r="H991" s="38" t="n">
        <x:v>55.909</x:v>
      </x:c>
      <x:c r="I991" s="38" t="n">
        <x:v>10.763</x:v>
      </x:c>
      <x:c r="J991" s="38" t="n">
        <x:v>6.668</x:v>
      </x:c>
      <x:c r="K991" s="38" t="n">
        <x:v>2.95</x:v>
      </x:c>
      <x:c r="L991" s="38" t="n">
        <x:f>SUM(G991:K991)</x:f>
        <x:v>255.375</x:v>
      </x:c>
      <x:c r="M991" s="38" t="n">
        <x:v>311.756</x:v>
      </x:c>
      <x:c r="N991" s="38" t="n">
        <x:v>588.49</x:v>
      </x:c>
      <x:c r="O991" s="38" t="n">
        <x:v>455.09</x:v>
      </x:c>
      <x:c r="P991" s="38" t="n">
        <x:v>550</x:v>
      </x:c>
      <x:c r="Q991" s="38" t="n">
        <x:v>19.88</x:v>
      </x:c>
      <x:c r="R991" s="38" t="n">
        <x:v>43.7475</x:v>
      </x:c>
      <x:c r="S991" s="38" t="n">
        <x:v>93.06</x:v>
      </x:c>
      <x:c r="T991" s="40" t="n">
        <x:v>22.8</x:v>
      </x:c>
      <x:c r="U991" s="40" t="n">
        <x:v>1.19</x:v>
      </x:c>
      <x:c r="V991" s="38" t="n">
        <x:f>L991*(1-T991/100)*(1-U991/100)</x:f>
        <x:v>194.80342095</x:v>
      </x:c>
      <x:c r="W991" s="38" t="n">
        <x:f>G991*N991</x:f>
        <x:v>105389.73165</x:v>
      </x:c>
      <x:c r="X991" s="38" t="n">
        <x:f>H991*O991</x:f>
        <x:v>25443.626809999998</x:v>
      </x:c>
      <x:c r="Y991" s="38" t="n">
        <x:f>I991*P991</x:f>
        <x:v>5919.65</x:v>
      </x:c>
      <x:c r="Z991" s="38" t="n">
        <x:f>J991*Q991+K991*P991</x:f>
        <x:v>1755.05984</x:v>
      </x:c>
      <x:c r="AA991" s="38" t="n">
        <x:f>M991*R991</x:f>
        <x:v>13638.54561</x:v>
      </x:c>
      <x:c r="AB991" s="38" t="n">
        <x:f>SUM(W991:AA991)</x:f>
        <x:v>152146.61391000001</x:v>
      </x:c>
      <x:c r="AC991" s="38" t="n">
        <x:v>17.87</x:v>
      </x:c>
      <x:c r="AD991" s="38" t="n">
        <x:v>174.33</x:v>
      </x:c>
      <x:c r="AE991" s="38" t="n">
        <x:v>66.07</x:v>
      </x:c>
      <x:c r="AF991" s="38" t="n">
        <x:v>4.8148</x:v>
      </x:c>
      <x:c r="AG991" s="38" t="n">
        <x:v>5.61</x:v>
      </x:c>
      <x:c r="AH991" s="38" t="n">
        <x:f>IF(E991="Fason",L991*S991,0)</x:f>
        <x:v>0</x:v>
      </x:c>
      <x:c r="AI991" s="38" t="n">
        <x:f>IF(E991="Kurum içi",AC991*AD991+AE991*AF991+AB991*12%,0)</x:f>
        <x:v>21690.9846052</x:v>
      </x:c>
      <x:c r="AJ991" s="38" t="n">
        <x:f>V991*AG991</x:f>
        <x:v>1092.8471915295002</x:v>
      </x:c>
      <x:c r="AK991" s="38" t="n">
        <x:f>AB991*2%</x:f>
        <x:v>3042.9322782000004</x:v>
      </x:c>
      <x:c r="AL991" s="38" t="n">
        <x:f>AB991+AH991+AI991+AJ991+AK991</x:f>
        <x:v>177973.3779849295</x:v>
      </x:c>
      <x:c r="AM991" s="38" t="n">
        <x:f>AL991/V991</x:f>
        <x:v>913.6049927511784</x:v>
      </x:c>
      <x:c r="AN991" s="40" t="n">
        <x:f>(W991+X991)/AL991*100</x:f>
        <x:v>73.51288150022009</x:v>
      </x:c>
      <x:c r="AO991" s="28" t="str">
        <x:v>R01-R20; ilgili satırdaki bölgesel fiyat ve maliyet varsayımları</x:v>
      </x:c>
      <x:c r="AP991" s="28" t="str">
        <x:v>Girdi miktarları, alım fiyatı değişimi, fason bedeli ve parti sonucu simüle edilmiştir; işletme kaydı değildir.</x:v>
      </x:c>
    </x:row>
    <x:row r="992" ht="22" customHeight="1">
      <x:c r="A992" t="str">
        <x:v>SUC-0991</x:v>
      </x:c>
      <x:c r="B992" s="36" t="n">
        <x:v>46295</x:v>
      </x:c>
      <x:c r="C992" t="str">
        <x:v>Doğu Anadolu</x:v>
      </x:c>
      <x:c r="D992" t="str">
        <x:v>MEB_STANDART</x:v>
      </x:c>
      <x:c r="E992" t="str">
        <x:v>Fason</x:v>
      </x:c>
      <x:c r="F992" s="42" t="str">
        <x:v>SENTETİK/SİMÜLE — gerçek parti kaydı değildir</x:v>
      </x:c>
      <x:c r="G992" s="38" t="n">
        <x:v>186.861</x:v>
      </x:c>
      <x:c r="H992" s="38" t="n">
        <x:v>60.583</x:v>
      </x:c>
      <x:c r="I992" s="38" t="n">
        <x:v>11.776</x:v>
      </x:c>
      <x:c r="J992" s="38" t="n">
        <x:v>6.781</x:v>
      </x:c>
      <x:c r="K992" s="38" t="n">
        <x:v>2.621</x:v>
      </x:c>
      <x:c r="L992" s="38" t="n">
        <x:f>SUM(G992:K992)</x:f>
        <x:v>268.62199999999996</x:v>
      </x:c>
      <x:c r="M992" s="38" t="n">
        <x:v>330.262</x:v>
      </x:c>
      <x:c r="N992" s="38" t="n">
        <x:v>600.73</x:v>
      </x:c>
      <x:c r="O992" s="38" t="n">
        <x:v>450.69</x:v>
      </x:c>
      <x:c r="P992" s="38" t="n">
        <x:v>669.9</x:v>
      </x:c>
      <x:c r="Q992" s="38" t="n">
        <x:v>19.88</x:v>
      </x:c>
      <x:c r="R992" s="38" t="n">
        <x:v>43.7475</x:v>
      </x:c>
      <x:c r="S992" s="38" t="n">
        <x:v>96.28</x:v>
      </x:c>
      <x:c r="T992" s="40" t="n">
        <x:v>17.6</x:v>
      </x:c>
      <x:c r="U992" s="40" t="n">
        <x:v>1.02</x:v>
      </x:c>
      <x:c r="V992" s="38" t="n">
        <x:f>L992*(1-T992/100)*(1-U992/100)</x:f>
        <x:v>219.08681381439993</x:v>
      </x:c>
      <x:c r="W992" s="38" t="n">
        <x:f>G992*N992</x:f>
        <x:v>112253.00852999999</x:v>
      </x:c>
      <x:c r="X992" s="38" t="n">
        <x:f>H992*O992</x:f>
        <x:v>27304.15227</x:v>
      </x:c>
      <x:c r="Y992" s="38" t="n">
        <x:f>I992*P992</x:f>
        <x:v>7888.742399999999</x:v>
      </x:c>
      <x:c r="Z992" s="38" t="n">
        <x:f>J992*Q992+K992*P992</x:f>
        <x:v>1890.61418</x:v>
      </x:c>
      <x:c r="AA992" s="38" t="n">
        <x:f>M992*R992</x:f>
        <x:v>14448.136845</x:v>
      </x:c>
      <x:c r="AB992" s="38" t="n">
        <x:f>SUM(W992:AA992)</x:f>
        <x:v>163784.65422499998</x:v>
      </x:c>
      <x:c r="AC992" s="38" t="n">
        <x:v>18.8</x:v>
      </x:c>
      <x:c r="AD992" s="38" t="n">
        <x:v>174.33</x:v>
      </x:c>
      <x:c r="AE992" s="38" t="n">
        <x:v>126.22</x:v>
      </x:c>
      <x:c r="AF992" s="38" t="n">
        <x:v>4.8148</x:v>
      </x:c>
      <x:c r="AG992" s="38" t="n">
        <x:v>5.25</x:v>
      </x:c>
      <x:c r="AH992" s="38" t="n">
        <x:f>IF(E992="Fason",L992*S992,0)</x:f>
        <x:v>25862.926159999995</x:v>
      </x:c>
      <x:c r="AI992" s="38" t="n">
        <x:f>IF(E992="Kurum içi",AC992*AD992+AE992*AF992+AB992*12%,0)</x:f>
        <x:v>0</x:v>
      </x:c>
      <x:c r="AJ992" s="38" t="n">
        <x:f>V992*AG992</x:f>
        <x:v>1150.2057725255997</x:v>
      </x:c>
      <x:c r="AK992" s="38" t="n">
        <x:f>AB992*2%</x:f>
        <x:v>3275.6930844999997</x:v>
      </x:c>
      <x:c r="AL992" s="38" t="n">
        <x:f>AB992+AH992+AI992+AJ992+AK992</x:f>
        <x:v>194073.47924202558</x:v>
      </x:c>
      <x:c r="AM992" s="38" t="n">
        <x:f>AL992/V992</x:f>
        <x:v>885.8291188918176</x:v>
      </x:c>
      <x:c r="AN992" s="40" t="n">
        <x:f>(W992+X992)/AL992*100</x:f>
        <x:v>71.90944447693481</x:v>
      </x:c>
      <x:c r="AO992" s="28" t="str">
        <x:v>R01-R20; ilgili satırdaki bölgesel fiyat ve maliyet varsayımları</x:v>
      </x:c>
      <x:c r="AP992" s="28" t="str">
        <x:v>Girdi miktarları, alım fiyatı değişimi, fason bedeli ve parti sonucu simüle edilmiştir; işletme kaydı değildir.</x:v>
      </x:c>
    </x:row>
    <x:row r="993" ht="22" customHeight="1">
      <x:c r="A993" t="str">
        <x:v>SUC-0992</x:v>
      </x:c>
      <x:c r="B993" s="36" t="n">
        <x:v>46291</x:v>
      </x:c>
      <x:c r="C993" t="str">
        <x:v>Akdeniz</x:v>
      </x:c>
      <x:c r="D993" t="str">
        <x:v>ERZURUM_CI</x:v>
      </x:c>
      <x:c r="E993" t="str">
        <x:v>Kurum içi</x:v>
      </x:c>
      <x:c r="F993" s="42" t="str">
        <x:v>SENTETİK/SİMÜLE — gerçek parti kaydı değildir</x:v>
      </x:c>
      <x:c r="G993" s="38" t="n">
        <x:v>370.977</x:v>
      </x:c>
      <x:c r="H993" s="38" t="n">
        <x:v>61.814</x:v>
      </x:c>
      <x:c r="I993" s="38" t="n">
        <x:v>23.425</x:v>
      </x:c>
      <x:c r="J993" s="38" t="n">
        <x:v>7.242</x:v>
      </x:c>
      <x:c r="K993" s="38" t="n">
        <x:v>0.64</x:v>
      </x:c>
      <x:c r="L993" s="38" t="n">
        <x:f>SUM(G993:K993)</x:f>
        <x:v>464.098</x:v>
      </x:c>
      <x:c r="M993" s="38" t="n">
        <x:v>599.047</x:v>
      </x:c>
      <x:c r="N993" s="38" t="n">
        <x:v>576.82</x:v>
      </x:c>
      <x:c r="O993" s="38" t="n">
        <x:v>448.36</x:v>
      </x:c>
      <x:c r="P993" s="38" t="n">
        <x:v>669.9</x:v>
      </x:c>
      <x:c r="Q993" s="38" t="n">
        <x:v>19.88</x:v>
      </x:c>
      <x:c r="R993" s="38" t="n">
        <x:v>43.7475</x:v>
      </x:c>
      <x:c r="S993" s="38" t="n">
        <x:v>87.44</x:v>
      </x:c>
      <x:c r="T993" s="40" t="n">
        <x:v>20.91</x:v>
      </x:c>
      <x:c r="U993" s="40" t="n">
        <x:v>1.28</x:v>
      </x:c>
      <x:c r="V993" s="38" t="n">
        <x:f>L993*(1-T993/100)*(1-U993/100)</x:f>
        <x:v>362.35680281504</x:v>
      </x:c>
      <x:c r="W993" s="38" t="n">
        <x:f>G993*N993</x:f>
        <x:v>213986.95314</x:v>
      </x:c>
      <x:c r="X993" s="38" t="n">
        <x:f>H993*O993</x:f>
        <x:v>27714.925040000002</x:v>
      </x:c>
      <x:c r="Y993" s="38" t="n">
        <x:f>I993*P993</x:f>
        <x:v>15692.4075</x:v>
      </x:c>
      <x:c r="Z993" s="38" t="n">
        <x:f>J993*Q993+K993*P993</x:f>
        <x:v>572.70696</x:v>
      </x:c>
      <x:c r="AA993" s="38" t="n">
        <x:f>M993*R993</x:f>
        <x:v>26206.808632500004</x:v>
      </x:c>
      <x:c r="AB993" s="38" t="n">
        <x:f>SUM(W993:AA993)</x:f>
        <x:v>284173.8012725</x:v>
      </x:c>
      <x:c r="AC993" s="38" t="n">
        <x:v>29.03</x:v>
      </x:c>
      <x:c r="AD993" s="38" t="n">
        <x:v>174.33</x:v>
      </x:c>
      <x:c r="AE993" s="38" t="n">
        <x:v>182.04</x:v>
      </x:c>
      <x:c r="AF993" s="38" t="n">
        <x:v>4.8148</x:v>
      </x:c>
      <x:c r="AG993" s="38" t="n">
        <x:v>5.6</x:v>
      </x:c>
      <x:c r="AH993" s="38" t="n">
        <x:f>IF(E993="Fason",L993*S993,0)</x:f>
        <x:v>0</x:v>
      </x:c>
      <x:c r="AI993" s="38" t="n">
        <x:f>IF(E993="Kurum içi",AC993*AD993+AE993*AF993+AB993*12%,0)</x:f>
        <x:v>40038.1422447</x:v>
      </x:c>
      <x:c r="AJ993" s="38" t="n">
        <x:f>V993*AG993</x:f>
        <x:v>2029.1980957642238</x:v>
      </x:c>
      <x:c r="AK993" s="38" t="n">
        <x:f>AB993*2%</x:f>
        <x:v>5683.476025450001</x:v>
      </x:c>
      <x:c r="AL993" s="38" t="n">
        <x:f>AB993+AH993+AI993+AJ993+AK993</x:f>
        <x:v>331924.6176384142</x:v>
      </x:c>
      <x:c r="AM993" s="38" t="n">
        <x:f>AL993/V993</x:f>
        <x:v>916.0159684040499</x:v>
      </x:c>
      <x:c r="AN993" s="40" t="n">
        <x:f>(W993+X993)/AL993*100</x:f>
        <x:v>72.81830431851266</x:v>
      </x:c>
      <x:c r="AO993" s="28" t="str">
        <x:v>R01-R20; ilgili satırdaki bölgesel fiyat ve maliyet varsayımları</x:v>
      </x:c>
      <x:c r="AP993" s="28" t="str">
        <x:v>Girdi miktarları, alım fiyatı değişimi, fason bedeli ve parti sonucu simüle edilmiştir; işletme kaydı değildir.</x:v>
      </x:c>
    </x:row>
    <x:row r="994" ht="22" customHeight="1">
      <x:c r="A994" t="str">
        <x:v>SUC-0993</x:v>
      </x:c>
      <x:c r="B994" s="36" t="n">
        <x:v>46311</x:v>
      </x:c>
      <x:c r="C994" t="str">
        <x:v>Güneydoğu Anadolu</x:v>
      </x:c>
      <x:c r="D994" t="str">
        <x:v>MEB_STANDART</x:v>
      </x:c>
      <x:c r="E994" t="str">
        <x:v>Kurum içi</x:v>
      </x:c>
      <x:c r="F994" s="42" t="str">
        <x:v>SENTETİK/SİMÜLE — gerçek parti kaydı değildir</x:v>
      </x:c>
      <x:c r="G994" s="38" t="n">
        <x:v>133.645</x:v>
      </x:c>
      <x:c r="H994" s="38" t="n">
        <x:v>43.112</x:v>
      </x:c>
      <x:c r="I994" s="38" t="n">
        <x:v>8.662</x:v>
      </x:c>
      <x:c r="J994" s="38" t="n">
        <x:v>4.679</x:v>
      </x:c>
      <x:c r="K994" s="38" t="n">
        <x:v>1.754</x:v>
      </x:c>
      <x:c r="L994" s="38" t="n">
        <x:f>SUM(G994:K994)</x:f>
        <x:v>191.852</x:v>
      </x:c>
      <x:c r="M994" s="38" t="n">
        <x:v>224.135</x:v>
      </x:c>
      <x:c r="N994" s="38" t="n">
        <x:v>598.69</x:v>
      </x:c>
      <x:c r="O994" s="38" t="n">
        <x:v>447.5</x:v>
      </x:c>
      <x:c r="P994" s="38" t="n">
        <x:v>400</x:v>
      </x:c>
      <x:c r="Q994" s="38" t="n">
        <x:v>19.88</x:v>
      </x:c>
      <x:c r="R994" s="38" t="n">
        <x:v>43.7475</x:v>
      </x:c>
      <x:c r="S994" s="38" t="n">
        <x:v>70.47</x:v>
      </x:c>
      <x:c r="T994" s="40" t="n">
        <x:v>23.36</x:v>
      </x:c>
      <x:c r="U994" s="40" t="n">
        <x:v>1.65</x:v>
      </x:c>
      <x:c r="V994" s="38" t="n">
        <x:f>L994*(1-T994/100)*(1-U994/100)</x:f>
        <x:v>144.6092891488</x:v>
      </x:c>
      <x:c r="W994" s="38" t="n">
        <x:f>G994*N994</x:f>
        <x:v>80011.92505000002</x:v>
      </x:c>
      <x:c r="X994" s="38" t="n">
        <x:f>H994*O994</x:f>
        <x:v>19292.620000000003</x:v>
      </x:c>
      <x:c r="Y994" s="38" t="n">
        <x:f>I994*P994</x:f>
        <x:v>3464.8</x:v>
      </x:c>
      <x:c r="Z994" s="38" t="n">
        <x:f>J994*Q994+K994*P994</x:f>
        <x:v>794.61852</x:v>
      </x:c>
      <x:c r="AA994" s="38" t="n">
        <x:f>M994*R994</x:f>
        <x:v>9805.3459125</x:v>
      </x:c>
      <x:c r="AB994" s="38" t="n">
        <x:f>SUM(W994:AA994)</x:f>
        <x:v>113369.30948250002</x:v>
      </x:c>
      <x:c r="AC994" s="38" t="n">
        <x:v>9.98</x:v>
      </x:c>
      <x:c r="AD994" s="38" t="n">
        <x:v>174.33</x:v>
      </x:c>
      <x:c r="AE994" s="38" t="n">
        <x:v>52.6</x:v>
      </x:c>
      <x:c r="AF994" s="38" t="n">
        <x:v>4.8148</x:v>
      </x:c>
      <x:c r="AG994" s="38" t="n">
        <x:v>5.84</x:v>
      </x:c>
      <x:c r="AH994" s="38" t="n">
        <x:f>IF(E994="Fason",L994*S994,0)</x:f>
        <x:v>0</x:v>
      </x:c>
      <x:c r="AI994" s="38" t="n">
        <x:f>IF(E994="Kurum içi",AC994*AD994+AE994*AF994+AB994*12%,0)</x:f>
        <x:v>15597.3890179</x:v>
      </x:c>
      <x:c r="AJ994" s="38" t="n">
        <x:f>V994*AG994</x:f>
        <x:v>844.518248628992</x:v>
      </x:c>
      <x:c r="AK994" s="38" t="n">
        <x:f>AB994*2%</x:f>
        <x:v>2267.3861896500002</x:v>
      </x:c>
      <x:c r="AL994" s="38" t="n">
        <x:f>AB994+AH994+AI994+AJ994+AK994</x:f>
        <x:v>132078.602938679</x:v>
      </x:c>
      <x:c r="AM994" s="38" t="n">
        <x:f>AL994/V994</x:f>
        <x:v>913.3479855693973</x:v>
      </x:c>
      <x:c r="AN994" s="40" t="n">
        <x:f>(W994+X994)/AL994*100</x:f>
        <x:v>75.18594446074268</x:v>
      </x:c>
      <x:c r="AO994" s="28" t="str">
        <x:v>R01-R20; ilgili satırdaki bölgesel fiyat ve maliyet varsayımları</x:v>
      </x:c>
      <x:c r="AP994" s="28" t="str">
        <x:v>Girdi miktarları, alım fiyatı değişimi, fason bedeli ve parti sonucu simüle edilmiştir; işletme kaydı değildir.</x:v>
      </x:c>
    </x:row>
    <x:row r="995" ht="22" customHeight="1">
      <x:c r="A995" t="str">
        <x:v>SUC-0994</x:v>
      </x:c>
      <x:c r="B995" s="36" t="n">
        <x:v>46311</x:v>
      </x:c>
      <x:c r="C995" t="str">
        <x:v>Akdeniz</x:v>
      </x:c>
      <x:c r="D995" t="str">
        <x:v>ERZURUM_CI</x:v>
      </x:c>
      <x:c r="E995" t="str">
        <x:v>Fason</x:v>
      </x:c>
      <x:c r="F995" s="42" t="str">
        <x:v>SENTETİK/SİMÜLE — gerçek parti kaydı değildir</x:v>
      </x:c>
      <x:c r="G995" s="38" t="n">
        <x:v>317.228</x:v>
      </x:c>
      <x:c r="H995" s="38" t="n">
        <x:v>54.408</x:v>
      </x:c>
      <x:c r="I995" s="38" t="n">
        <x:v>18.545</x:v>
      </x:c>
      <x:c r="J995" s="38" t="n">
        <x:v>5.532</x:v>
      </x:c>
      <x:c r="K995" s="38" t="n">
        <x:v>0.617</x:v>
      </x:c>
      <x:c r="L995" s="38" t="n">
        <x:f>SUM(G995:K995)</x:f>
        <x:v>396.33000000000004</x:v>
      </x:c>
      <x:c r="M995" s="38" t="n">
        <x:v>486.18</x:v>
      </x:c>
      <x:c r="N995" s="38" t="n">
        <x:v>593.49</x:v>
      </x:c>
      <x:c r="O995" s="38" t="n">
        <x:v>463.97</x:v>
      </x:c>
      <x:c r="P995" s="38" t="n">
        <x:v>400</x:v>
      </x:c>
      <x:c r="Q995" s="38" t="n">
        <x:v>19.88</x:v>
      </x:c>
      <x:c r="R995" s="38" t="n">
        <x:v>43.7475</x:v>
      </x:c>
      <x:c r="S995" s="38" t="n">
        <x:v>76.83</x:v>
      </x:c>
      <x:c r="T995" s="40" t="n">
        <x:v>19.64</x:v>
      </x:c>
      <x:c r="U995" s="40" t="n">
        <x:v>0.83</x:v>
      </x:c>
      <x:c r="V995" s="38" t="n">
        <x:f>L995*(1-T995/100)*(1-U995/100)</x:f>
        <x:v>315.8473144596</x:v>
      </x:c>
      <x:c r="W995" s="38" t="n">
        <x:f>G995*N995</x:f>
        <x:v>188271.64572</x:v>
      </x:c>
      <x:c r="X995" s="38" t="n">
        <x:f>H995*O995</x:f>
        <x:v>25243.679760000003</x:v>
      </x:c>
      <x:c r="Y995" s="38" t="n">
        <x:f>I995*P995</x:f>
        <x:v>7418.000000000001</x:v>
      </x:c>
      <x:c r="Z995" s="38" t="n">
        <x:f>J995*Q995+K995*P995</x:f>
        <x:v>356.77616</x:v>
      </x:c>
      <x:c r="AA995" s="38" t="n">
        <x:f>M995*R995</x:f>
        <x:v>21269.15955</x:v>
      </x:c>
      <x:c r="AB995" s="38" t="n">
        <x:f>SUM(W995:AA995)</x:f>
        <x:v>242559.26119000002</x:v>
      </x:c>
      <x:c r="AC995" s="38" t="n">
        <x:v>15.46</x:v>
      </x:c>
      <x:c r="AD995" s="38" t="n">
        <x:v>174.33</x:v>
      </x:c>
      <x:c r="AE995" s="38" t="n">
        <x:v>126.74</x:v>
      </x:c>
      <x:c r="AF995" s="38" t="n">
        <x:v>4.8148</x:v>
      </x:c>
      <x:c r="AG995" s="38" t="n">
        <x:v>5.3</x:v>
      </x:c>
      <x:c r="AH995" s="38" t="n">
        <x:f>IF(E995="Fason",L995*S995,0)</x:f>
        <x:v>30450.033900000002</x:v>
      </x:c>
      <x:c r="AI995" s="38" t="n">
        <x:f>IF(E995="Kurum içi",AC995*AD995+AE995*AF995+AB995*12%,0)</x:f>
        <x:v>0</x:v>
      </x:c>
      <x:c r="AJ995" s="38" t="n">
        <x:f>V995*AG995</x:f>
        <x:v>1673.99076663588</x:v>
      </x:c>
      <x:c r="AK995" s="38" t="n">
        <x:f>AB995*2%</x:f>
        <x:v>4851.1852238</x:v>
      </x:c>
      <x:c r="AL995" s="38" t="n">
        <x:f>AB995+AH995+AI995+AJ995+AK995</x:f>
        <x:v>279534.4710804359</x:v>
      </x:c>
      <x:c r="AM995" s="38" t="n">
        <x:f>AL995/V995</x:f>
        <x:v>885.030387415851</x:v>
      </x:c>
      <x:c r="AN995" s="40" t="n">
        <x:f>(W995+X995)/AL995*100</x:f>
        <x:v>76.3824671264107</x:v>
      </x:c>
      <x:c r="AO995" s="28" t="str">
        <x:v>R01-R20; ilgili satırdaki bölgesel fiyat ve maliyet varsayımları</x:v>
      </x:c>
      <x:c r="AP995" s="28" t="str">
        <x:v>Girdi miktarları, alım fiyatı değişimi, fason bedeli ve parti sonucu simüle edilmiştir; işletme kaydı değildir.</x:v>
      </x:c>
    </x:row>
    <x:row r="996" ht="22" customHeight="1">
      <x:c r="A996" t="str">
        <x:v>SUC-0995</x:v>
      </x:c>
      <x:c r="B996" s="36" t="n">
        <x:v>46270</x:v>
      </x:c>
      <x:c r="C996" t="str">
        <x:v>Karadeniz</x:v>
      </x:c>
      <x:c r="D996" t="str">
        <x:v>MEB_STANDART</x:v>
      </x:c>
      <x:c r="E996" t="str">
        <x:v>Kurum içi</x:v>
      </x:c>
      <x:c r="F996" s="42" t="str">
        <x:v>SENTETİK/SİMÜLE — gerçek parti kaydı değildir</x:v>
      </x:c>
      <x:c r="G996" s="38" t="n">
        <x:v>256.76</x:v>
      </x:c>
      <x:c r="H996" s="38" t="n">
        <x:v>78.357</x:v>
      </x:c>
      <x:c r="I996" s="38" t="n">
        <x:v>16.413</x:v>
      </x:c>
      <x:c r="J996" s="38" t="n">
        <x:v>9.432</x:v>
      </x:c>
      <x:c r="K996" s="38" t="n">
        <x:v>3.84</x:v>
      </x:c>
      <x:c r="L996" s="38" t="n">
        <x:f>SUM(G996:K996)</x:f>
        <x:v>364.80199999999996</x:v>
      </x:c>
      <x:c r="M996" s="38" t="n">
        <x:v>476.841</x:v>
      </x:c>
      <x:c r="N996" s="38" t="n">
        <x:v>612.61</x:v>
      </x:c>
      <x:c r="O996" s="38" t="n">
        <x:v>448.21</x:v>
      </x:c>
      <x:c r="P996" s="38" t="n">
        <x:v>550</x:v>
      </x:c>
      <x:c r="Q996" s="38" t="n">
        <x:v>19.88</x:v>
      </x:c>
      <x:c r="R996" s="38" t="n">
        <x:v>43.7475</x:v>
      </x:c>
      <x:c r="S996" s="38" t="n">
        <x:v>94.2</x:v>
      </x:c>
      <x:c r="T996" s="40" t="n">
        <x:v>17.36</x:v>
      </x:c>
      <x:c r="U996" s="40" t="n">
        <x:v>0.5</x:v>
      </x:c>
      <x:c r="V996" s="38" t="n">
        <x:f>L996*(1-T996/100)*(1-U996/100)</x:f>
        <x:v>299.96501093599994</x:v>
      </x:c>
      <x:c r="W996" s="38" t="n">
        <x:f>G996*N996</x:f>
        <x:v>157293.7436</x:v>
      </x:c>
      <x:c r="X996" s="38" t="n">
        <x:f>H996*O996</x:f>
        <x:v>35120.39097</x:v>
      </x:c>
      <x:c r="Y996" s="38" t="n">
        <x:f>I996*P996</x:f>
        <x:v>9027.15</x:v>
      </x:c>
      <x:c r="Z996" s="38" t="n">
        <x:f>J996*Q996+K996*P996</x:f>
        <x:v>2299.50816</x:v>
      </x:c>
      <x:c r="AA996" s="38" t="n">
        <x:f>M996*R996</x:f>
        <x:v>20860.6016475</x:v>
      </x:c>
      <x:c r="AB996" s="38" t="n">
        <x:f>SUM(W996:AA996)</x:f>
        <x:v>224601.3943775</x:v>
      </x:c>
      <x:c r="AC996" s="38" t="n">
        <x:v>20.67</x:v>
      </x:c>
      <x:c r="AD996" s="38" t="n">
        <x:v>174.33</x:v>
      </x:c>
      <x:c r="AE996" s="38" t="n">
        <x:v>161.49</x:v>
      </x:c>
      <x:c r="AF996" s="38" t="n">
        <x:v>4.8148</x:v>
      </x:c>
      <x:c r="AG996" s="38" t="n">
        <x:v>5.6</x:v>
      </x:c>
      <x:c r="AH996" s="38" t="n">
        <x:f>IF(E996="Fason",L996*S996,0)</x:f>
        <x:v>0</x:v>
      </x:c>
      <x:c r="AI996" s="38" t="n">
        <x:f>IF(E996="Kurum içi",AC996*AD996+AE996*AF996+AB996*12%,0)</x:f>
        <x:v>31333.110477299997</x:v>
      </x:c>
      <x:c r="AJ996" s="38" t="n">
        <x:f>V996*AG996</x:f>
        <x:v>1679.8040612415996</x:v>
      </x:c>
      <x:c r="AK996" s="38" t="n">
        <x:f>AB996*2%</x:f>
        <x:v>4492.02788755</x:v>
      </x:c>
      <x:c r="AL996" s="38" t="n">
        <x:f>AB996+AH996+AI996+AJ996+AK996</x:f>
        <x:v>262106.3368035916</x:v>
      </x:c>
      <x:c r="AM996" s="38" t="n">
        <x:f>AL996/V996</x:f>
        <x:v>873.7896996243812</x:v>
      </x:c>
      <x:c r="AN996" s="40" t="n">
        <x:f>(W996+X996)/AL996*100</x:f>
        <x:v>73.41071448958702</x:v>
      </x:c>
      <x:c r="AO996" s="28" t="str">
        <x:v>R01-R20; ilgili satırdaki bölgesel fiyat ve maliyet varsayımları</x:v>
      </x:c>
      <x:c r="AP996" s="28" t="str">
        <x:v>Girdi miktarları, alım fiyatı değişimi, fason bedeli ve parti sonucu simüle edilmiştir; işletme kaydı değildir.</x:v>
      </x:c>
    </x:row>
    <x:row r="997" ht="22" customHeight="1">
      <x:c r="A997" t="str">
        <x:v>SUC-0996</x:v>
      </x:c>
      <x:c r="B997" s="36" t="n">
        <x:v>46275</x:v>
      </x:c>
      <x:c r="C997" t="str">
        <x:v>Akdeniz</x:v>
      </x:c>
      <x:c r="D997" t="str">
        <x:v>MEB_STANDART</x:v>
      </x:c>
      <x:c r="E997" t="str">
        <x:v>Kurum içi</x:v>
      </x:c>
      <x:c r="F997" s="42" t="str">
        <x:v>SENTETİK/SİMÜLE — gerçek parti kaydı değildir</x:v>
      </x:c>
      <x:c r="G997" s="38" t="n">
        <x:v>238.655</x:v>
      </x:c>
      <x:c r="H997" s="38" t="n">
        <x:v>77.747</x:v>
      </x:c>
      <x:c r="I997" s="38" t="n">
        <x:v>16.165</x:v>
      </x:c>
      <x:c r="J997" s="38" t="n">
        <x:v>8.788</x:v>
      </x:c>
      <x:c r="K997" s="38" t="n">
        <x:v>3.274</x:v>
      </x:c>
      <x:c r="L997" s="38" t="n">
        <x:f>SUM(G997:K997)</x:f>
        <x:v>344.629</x:v>
      </x:c>
      <x:c r="M997" s="38" t="n">
        <x:v>430.83</x:v>
      </x:c>
      <x:c r="N997" s="38" t="n">
        <x:v>587.87</x:v>
      </x:c>
      <x:c r="O997" s="38" t="n">
        <x:v>430.74</x:v>
      </x:c>
      <x:c r="P997" s="38" t="n">
        <x:v>669.9</x:v>
      </x:c>
      <x:c r="Q997" s="38" t="n">
        <x:v>19.88</x:v>
      </x:c>
      <x:c r="R997" s="38" t="n">
        <x:v>43.7475</x:v>
      </x:c>
      <x:c r="S997" s="38" t="n">
        <x:v>124.66</x:v>
      </x:c>
      <x:c r="T997" s="40" t="n">
        <x:v>22.58</x:v>
      </x:c>
      <x:c r="U997" s="40" t="n">
        <x:v>0.54</x:v>
      </x:c>
      <x:c r="V997" s="38" t="n">
        <x:f>L997*(1-T997/100)*(1-U997/100)</x:f>
        <x:v>265.37098823228007</x:v>
      </x:c>
      <x:c r="W997" s="38" t="n">
        <x:f>G997*N997</x:f>
        <x:v>140298.11485</x:v>
      </x:c>
      <x:c r="X997" s="38" t="n">
        <x:f>H997*O997</x:f>
        <x:v>33488.74278</x:v>
      </x:c>
      <x:c r="Y997" s="38" t="n">
        <x:f>I997*P997</x:f>
        <x:v>10828.9335</x:v>
      </x:c>
      <x:c r="Z997" s="38" t="n">
        <x:f>J997*Q997+K997*P997</x:f>
        <x:v>2367.95804</x:v>
      </x:c>
      <x:c r="AA997" s="38" t="n">
        <x:f>M997*R997</x:f>
        <x:v>18847.735425</x:v>
      </x:c>
      <x:c r="AB997" s="38" t="n">
        <x:f>SUM(W997:AA997)</x:f>
        <x:v>205831.48459500002</x:v>
      </x:c>
      <x:c r="AC997" s="38" t="n">
        <x:v>22.87</x:v>
      </x:c>
      <x:c r="AD997" s="38" t="n">
        <x:v>174.33</x:v>
      </x:c>
      <x:c r="AE997" s="38" t="n">
        <x:v>162.76</x:v>
      </x:c>
      <x:c r="AF997" s="38" t="n">
        <x:v>4.8148</x:v>
      </x:c>
      <x:c r="AG997" s="38" t="n">
        <x:v>5.11</x:v>
      </x:c>
      <x:c r="AH997" s="38" t="n">
        <x:f>IF(E997="Fason",L997*S997,0)</x:f>
        <x:v>0</x:v>
      </x:c>
      <x:c r="AI997" s="38" t="n">
        <x:f>IF(E997="Kurum içi",AC997*AD997+AE997*AF997+AB997*12%,0)</x:f>
        <x:v>29470.3620994</x:v>
      </x:c>
      <x:c r="AJ997" s="38" t="n">
        <x:f>V997*AG997</x:f>
        <x:v>1356.0457498669512</x:v>
      </x:c>
      <x:c r="AK997" s="38" t="n">
        <x:f>AB997*2%</x:f>
        <x:v>4116.629691900001</x:v>
      </x:c>
      <x:c r="AL997" s="38" t="n">
        <x:f>AB997+AH997+AI997+AJ997+AK997</x:f>
        <x:v>240774.52213616695</x:v>
      </x:c>
      <x:c r="AM997" s="38" t="n">
        <x:f>AL997/V997</x:f>
        <x:v>907.312904624737</x:v>
      </x:c>
      <x:c r="AN997" s="40" t="n">
        <x:f>(W997+X997)/AL997*100</x:f>
        <x:v>72.17825876598233</x:v>
      </x:c>
      <x:c r="AO997" s="28" t="str">
        <x:v>R01-R20; ilgili satırdaki bölgesel fiyat ve maliyet varsayımları</x:v>
      </x:c>
      <x:c r="AP997" s="28" t="str">
        <x:v>Girdi miktarları, alım fiyatı değişimi, fason bedeli ve parti sonucu simüle edilmiştir; işletme kaydı değildir.</x:v>
      </x:c>
    </x:row>
    <x:row r="998" ht="22" customHeight="1">
      <x:c r="A998" t="str">
        <x:v>SUC-0997</x:v>
      </x:c>
      <x:c r="B998" s="36" t="n">
        <x:v>46312</x:v>
      </x:c>
      <x:c r="C998" t="str">
        <x:v>İç Anadolu</x:v>
      </x:c>
      <x:c r="D998" t="str">
        <x:v>ERZURUM_CI</x:v>
      </x:c>
      <x:c r="E998" t="str">
        <x:v>Fason</x:v>
      </x:c>
      <x:c r="F998" s="42" t="str">
        <x:v>SENTETİK/SİMÜLE — gerçek parti kaydı değildir</x:v>
      </x:c>
      <x:c r="G998" s="38" t="n">
        <x:v>247.833</x:v>
      </x:c>
      <x:c r="H998" s="38" t="n">
        <x:v>45.817</x:v>
      </x:c>
      <x:c r="I998" s="38" t="n">
        <x:v>14.172</x:v>
      </x:c>
      <x:c r="J998" s="38" t="n">
        <x:v>5.338</x:v>
      </x:c>
      <x:c r="K998" s="38" t="n">
        <x:v>0.031</x:v>
      </x:c>
      <x:c r="L998" s="38" t="n">
        <x:f>SUM(G998:K998)</x:f>
        <x:v>313.19100000000003</x:v>
      </x:c>
      <x:c r="M998" s="38" t="n">
        <x:v>368.274</x:v>
      </x:c>
      <x:c r="N998" s="38" t="n">
        <x:v>587.89</x:v>
      </x:c>
      <x:c r="O998" s="38" t="n">
        <x:v>464.79</x:v>
      </x:c>
      <x:c r="P998" s="38" t="n">
        <x:v>400</x:v>
      </x:c>
      <x:c r="Q998" s="38" t="n">
        <x:v>19.88</x:v>
      </x:c>
      <x:c r="R998" s="38" t="n">
        <x:v>43.7475</x:v>
      </x:c>
      <x:c r="S998" s="38" t="n">
        <x:v>92.19</x:v>
      </x:c>
      <x:c r="T998" s="40" t="n">
        <x:v>23.85</x:v>
      </x:c>
      <x:c r="U998" s="40" t="n">
        <x:v>1.75</x:v>
      </x:c>
      <x:c r="V998" s="38" t="n">
        <x:f>L998*(1-T998/100)*(1-U998/100)</x:f>
        <x:v>234.32128493625</x:v>
      </x:c>
      <x:c r="W998" s="38" t="n">
        <x:f>G998*N998</x:f>
        <x:v>145698.54237</x:v>
      </x:c>
      <x:c r="X998" s="38" t="n">
        <x:f>H998*O998</x:f>
        <x:v>21295.28343</x:v>
      </x:c>
      <x:c r="Y998" s="38" t="n">
        <x:f>I998*P998</x:f>
        <x:v>5668.8</x:v>
      </x:c>
      <x:c r="Z998" s="38" t="n">
        <x:f>J998*Q998+K998*P998</x:f>
        <x:v>118.51944</x:v>
      </x:c>
      <x:c r="AA998" s="38" t="n">
        <x:f>M998*R998</x:f>
        <x:v>16111.066815</x:v>
      </x:c>
      <x:c r="AB998" s="38" t="n">
        <x:f>SUM(W998:AA998)</x:f>
        <x:v>188892.212055</x:v>
      </x:c>
      <x:c r="AC998" s="38" t="n">
        <x:v>20.27</x:v>
      </x:c>
      <x:c r="AD998" s="38" t="n">
        <x:v>174.33</x:v>
      </x:c>
      <x:c r="AE998" s="38" t="n">
        <x:v>70.58</x:v>
      </x:c>
      <x:c r="AF998" s="38" t="n">
        <x:v>4.8148</x:v>
      </x:c>
      <x:c r="AG998" s="38" t="n">
        <x:v>5.23</x:v>
      </x:c>
      <x:c r="AH998" s="38" t="n">
        <x:f>IF(E998="Fason",L998*S998,0)</x:f>
        <x:v>28873.07829</x:v>
      </x:c>
      <x:c r="AI998" s="38" t="n">
        <x:f>IF(E998="Kurum içi",AC998*AD998+AE998*AF998+AB998*12%,0)</x:f>
        <x:v>0</x:v>
      </x:c>
      <x:c r="AJ998" s="38" t="n">
        <x:f>V998*AG998</x:f>
        <x:v>1225.5003202165876</x:v>
      </x:c>
      <x:c r="AK998" s="38" t="n">
        <x:f>AB998*2%</x:f>
        <x:v>3777.8442411</x:v>
      </x:c>
      <x:c r="AL998" s="38" t="n">
        <x:f>AB998+AH998+AI998+AJ998+AK998</x:f>
        <x:v>222768.6349063166</x:v>
      </x:c>
      <x:c r="AM998" s="38" t="n">
        <x:f>AL998/V998</x:f>
        <x:v>950.6973938237132</x:v>
      </x:c>
      <x:c r="AN998" s="40" t="n">
        <x:f>(W998+X998)/AL998*100</x:f>
        <x:v>74.9628985562657</x:v>
      </x:c>
      <x:c r="AO998" s="28" t="str">
        <x:v>R01-R20; ilgili satırdaki bölgesel fiyat ve maliyet varsayımları</x:v>
      </x:c>
      <x:c r="AP998" s="28" t="str">
        <x:v>Girdi miktarları, alım fiyatı değişimi, fason bedeli ve parti sonucu simüle edilmiştir; işletme kaydı değildir.</x:v>
      </x:c>
    </x:row>
    <x:row r="999" ht="22" customHeight="1">
      <x:c r="A999" t="str">
        <x:v>SUC-0998</x:v>
      </x:c>
      <x:c r="B999" s="36" t="n">
        <x:v>46276</x:v>
      </x:c>
      <x:c r="C999" t="str">
        <x:v>İç Anadolu</x:v>
      </x:c>
      <x:c r="D999" t="str">
        <x:v>ERZURUM_CI</x:v>
      </x:c>
      <x:c r="E999" t="str">
        <x:v>Kurum içi</x:v>
      </x:c>
      <x:c r="F999" s="42" t="str">
        <x:v>SENTETİK/SİMÜLE — gerçek parti kaydı değildir</x:v>
      </x:c>
      <x:c r="G999" s="38" t="n">
        <x:v>394.515</x:v>
      </x:c>
      <x:c r="H999" s="38" t="n">
        <x:v>71.923</x:v>
      </x:c>
      <x:c r="I999" s="38" t="n">
        <x:v>22.006</x:v>
      </x:c>
      <x:c r="J999" s="38" t="n">
        <x:v>7.331</x:v>
      </x:c>
      <x:c r="K999" s="38" t="n">
        <x:v>0.379</x:v>
      </x:c>
      <x:c r="L999" s="38" t="n">
        <x:f>SUM(G999:K999)</x:f>
        <x:v>496.154</x:v>
      </x:c>
      <x:c r="M999" s="38" t="n">
        <x:v>664.861</x:v>
      </x:c>
      <x:c r="N999" s="38" t="n">
        <x:v>587.57</x:v>
      </x:c>
      <x:c r="O999" s="38" t="n">
        <x:v>451.14</x:v>
      </x:c>
      <x:c r="P999" s="38" t="n">
        <x:v>669.9</x:v>
      </x:c>
      <x:c r="Q999" s="38" t="n">
        <x:v>19.88</x:v>
      </x:c>
      <x:c r="R999" s="38" t="n">
        <x:v>43.7475</x:v>
      </x:c>
      <x:c r="S999" s="38" t="n">
        <x:v>93.69</x:v>
      </x:c>
      <x:c r="T999" s="40" t="n">
        <x:v>24.78</x:v>
      </x:c>
      <x:c r="U999" s="40" t="n">
        <x:v>1.06</x:v>
      </x:c>
      <x:c r="V999" s="38" t="n">
        <x:f>L999*(1-T999/100)*(1-U999/100)</x:f>
        <x:v>369.25104418871996</x:v>
      </x:c>
      <x:c r="W999" s="38" t="n">
        <x:f>G999*N999</x:f>
        <x:v>231805.17855</x:v>
      </x:c>
      <x:c r="X999" s="38" t="n">
        <x:f>H999*O999</x:f>
        <x:v>32447.34222</x:v>
      </x:c>
      <x:c r="Y999" s="38" t="n">
        <x:f>I999*P999</x:f>
        <x:v>14741.8194</x:v>
      </x:c>
      <x:c r="Z999" s="38" t="n">
        <x:f>J999*Q999+K999*P999</x:f>
        <x:v>399.63238</x:v>
      </x:c>
      <x:c r="AA999" s="38" t="n">
        <x:f>M999*R999</x:f>
        <x:v>29086.0065975</x:v>
      </x:c>
      <x:c r="AB999" s="38" t="n">
        <x:f>SUM(W999:AA999)</x:f>
        <x:v>308479.9791475</x:v>
      </x:c>
      <x:c r="AC999" s="38" t="n">
        <x:v>32.3</x:v>
      </x:c>
      <x:c r="AD999" s="38" t="n">
        <x:v>174.33</x:v>
      </x:c>
      <x:c r="AE999" s="38" t="n">
        <x:v>193.23</x:v>
      </x:c>
      <x:c r="AF999" s="38" t="n">
        <x:v>4.8148</x:v>
      </x:c>
      <x:c r="AG999" s="38" t="n">
        <x:v>5.75</x:v>
      </x:c>
      <x:c r="AH999" s="38" t="n">
        <x:f>IF(E999="Fason",L999*S999,0)</x:f>
        <x:v>0</x:v>
      </x:c>
      <x:c r="AI999" s="38" t="n">
        <x:f>IF(E999="Kurum içi",AC999*AD999+AE999*AF999+AB999*12%,0)</x:f>
        <x:v>43578.8203017</x:v>
      </x:c>
      <x:c r="AJ999" s="38" t="n">
        <x:f>V999*AG999</x:f>
        <x:v>2123.19350408514</x:v>
      </x:c>
      <x:c r="AK999" s="38" t="n">
        <x:f>AB999*2%</x:f>
        <x:v>6169.599582950001</x:v>
      </x:c>
      <x:c r="AL999" s="38" t="n">
        <x:f>AB999+AH999+AI999+AJ999+AK999</x:f>
        <x:v>360351.5925362351</x:v>
      </x:c>
      <x:c r="AM999" s="38" t="n">
        <x:f>AL999/V999</x:f>
        <x:v>975.8986418791643</x:v>
      </x:c>
      <x:c r="AN999" s="40" t="n">
        <x:f>(W999+X999)/AL999*100</x:f>
        <x:v>73.33185873000633</x:v>
      </x:c>
      <x:c r="AO999" s="28" t="str">
        <x:v>R01-R20; ilgili satırdaki bölgesel fiyat ve maliyet varsayımları</x:v>
      </x:c>
      <x:c r="AP999" s="28" t="str">
        <x:v>Girdi miktarları, alım fiyatı değişimi, fason bedeli ve parti sonucu simüle edilmiştir; işletme kaydı değildir.</x:v>
      </x:c>
    </x:row>
    <x:row r="1000" ht="22" customHeight="1">
      <x:c r="A1000" t="str">
        <x:v>SUC-0999</x:v>
      </x:c>
      <x:c r="B1000" s="36" t="n">
        <x:v>46303</x:v>
      </x:c>
      <x:c r="C1000" t="str">
        <x:v>Marmara</x:v>
      </x:c>
      <x:c r="D1000" t="str">
        <x:v>MEB_STANDART</x:v>
      </x:c>
      <x:c r="E1000" t="str">
        <x:v>Fason</x:v>
      </x:c>
      <x:c r="F1000" s="42" t="str">
        <x:v>SENTETİK/SİMÜLE — gerçek parti kaydı değildir</x:v>
      </x:c>
      <x:c r="G1000" s="38" t="n">
        <x:v>175.405</x:v>
      </x:c>
      <x:c r="H1000" s="38" t="n">
        <x:v>56.22</x:v>
      </x:c>
      <x:c r="I1000" s="38" t="n">
        <x:v>11.847</x:v>
      </x:c>
      <x:c r="J1000" s="38" t="n">
        <x:v>6.327</x:v>
      </x:c>
      <x:c r="K1000" s="38" t="n">
        <x:v>2.579</x:v>
      </x:c>
      <x:c r="L1000" s="38" t="n">
        <x:f>SUM(G1000:K1000)</x:f>
        <x:v>252.37800000000001</x:v>
      </x:c>
      <x:c r="M1000" s="38" t="n">
        <x:v>294.665</x:v>
      </x:c>
      <x:c r="N1000" s="38" t="n">
        <x:v>620.39</x:v>
      </x:c>
      <x:c r="O1000" s="38" t="n">
        <x:v>469.51</x:v>
      </x:c>
      <x:c r="P1000" s="38" t="n">
        <x:v>400</x:v>
      </x:c>
      <x:c r="Q1000" s="38" t="n">
        <x:v>19.88</x:v>
      </x:c>
      <x:c r="R1000" s="38" t="n">
        <x:v>43.7475</x:v>
      </x:c>
      <x:c r="S1000" s="38" t="n">
        <x:v>110.49</x:v>
      </x:c>
      <x:c r="T1000" s="40" t="n">
        <x:v>17.7</x:v>
      </x:c>
      <x:c r="U1000" s="40" t="n">
        <x:v>0.57</x:v>
      </x:c>
      <x:c r="V1000" s="38" t="n">
        <x:f>L1000*(1-T1000/100)*(1-U1000/100)</x:f>
        <x:v>206.5231635642</x:v>
      </x:c>
      <x:c r="W1000" s="38" t="n">
        <x:f>G1000*N1000</x:f>
        <x:v>108819.50795</x:v>
      </x:c>
      <x:c r="X1000" s="38" t="n">
        <x:f>H1000*O1000</x:f>
        <x:v>26395.852199999998</x:v>
      </x:c>
      <x:c r="Y1000" s="38" t="n">
        <x:f>I1000*P1000</x:f>
        <x:v>4738.8</x:v>
      </x:c>
      <x:c r="Z1000" s="38" t="n">
        <x:f>J1000*Q1000+K1000*P1000</x:f>
        <x:v>1157.38076</x:v>
      </x:c>
      <x:c r="AA1000" s="38" t="n">
        <x:f>M1000*R1000</x:f>
        <x:v>12890.857087500002</x:v>
      </x:c>
      <x:c r="AB1000" s="38" t="n">
        <x:f>SUM(W1000:AA1000)</x:f>
        <x:v>154002.3979975</x:v>
      </x:c>
      <x:c r="AC1000" s="38" t="n">
        <x:v>14.17</x:v>
      </x:c>
      <x:c r="AD1000" s="38" t="n">
        <x:v>174.33</x:v>
      </x:c>
      <x:c r="AE1000" s="38" t="n">
        <x:v>101.14</x:v>
      </x:c>
      <x:c r="AF1000" s="38" t="n">
        <x:v>4.8148</x:v>
      </x:c>
      <x:c r="AG1000" s="38" t="n">
        <x:v>5.19</x:v>
      </x:c>
      <x:c r="AH1000" s="38" t="n">
        <x:f>IF(E1000="Fason",L1000*S1000,0)</x:f>
        <x:v>27885.24522</x:v>
      </x:c>
      <x:c r="AI1000" s="38" t="n">
        <x:f>IF(E1000="Kurum içi",AC1000*AD1000+AE1000*AF1000+AB1000*12%,0)</x:f>
        <x:v>0</x:v>
      </x:c>
      <x:c r="AJ1000" s="38" t="n">
        <x:f>V1000*AG1000</x:f>
        <x:v>1071.855218898198</x:v>
      </x:c>
      <x:c r="AK1000" s="38" t="n">
        <x:f>AB1000*2%</x:f>
        <x:v>3080.04795995</x:v>
      </x:c>
      <x:c r="AL1000" s="38" t="n">
        <x:f>AB1000+AH1000+AI1000+AJ1000+AK1000</x:f>
        <x:v>186039.5463963482</x:v>
      </x:c>
      <x:c r="AM1000" s="38" t="n">
        <x:f>AL1000/V1000</x:f>
        <x:v>900.8168535948064</x:v>
      </x:c>
      <x:c r="AN1000" s="40" t="n">
        <x:f>(W1000+X1000)/AL1000*100</x:f>
        <x:v>72.68097711974112</x:v>
      </x:c>
      <x:c r="AO1000" s="28" t="str">
        <x:v>R01-R20; ilgili satırdaki bölgesel fiyat ve maliyet varsayımları</x:v>
      </x:c>
      <x:c r="AP1000" s="28" t="str">
        <x:v>Girdi miktarları, alım fiyatı değişimi, fason bedeli ve parti sonucu simüle edilmiştir; işletme kaydı değildir.</x:v>
      </x:c>
    </x:row>
    <x:row r="1001" ht="22" customHeight="1">
      <x:c r="A1001" t="str">
        <x:v>SUC-1000</x:v>
      </x:c>
      <x:c r="B1001" s="36" t="n">
        <x:v>46274</x:v>
      </x:c>
      <x:c r="C1001" t="str">
        <x:v>Ege</x:v>
      </x:c>
      <x:c r="D1001" t="str">
        <x:v>MEB_STANDART</x:v>
      </x:c>
      <x:c r="E1001" t="str">
        <x:v>Fason</x:v>
      </x:c>
      <x:c r="F1001" s="42" t="str">
        <x:v>SENTETİK/SİMÜLE — gerçek parti kaydı değildir</x:v>
      </x:c>
      <x:c r="G1001" s="38" t="n">
        <x:v>158.283</x:v>
      </x:c>
      <x:c r="H1001" s="38" t="n">
        <x:v>50.534</x:v>
      </x:c>
      <x:c r="I1001" s="38" t="n">
        <x:v>9.605</x:v>
      </x:c>
      <x:c r="J1001" s="38" t="n">
        <x:v>5.214</x:v>
      </x:c>
      <x:c r="K1001" s="38" t="n">
        <x:v>1.961</x:v>
      </x:c>
      <x:c r="L1001" s="38" t="n">
        <x:f>SUM(G1001:K1001)</x:f>
        <x:v>225.59699999999998</x:v>
      </x:c>
      <x:c r="M1001" s="38" t="n">
        <x:v>268.6</x:v>
      </x:c>
      <x:c r="N1001" s="38" t="n">
        <x:v>614.42</x:v>
      </x:c>
      <x:c r="O1001" s="38" t="n">
        <x:v>468.8</x:v>
      </x:c>
      <x:c r="P1001" s="38" t="n">
        <x:v>669.9</x:v>
      </x:c>
      <x:c r="Q1001" s="38" t="n">
        <x:v>19.88</x:v>
      </x:c>
      <x:c r="R1001" s="38" t="n">
        <x:v>43.7475</x:v>
      </x:c>
      <x:c r="S1001" s="38" t="n">
        <x:v>115.37</x:v>
      </x:c>
      <x:c r="T1001" s="40" t="n">
        <x:v>19.03</x:v>
      </x:c>
      <x:c r="U1001" s="40" t="n">
        <x:v>1.78</x:v>
      </x:c>
      <x:c r="V1001" s="38" t="n">
        <x:f>L1001*(1-T1001/100)*(1-U1001/100)</x:f>
        <x:v>179.41443804197996</x:v>
      </x:c>
      <x:c r="W1001" s="38" t="n">
        <x:f>G1001*N1001</x:f>
        <x:v>97252.24085999999</x:v>
      </x:c>
      <x:c r="X1001" s="38" t="n">
        <x:f>H1001*O1001</x:f>
        <x:v>23690.3392</x:v>
      </x:c>
      <x:c r="Y1001" s="38" t="n">
        <x:f>I1001*P1001</x:f>
        <x:v>6434.3895</x:v>
      </x:c>
      <x:c r="Z1001" s="38" t="n">
        <x:f>J1001*Q1001+K1001*P1001</x:f>
        <x:v>1417.32822</x:v>
      </x:c>
      <x:c r="AA1001" s="38" t="n">
        <x:f>M1001*R1001</x:f>
        <x:v>11750.578500000001</x:v>
      </x:c>
      <x:c r="AB1001" s="38" t="n">
        <x:f>SUM(W1001:AA1001)</x:f>
        <x:v>140544.87628</x:v>
      </x:c>
      <x:c r="AC1001" s="38" t="n">
        <x:v>11.06</x:v>
      </x:c>
      <x:c r="AD1001" s="38" t="n">
        <x:v>174.33</x:v>
      </x:c>
      <x:c r="AE1001" s="38" t="n">
        <x:v>67.46</x:v>
      </x:c>
      <x:c r="AF1001" s="38" t="n">
        <x:v>4.8148</x:v>
      </x:c>
      <x:c r="AG1001" s="38" t="n">
        <x:v>5.31</x:v>
      </x:c>
      <x:c r="AH1001" s="38" t="n">
        <x:f>IF(E1001="Fason",L1001*S1001,0)</x:f>
        <x:v>26027.12589</x:v>
      </x:c>
      <x:c r="AI1001" s="38" t="n">
        <x:f>IF(E1001="Kurum içi",AC1001*AD1001+AE1001*AF1001+AB1001*12%,0)</x:f>
        <x:v>0</x:v>
      </x:c>
      <x:c r="AJ1001" s="38" t="n">
        <x:f>V1001*AG1001</x:f>
        <x:v>952.6906660029135</x:v>
      </x:c>
      <x:c r="AK1001" s="38" t="n">
        <x:f>AB1001*2%</x:f>
        <x:v>2810.8975256</x:v>
      </x:c>
      <x:c r="AL1001" s="38" t="n">
        <x:f>AB1001+AH1001+AI1001+AJ1001+AK1001</x:f>
        <x:v>170335.59036160292</x:v>
      </x:c>
      <x:c r="AM1001" s="38" t="n">
        <x:f>AL1001/V1001</x:f>
        <x:v>949.3973407075927</x:v>
      </x:c>
      <x:c r="AN1001" s="40" t="n">
        <x:f>(W1001+X1001)/AL1001*100</x:f>
        <x:v>71.00253082943662</x:v>
      </x:c>
      <x:c r="AO1001" s="28" t="str">
        <x:v>R01-R20; ilgili satırdaki bölgesel fiyat ve maliyet varsayımları</x:v>
      </x:c>
      <x:c r="AP1001" s="28" t="str">
        <x:v>Girdi miktarları, alım fiyatı değişimi, fason bedeli ve parti sonucu simüle edilmiştir; işletme kaydı değildir.</x:v>
      </x:c>
    </x:row>
  </x:sheetData>
  <x:conditionalFormatting sqref="AL2:AL1001">
    <x:cfRule type="colorScale" priority="1">
      <x:colorScale>
        <x:cfvo type="min"/>
        <x:cfvo type="percentile" val="50"/>
        <x:cfvo type="max"/>
        <x:color rgb="FFD9EAD3"/>
        <x:color rgb="FFFFF2CC"/>
        <x:color rgb="FFF4CCCC"/>
      </x:colorScale>
    </x:cfRule>
  </x:conditionalFormatting>
  <x:pageMargins left="0.7" right="0.7" top="0.75" bottom="0.75" header="0.3" footer="0.3"/>
  <x:tableParts count="1">
    <x:tablePart xmlns:r="http://schemas.openxmlformats.org/officeDocument/2006/relationships" r:id="R999cf694d9be44a1"/>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65" hidden="0" customWidth="1"/>
    <x:col min="3" max="3" width="22" hidden="0" customWidth="1"/>
    <x:col min="4" max="4" width="70" hidden="0" customWidth="1"/>
    <x:col min="5" max="5" width="26" hidden="0" customWidth="1"/>
  </x:cols>
  <x:sheetData>
    <x:row r="1" ht="30" customHeight="1">
      <x:c r="A1" s="6" t="str">
        <x:v>Değişken</x:v>
      </x:c>
      <x:c r="B1" s="6" t="str">
        <x:v>Açıklama</x:v>
      </x:c>
      <x:c r="C1" s="6" t="str">
        <x:v>Veri tipi</x:v>
      </x:c>
      <x:c r="D1" s="6" t="str">
        <x:v>Kaynak / hesaplama</x:v>
      </x:c>
      <x:c r="E1" s="6" t="str">
        <x:v>Gerçeklik durumu</x:v>
      </x:c>
    </x:row>
    <x:row r="2" ht="34" customHeight="1">
      <x:c r="A2" s="28" t="str">
        <x:v>Et_girdi_kg</x:v>
      </x:c>
      <x:c r="B2" s="28" t="str">
        <x:v>Partiye giren dana eti miktarı</x:v>
      </x:c>
      <x:c r="C2" s="28" t="str">
        <x:v>Sayısal kg</x:v>
      </x:c>
      <x:c r="D2" s="28" t="str">
        <x:v>Reçete payı × simüle parti büyüklüğü</x:v>
      </x:c>
      <x:c r="E2" s="28" t="str">
        <x:v>Simüle</x:v>
      </x:c>
    </x:row>
    <x:row r="3" ht="34" customHeight="1">
      <x:c r="A3" s="28" t="str">
        <x:v>Kuyruk_yagi_girdi_kg</x:v>
      </x:c>
      <x:c r="B3" s="28" t="str">
        <x:v>Partiye giren kuyruk yağı miktarı</x:v>
      </x:c>
      <x:c r="C3" s="28" t="str">
        <x:v>Sayısal kg</x:v>
      </x:c>
      <x:c r="D3" s="28" t="str">
        <x:v>Reçete payı × simüle parti büyüklüğü</x:v>
      </x:c>
      <x:c r="E3" s="28" t="str">
        <x:v>Simüle</x:v>
      </x:c>
    </x:row>
    <x:row r="4" ht="34" customHeight="1">
      <x:c r="A4" s="28" t="str">
        <x:v>Baharat_girdi_kg</x:v>
      </x:c>
      <x:c r="B4" s="28" t="str">
        <x:v>Toplam sucuk baharatı/sarımsak miktarı</x:v>
      </x:c>
      <x:c r="C4" s="28" t="str">
        <x:v>Sayısal kg</x:v>
      </x:c>
      <x:c r="D4" s="28" t="str">
        <x:v>MEB/KUDAKA oranlarından türetilen reçete profili</x:v>
      </x:c>
      <x:c r="E4" s="28" t="str">
        <x:v>Simüle reçete miktarı</x:v>
      </x:c>
    </x:row>
    <x:row r="5" ht="34" customHeight="1">
      <x:c r="A5" s="28" t="str">
        <x:v>Kilif_metre</x:v>
      </x:c>
      <x:c r="B5" s="28" t="str">
        <x:v>Partide tüketildiği varsayılan kılıf uzunluğu</x:v>
      </x:c>
      <x:c r="C5" s="28" t="str">
        <x:v>Sayısal metre</x:v>
      </x:c>
      <x:c r="D5" s="28" t="str">
        <x:v>Kılıfın bildirilen 30–35 kg/40 m dolum kapasitesinden</x:v>
      </x:c>
      <x:c r="E5" s="28" t="str">
        <x:v>Simüle</x:v>
      </x:c>
    </x:row>
    <x:row r="6" ht="34" customHeight="1">
      <x:c r="A6" s="28" t="str">
        <x:v>Fason_birim_bedel_TL_kg_girdi</x:v>
      </x:c>
      <x:c r="B6" s="28" t="str">
        <x:v>Fason modelinde kg girdi başına varsayılan bedel</x:v>
      </x:c>
      <x:c r="C6" s="28" t="str">
        <x:v>TL/kg girdi</x:v>
      </x:c>
      <x:c r="D6" s="28" t="str">
        <x:v>65–125 TL/kg aralığı; teklif bulunamadığı için varsayım</x:v>
      </x:c>
      <x:c r="E6" s="28" t="str">
        <x:v>Simüle varsayım</x:v>
      </x:c>
    </x:row>
    <x:row r="7" ht="34" customHeight="1">
      <x:c r="A7" s="28" t="str">
        <x:v>Kuruma_kaybi_pct</x:v>
      </x:c>
      <x:c r="B7" s="28" t="str">
        <x:v>Olgunlaşma/kuruma aşamasındaki ağırlık kaybı</x:v>
      </x:c>
      <x:c r="C7" s="28" t="str">
        <x:v>%</x:v>
      </x:c>
      <x:c r="D7" s="28" t="str">
        <x:v>Deneysel literatür aralıkları içinde rastgele simülasyon</x:v>
      </x:c>
      <x:c r="E7" s="28" t="str">
        <x:v>Simüle; gerçek tartım değil</x:v>
      </x:c>
    </x:row>
    <x:row r="8" ht="34" customHeight="1">
      <x:c r="A8" s="28" t="str">
        <x:v>Net_sucuk_ciktisi_kg_simule</x:v>
      </x:c>
      <x:c r="B8" s="28" t="str">
        <x:v>Kuruma ve ayıklama firesinden sonra varsayılan net ürün</x:v>
      </x:c>
      <x:c r="C8" s="28" t="str">
        <x:v>Sayısal kg</x:v>
      </x:c>
      <x:c r="D8" s="28" t="str">
        <x:v>Karisim_girdi_toplam_kg × (1-kuruma kaybı) × (1-ayıklama firesi)</x:v>
      </x:c>
      <x:c r="E8" s="28" t="str">
        <x:v>Formülle hesaplanan sentetik değer</x:v>
      </x:c>
    </x:row>
    <x:row r="9" ht="34" customHeight="1">
      <x:c r="A9" s="28" t="str">
        <x:v>Direkt_malzeme_toplam_TL</x:v>
      </x:c>
      <x:c r="B9" s="28" t="str">
        <x:v>Et + yağ + baharat + tuz/diğer girdi + kılıf maliyeti</x:v>
      </x:c>
      <x:c r="C9" s="28" t="str">
        <x:v>TL</x:v>
      </x:c>
      <x:c r="D9" s="28" t="str">
        <x:v>Açık formül</x:v>
      </x:c>
      <x:c r="E9" s="28" t="str">
        <x:v>Kaynaklı birim fiyatlar + simüle miktarlar</x:v>
      </x:c>
    </x:row>
    <x:row r="10" ht="34" customHeight="1">
      <x:c r="A10" s="28" t="str">
        <x:v>Kurum_ici_isleme_TL</x:v>
      </x:c>
      <x:c r="B10" s="28" t="str">
        <x:v>Kurum içinde işçilik + enerji + %12 tesis payı</x:v>
      </x:c>
      <x:c r="C10" s="28" t="str">
        <x:v>TL</x:v>
      </x:c>
      <x:c r="D10" s="28" t="str">
        <x:v>İşçilik ve elektrik girdileri formülü; %12 genel tesis yükü varsayım</x:v>
      </x:c>
      <x:c r="E10" s="28" t="str">
        <x:v>Simüle varsayım</x:v>
      </x:c>
    </x:row>
    <x:row r="11" ht="34" customHeight="1">
      <x:c r="A11" s="28" t="str">
        <x:v>Fason_hizmet_TL</x:v>
      </x:c>
      <x:c r="B11" s="28" t="str">
        <x:v>Fason hizmet maliyeti</x:v>
      </x:c>
      <x:c r="C11" s="28" t="str">
        <x:v>TL</x:v>
      </x:c>
      <x:c r="D11" s="28" t="str">
        <x:v>Girdi kg × fason birim bedeli; sadece fason modelinde</x:v>
      </x:c>
      <x:c r="E11" s="28" t="str">
        <x:v>Simüle varsayım</x:v>
      </x:c>
    </x:row>
    <x:row r="12" ht="34" customHeight="1">
      <x:c r="A12" s="28" t="str">
        <x:v>EKP_TL_kg</x:v>
      </x:c>
      <x:c r="B12" s="28" t="str">
        <x:v>Net ürün başına hesaplanmış birim maliyet</x:v>
      </x:c>
      <x:c r="C12" s="28" t="str">
        <x:v>TL/kg</x:v>
      </x:c>
      <x:c r="D12" s="28" t="str">
        <x:v>Toplam parti maliyeti / net sucuk çıktısı</x:v>
      </x:c>
      <x:c r="E12" s="28" t="str">
        <x:v>Simüle hesaplama</x:v>
      </x:c>
    </x:row>
    <x:row r="13" ht="40" customHeight="1">
      <x:c r="A13" s="28" t="str">
        <x:v>Et_ve_yag_maliyet_payi_pct</x:v>
      </x:c>
      <x:c r="B13" s="28" t="str">
        <x:v>Et ve kuyruk yağı maliyetinin toplam parti maliyetine oranı</x:v>
      </x:c>
      <x:c r="C13" s="28" t="str">
        <x:v>%</x:v>
      </x:c>
      <x:c r="D13" s="28" t="str">
        <x:v>(Et maliyeti + kuyruk yağı maliyeti) / toplam parti maliyeti × 100</x:v>
      </x:c>
      <x:c r="E13" s="28" t="str">
        <x:v>Simüle hesaplama; tarihsel çalışmayla yönsel karşılaştırma için</x:v>
      </x:c>
    </x:row>
  </x:sheetData>
  <x:pageMargins left="0.7" right="0.7" top="0.75" bottom="0.75" header="0.3" footer="0.3"/>
  <x:tableParts count="1">
    <x:tablePart xmlns:r="http://schemas.openxmlformats.org/officeDocument/2006/relationships" r:id="R09144a9d17ac4ee2"/>
  </x:tableParts>
</x:worksheet>
</file>